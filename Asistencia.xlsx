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nalisis cargo vs certificaciones\"/>
    </mc:Choice>
  </mc:AlternateContent>
  <xr:revisionPtr revIDLastSave="0" documentId="8_{5B8C2523-FC30-489C-A087-24D2C654440E}" xr6:coauthVersionLast="47" xr6:coauthVersionMax="47" xr10:uidLastSave="{00000000-0000-0000-0000-000000000000}"/>
  <bookViews>
    <workbookView xWindow="28680" yWindow="-120" windowWidth="29040" windowHeight="15720" tabRatio="510" xr2:uid="{CF9EB6A4-A614-4B24-A68E-E0722B500D58}"/>
  </bookViews>
  <sheets>
    <sheet name="Hoja1" sheetId="1" r:id="rId1"/>
  </sheets>
  <definedNames>
    <definedName name="_xlnm._FilterDatabase" localSheetId="0" hidden="1">Hoja1!$A$6:$DV$434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28" i="1" l="1"/>
  <c r="AU428" i="1"/>
  <c r="AV428" i="1"/>
  <c r="AW428" i="1"/>
  <c r="AX428" i="1"/>
  <c r="AY428" i="1"/>
  <c r="AZ428" i="1"/>
  <c r="BA428" i="1"/>
  <c r="BB428" i="1"/>
  <c r="BC428" i="1"/>
  <c r="BD428" i="1"/>
  <c r="BE428" i="1"/>
  <c r="BF428" i="1"/>
  <c r="BG428" i="1"/>
  <c r="BH428" i="1"/>
  <c r="AT429" i="1"/>
  <c r="AU429" i="1"/>
  <c r="AV429" i="1"/>
  <c r="AW429" i="1"/>
  <c r="AX429" i="1"/>
  <c r="AY429" i="1"/>
  <c r="AZ429" i="1"/>
  <c r="BA429" i="1"/>
  <c r="BB429" i="1"/>
  <c r="BC429" i="1"/>
  <c r="BD429" i="1"/>
  <c r="BE429" i="1"/>
  <c r="BF429" i="1"/>
  <c r="BG429" i="1"/>
  <c r="BH429" i="1"/>
  <c r="AX426" i="1"/>
  <c r="AX425" i="1"/>
  <c r="AX424" i="1"/>
  <c r="AX427" i="1"/>
  <c r="AX423" i="1"/>
  <c r="AW426" i="1"/>
  <c r="AW425" i="1"/>
  <c r="AW424" i="1"/>
  <c r="AW427" i="1"/>
  <c r="AW423" i="1"/>
  <c r="AV426" i="1"/>
  <c r="AV425" i="1"/>
  <c r="AV424" i="1"/>
  <c r="AV427" i="1"/>
  <c r="AV423" i="1"/>
  <c r="AU426" i="1"/>
  <c r="AU425" i="1"/>
  <c r="AU424" i="1"/>
  <c r="AU427" i="1"/>
  <c r="AU423" i="1"/>
  <c r="AT426" i="1"/>
  <c r="AT425" i="1"/>
  <c r="AT424" i="1"/>
  <c r="AT427" i="1"/>
  <c r="AT423" i="1"/>
  <c r="BH426" i="1"/>
  <c r="BH425" i="1"/>
  <c r="BH424" i="1"/>
  <c r="BH427" i="1"/>
  <c r="BH423" i="1"/>
  <c r="BG426" i="1"/>
  <c r="BG425" i="1"/>
  <c r="BG424" i="1"/>
  <c r="BG427" i="1"/>
  <c r="BG423" i="1"/>
  <c r="BF426" i="1"/>
  <c r="BF425" i="1"/>
  <c r="BF424" i="1"/>
  <c r="BF427" i="1"/>
  <c r="BF423" i="1"/>
  <c r="BE426" i="1"/>
  <c r="BE425" i="1"/>
  <c r="BE424" i="1"/>
  <c r="BE427" i="1"/>
  <c r="BE423" i="1"/>
  <c r="BD426" i="1"/>
  <c r="BD425" i="1"/>
  <c r="BD424" i="1"/>
  <c r="BD427" i="1"/>
  <c r="BD423" i="1"/>
  <c r="BC426" i="1"/>
  <c r="BC425" i="1"/>
  <c r="BC424" i="1"/>
  <c r="BC427" i="1"/>
  <c r="BC423" i="1"/>
  <c r="BB426" i="1"/>
  <c r="BB425" i="1"/>
  <c r="BB424" i="1"/>
  <c r="BB427" i="1"/>
  <c r="BB423" i="1"/>
  <c r="BA426" i="1"/>
  <c r="BA425" i="1"/>
  <c r="BA424" i="1"/>
  <c r="BA427" i="1"/>
  <c r="BA423" i="1"/>
  <c r="AZ426" i="1"/>
  <c r="AZ425" i="1"/>
  <c r="AZ424" i="1"/>
  <c r="AZ427" i="1"/>
  <c r="AZ423" i="1"/>
  <c r="AY426" i="1"/>
  <c r="AY425" i="1"/>
  <c r="AY424" i="1"/>
  <c r="AY427" i="1"/>
  <c r="AY423" i="1"/>
  <c r="AT64" i="1"/>
  <c r="BI428" i="1" l="1"/>
  <c r="BI429" i="1"/>
  <c r="BI424" i="1"/>
  <c r="BI426" i="1"/>
  <c r="BI423" i="1"/>
  <c r="BI427" i="1"/>
  <c r="BI42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BI416" i="1" l="1"/>
  <c r="BI415" i="1"/>
  <c r="BI417" i="1"/>
  <c r="BI418" i="1"/>
  <c r="BI419" i="1"/>
  <c r="BI422" i="1"/>
  <c r="BI421" i="1"/>
  <c r="BI420" i="1"/>
  <c r="AT414" i="1"/>
  <c r="AU414" i="1"/>
  <c r="AV414" i="1"/>
  <c r="AW414" i="1"/>
  <c r="AX414" i="1"/>
  <c r="AY414" i="1"/>
  <c r="AZ414" i="1"/>
  <c r="BA414" i="1"/>
  <c r="BB414" i="1"/>
  <c r="BC414" i="1"/>
  <c r="BD414" i="1"/>
  <c r="BE414" i="1"/>
  <c r="BF414" i="1"/>
  <c r="BG414" i="1"/>
  <c r="BH414" i="1"/>
  <c r="AT412" i="1"/>
  <c r="AU412" i="1"/>
  <c r="AV412" i="1"/>
  <c r="AW412" i="1"/>
  <c r="AX412" i="1"/>
  <c r="AY412" i="1"/>
  <c r="AZ412" i="1"/>
  <c r="BA412" i="1"/>
  <c r="BB412" i="1"/>
  <c r="BC412" i="1"/>
  <c r="BD412" i="1"/>
  <c r="BE412" i="1"/>
  <c r="BF412" i="1"/>
  <c r="BG412" i="1"/>
  <c r="BH412" i="1"/>
  <c r="AT408" i="1"/>
  <c r="AU408" i="1"/>
  <c r="AV408" i="1"/>
  <c r="AW408" i="1"/>
  <c r="AX408" i="1"/>
  <c r="AY408" i="1"/>
  <c r="AZ408" i="1"/>
  <c r="BA408" i="1"/>
  <c r="BB408" i="1"/>
  <c r="BC408" i="1"/>
  <c r="BD408" i="1"/>
  <c r="BE408" i="1"/>
  <c r="BF408" i="1"/>
  <c r="BG408" i="1"/>
  <c r="BH408" i="1"/>
  <c r="AT409" i="1"/>
  <c r="AU409" i="1"/>
  <c r="AV409" i="1"/>
  <c r="AW409" i="1"/>
  <c r="AX409" i="1"/>
  <c r="AY409" i="1"/>
  <c r="AZ409" i="1"/>
  <c r="BA409" i="1"/>
  <c r="BB409" i="1"/>
  <c r="BC409" i="1"/>
  <c r="BD409" i="1"/>
  <c r="BE409" i="1"/>
  <c r="BF409" i="1"/>
  <c r="BG409" i="1"/>
  <c r="BH409" i="1"/>
  <c r="AT411" i="1"/>
  <c r="AU411" i="1"/>
  <c r="AV411" i="1"/>
  <c r="AW411" i="1"/>
  <c r="AX411" i="1"/>
  <c r="AY411" i="1"/>
  <c r="AZ411" i="1"/>
  <c r="BA411" i="1"/>
  <c r="BB411" i="1"/>
  <c r="BC411" i="1"/>
  <c r="BD411" i="1"/>
  <c r="BE411" i="1"/>
  <c r="BF411" i="1"/>
  <c r="BG411" i="1"/>
  <c r="BH411" i="1"/>
  <c r="AT410" i="1"/>
  <c r="AU410" i="1"/>
  <c r="AV410" i="1"/>
  <c r="AW410" i="1"/>
  <c r="AX410" i="1"/>
  <c r="AY410" i="1"/>
  <c r="AZ410" i="1"/>
  <c r="BA410" i="1"/>
  <c r="BB410" i="1"/>
  <c r="BC410" i="1"/>
  <c r="BD410" i="1"/>
  <c r="BE410" i="1"/>
  <c r="BF410" i="1"/>
  <c r="BG410" i="1"/>
  <c r="BH410" i="1"/>
  <c r="AT413" i="1"/>
  <c r="AU413" i="1"/>
  <c r="AV413" i="1"/>
  <c r="AW413" i="1"/>
  <c r="AX413" i="1"/>
  <c r="AY413" i="1"/>
  <c r="AZ413" i="1"/>
  <c r="BA413" i="1"/>
  <c r="BB413" i="1"/>
  <c r="BC413" i="1"/>
  <c r="BD413" i="1"/>
  <c r="BE413" i="1"/>
  <c r="BF413" i="1"/>
  <c r="BG413" i="1"/>
  <c r="BH413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AT400" i="1"/>
  <c r="AU400" i="1"/>
  <c r="AV400" i="1"/>
  <c r="AW400" i="1"/>
  <c r="AX400" i="1"/>
  <c r="AY400" i="1"/>
  <c r="AZ400" i="1"/>
  <c r="BA400" i="1"/>
  <c r="BB400" i="1"/>
  <c r="BC400" i="1"/>
  <c r="BD400" i="1"/>
  <c r="BE400" i="1"/>
  <c r="BF400" i="1"/>
  <c r="BG400" i="1"/>
  <c r="BH400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AT371" i="1"/>
  <c r="AU371" i="1"/>
  <c r="AV371" i="1"/>
  <c r="AW371" i="1"/>
  <c r="AX371" i="1"/>
  <c r="AY371" i="1"/>
  <c r="AZ371" i="1"/>
  <c r="BA371" i="1"/>
  <c r="BB371" i="1"/>
  <c r="BC371" i="1"/>
  <c r="BD371" i="1"/>
  <c r="BE371" i="1"/>
  <c r="BF371" i="1"/>
  <c r="BG371" i="1"/>
  <c r="BH371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AT395" i="1"/>
  <c r="AU395" i="1"/>
  <c r="AV395" i="1"/>
  <c r="AW395" i="1"/>
  <c r="AX395" i="1"/>
  <c r="AY395" i="1"/>
  <c r="AZ395" i="1"/>
  <c r="BA395" i="1"/>
  <c r="BB395" i="1"/>
  <c r="BC395" i="1"/>
  <c r="BD395" i="1"/>
  <c r="BE395" i="1"/>
  <c r="BF395" i="1"/>
  <c r="BG395" i="1"/>
  <c r="BH395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AT399" i="1"/>
  <c r="AU399" i="1"/>
  <c r="AV399" i="1"/>
  <c r="AW399" i="1"/>
  <c r="AX399" i="1"/>
  <c r="AY399" i="1"/>
  <c r="AZ399" i="1"/>
  <c r="BA399" i="1"/>
  <c r="BB399" i="1"/>
  <c r="BC399" i="1"/>
  <c r="BD399" i="1"/>
  <c r="BE399" i="1"/>
  <c r="BF399" i="1"/>
  <c r="BG399" i="1"/>
  <c r="BH399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AT389" i="1"/>
  <c r="AU389" i="1"/>
  <c r="AV389" i="1"/>
  <c r="AW389" i="1"/>
  <c r="AX389" i="1"/>
  <c r="AY389" i="1"/>
  <c r="AZ389" i="1"/>
  <c r="BA389" i="1"/>
  <c r="BB389" i="1"/>
  <c r="BC389" i="1"/>
  <c r="BD389" i="1"/>
  <c r="BE389" i="1"/>
  <c r="BF389" i="1"/>
  <c r="BG389" i="1"/>
  <c r="BH389" i="1"/>
  <c r="AT353" i="1"/>
  <c r="AU353" i="1"/>
  <c r="AV353" i="1"/>
  <c r="AW353" i="1"/>
  <c r="AX353" i="1"/>
  <c r="AY353" i="1"/>
  <c r="AZ353" i="1"/>
  <c r="BA353" i="1"/>
  <c r="BB353" i="1"/>
  <c r="BC353" i="1"/>
  <c r="BD353" i="1"/>
  <c r="BE353" i="1"/>
  <c r="BF353" i="1"/>
  <c r="BG353" i="1"/>
  <c r="BH353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AT394" i="1"/>
  <c r="AU394" i="1"/>
  <c r="AV394" i="1"/>
  <c r="AW394" i="1"/>
  <c r="AX394" i="1"/>
  <c r="AY394" i="1"/>
  <c r="AZ394" i="1"/>
  <c r="BA394" i="1"/>
  <c r="BB394" i="1"/>
  <c r="BC394" i="1"/>
  <c r="BD394" i="1"/>
  <c r="BE394" i="1"/>
  <c r="BF394" i="1"/>
  <c r="BG394" i="1"/>
  <c r="BH394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AT382" i="1"/>
  <c r="AU382" i="1"/>
  <c r="AV382" i="1"/>
  <c r="AW382" i="1"/>
  <c r="AX382" i="1"/>
  <c r="AY382" i="1"/>
  <c r="AZ382" i="1"/>
  <c r="BA382" i="1"/>
  <c r="BB382" i="1"/>
  <c r="BC382" i="1"/>
  <c r="BD382" i="1"/>
  <c r="BE382" i="1"/>
  <c r="BF382" i="1"/>
  <c r="BG382" i="1"/>
  <c r="BH382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AT355" i="1"/>
  <c r="AU355" i="1"/>
  <c r="AV355" i="1"/>
  <c r="AW355" i="1"/>
  <c r="AX355" i="1"/>
  <c r="AY355" i="1"/>
  <c r="AZ355" i="1"/>
  <c r="BA355" i="1"/>
  <c r="BB355" i="1"/>
  <c r="BC355" i="1"/>
  <c r="BD355" i="1"/>
  <c r="BE355" i="1"/>
  <c r="BF355" i="1"/>
  <c r="BG355" i="1"/>
  <c r="BH355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AT404" i="1"/>
  <c r="AU404" i="1"/>
  <c r="AV404" i="1"/>
  <c r="AW404" i="1"/>
  <c r="AX404" i="1"/>
  <c r="AY404" i="1"/>
  <c r="AZ404" i="1"/>
  <c r="BA404" i="1"/>
  <c r="BB404" i="1"/>
  <c r="BC404" i="1"/>
  <c r="BD404" i="1"/>
  <c r="BE404" i="1"/>
  <c r="BF404" i="1"/>
  <c r="BG404" i="1"/>
  <c r="BH404" i="1"/>
  <c r="AT384" i="1"/>
  <c r="AU384" i="1"/>
  <c r="AV384" i="1"/>
  <c r="AW384" i="1"/>
  <c r="AX384" i="1"/>
  <c r="AY384" i="1"/>
  <c r="AZ384" i="1"/>
  <c r="BA384" i="1"/>
  <c r="BB384" i="1"/>
  <c r="BC384" i="1"/>
  <c r="BD384" i="1"/>
  <c r="BE384" i="1"/>
  <c r="BF384" i="1"/>
  <c r="BG384" i="1"/>
  <c r="BH384" i="1"/>
  <c r="AT356" i="1"/>
  <c r="AU356" i="1"/>
  <c r="AV356" i="1"/>
  <c r="AW356" i="1"/>
  <c r="AX356" i="1"/>
  <c r="AY356" i="1"/>
  <c r="AZ356" i="1"/>
  <c r="BA356" i="1"/>
  <c r="BB356" i="1"/>
  <c r="BC356" i="1"/>
  <c r="BD356" i="1"/>
  <c r="BE356" i="1"/>
  <c r="BF356" i="1"/>
  <c r="BG356" i="1"/>
  <c r="BH356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AT368" i="1"/>
  <c r="AU368" i="1"/>
  <c r="AV368" i="1"/>
  <c r="AW368" i="1"/>
  <c r="AX368" i="1"/>
  <c r="AY368" i="1"/>
  <c r="AZ368" i="1"/>
  <c r="BA368" i="1"/>
  <c r="BB368" i="1"/>
  <c r="BC368" i="1"/>
  <c r="BD368" i="1"/>
  <c r="BE368" i="1"/>
  <c r="BF368" i="1"/>
  <c r="BG368" i="1"/>
  <c r="BH368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AT357" i="1"/>
  <c r="AU357" i="1"/>
  <c r="AV357" i="1"/>
  <c r="AW357" i="1"/>
  <c r="AX357" i="1"/>
  <c r="AY357" i="1"/>
  <c r="AZ357" i="1"/>
  <c r="BA357" i="1"/>
  <c r="BB357" i="1"/>
  <c r="BC357" i="1"/>
  <c r="BD357" i="1"/>
  <c r="BE357" i="1"/>
  <c r="BF357" i="1"/>
  <c r="BG357" i="1"/>
  <c r="BH357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AT354" i="1"/>
  <c r="AU354" i="1"/>
  <c r="AV354" i="1"/>
  <c r="AW354" i="1"/>
  <c r="AX354" i="1"/>
  <c r="AY354" i="1"/>
  <c r="AZ354" i="1"/>
  <c r="BA354" i="1"/>
  <c r="BB354" i="1"/>
  <c r="BC354" i="1"/>
  <c r="BD354" i="1"/>
  <c r="BE354" i="1"/>
  <c r="BF354" i="1"/>
  <c r="BG354" i="1"/>
  <c r="BH354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AT397" i="1"/>
  <c r="AU397" i="1"/>
  <c r="AV397" i="1"/>
  <c r="AW397" i="1"/>
  <c r="AX397" i="1"/>
  <c r="AY397" i="1"/>
  <c r="AZ397" i="1"/>
  <c r="BA397" i="1"/>
  <c r="BB397" i="1"/>
  <c r="BC397" i="1"/>
  <c r="BD397" i="1"/>
  <c r="BE397" i="1"/>
  <c r="BF397" i="1"/>
  <c r="BG397" i="1"/>
  <c r="BH397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AT396" i="1"/>
  <c r="AU396" i="1"/>
  <c r="AV396" i="1"/>
  <c r="AW396" i="1"/>
  <c r="AX396" i="1"/>
  <c r="AY396" i="1"/>
  <c r="AZ396" i="1"/>
  <c r="BA396" i="1"/>
  <c r="BB396" i="1"/>
  <c r="BC396" i="1"/>
  <c r="BD396" i="1"/>
  <c r="BE396" i="1"/>
  <c r="BF396" i="1"/>
  <c r="BG396" i="1"/>
  <c r="BH396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AT386" i="1"/>
  <c r="AU386" i="1"/>
  <c r="AV386" i="1"/>
  <c r="AW386" i="1"/>
  <c r="AX386" i="1"/>
  <c r="AY386" i="1"/>
  <c r="AZ386" i="1"/>
  <c r="BA386" i="1"/>
  <c r="BB386" i="1"/>
  <c r="BC386" i="1"/>
  <c r="BD386" i="1"/>
  <c r="BE386" i="1"/>
  <c r="BF386" i="1"/>
  <c r="BG386" i="1"/>
  <c r="BH386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AT372" i="1"/>
  <c r="AU372" i="1"/>
  <c r="AV372" i="1"/>
  <c r="AW372" i="1"/>
  <c r="AX372" i="1"/>
  <c r="AY372" i="1"/>
  <c r="AZ372" i="1"/>
  <c r="BA372" i="1"/>
  <c r="BB372" i="1"/>
  <c r="BC372" i="1"/>
  <c r="BD372" i="1"/>
  <c r="BE372" i="1"/>
  <c r="BF372" i="1"/>
  <c r="BG372" i="1"/>
  <c r="BH372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AT405" i="1"/>
  <c r="AU405" i="1"/>
  <c r="AV405" i="1"/>
  <c r="AW405" i="1"/>
  <c r="AX405" i="1"/>
  <c r="AY405" i="1"/>
  <c r="AZ405" i="1"/>
  <c r="BA405" i="1"/>
  <c r="BB405" i="1"/>
  <c r="BC405" i="1"/>
  <c r="BD405" i="1"/>
  <c r="BE405" i="1"/>
  <c r="BF405" i="1"/>
  <c r="BG405" i="1"/>
  <c r="BH40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AT350" i="1"/>
  <c r="AU350" i="1"/>
  <c r="AV350" i="1"/>
  <c r="AW350" i="1"/>
  <c r="AX350" i="1"/>
  <c r="AY350" i="1"/>
  <c r="AZ350" i="1"/>
  <c r="BA350" i="1"/>
  <c r="BB350" i="1"/>
  <c r="BC350" i="1"/>
  <c r="BD350" i="1"/>
  <c r="BE350" i="1"/>
  <c r="BF350" i="1"/>
  <c r="BG350" i="1"/>
  <c r="BH350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AT359" i="1"/>
  <c r="AU359" i="1"/>
  <c r="AV359" i="1"/>
  <c r="AW359" i="1"/>
  <c r="AX359" i="1"/>
  <c r="AY359" i="1"/>
  <c r="AZ359" i="1"/>
  <c r="BA359" i="1"/>
  <c r="BB359" i="1"/>
  <c r="BC359" i="1"/>
  <c r="BD359" i="1"/>
  <c r="BE359" i="1"/>
  <c r="BF359" i="1"/>
  <c r="BG359" i="1"/>
  <c r="BH35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AT398" i="1"/>
  <c r="AU398" i="1"/>
  <c r="AV398" i="1"/>
  <c r="AW398" i="1"/>
  <c r="AX398" i="1"/>
  <c r="AY398" i="1"/>
  <c r="AZ398" i="1"/>
  <c r="BA398" i="1"/>
  <c r="BB398" i="1"/>
  <c r="BC398" i="1"/>
  <c r="BD398" i="1"/>
  <c r="BE398" i="1"/>
  <c r="BF398" i="1"/>
  <c r="BG398" i="1"/>
  <c r="BH398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AT390" i="1"/>
  <c r="AU390" i="1"/>
  <c r="AV390" i="1"/>
  <c r="AW390" i="1"/>
  <c r="AX390" i="1"/>
  <c r="AY390" i="1"/>
  <c r="AZ390" i="1"/>
  <c r="BA390" i="1"/>
  <c r="BB390" i="1"/>
  <c r="BC390" i="1"/>
  <c r="BD390" i="1"/>
  <c r="BE390" i="1"/>
  <c r="BF390" i="1"/>
  <c r="BG390" i="1"/>
  <c r="BH390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AT373" i="1"/>
  <c r="AU373" i="1"/>
  <c r="AV373" i="1"/>
  <c r="AW373" i="1"/>
  <c r="AX373" i="1"/>
  <c r="AY373" i="1"/>
  <c r="AZ373" i="1"/>
  <c r="BA373" i="1"/>
  <c r="BB373" i="1"/>
  <c r="BC373" i="1"/>
  <c r="BD373" i="1"/>
  <c r="BE373" i="1"/>
  <c r="BF373" i="1"/>
  <c r="BG373" i="1"/>
  <c r="BH373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AT358" i="1"/>
  <c r="AU358" i="1"/>
  <c r="AV358" i="1"/>
  <c r="AW358" i="1"/>
  <c r="AX358" i="1"/>
  <c r="AY358" i="1"/>
  <c r="AZ358" i="1"/>
  <c r="BA358" i="1"/>
  <c r="BB358" i="1"/>
  <c r="BC358" i="1"/>
  <c r="BD358" i="1"/>
  <c r="BE358" i="1"/>
  <c r="BF358" i="1"/>
  <c r="BG358" i="1"/>
  <c r="BH358" i="1"/>
  <c r="AT378" i="1"/>
  <c r="AU378" i="1"/>
  <c r="AV378" i="1"/>
  <c r="AW378" i="1"/>
  <c r="AX378" i="1"/>
  <c r="AY378" i="1"/>
  <c r="AZ378" i="1"/>
  <c r="BA378" i="1"/>
  <c r="BB378" i="1"/>
  <c r="BC378" i="1"/>
  <c r="BD378" i="1"/>
  <c r="BE378" i="1"/>
  <c r="BF378" i="1"/>
  <c r="BG378" i="1"/>
  <c r="BH378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AT361" i="1"/>
  <c r="AU361" i="1"/>
  <c r="AV361" i="1"/>
  <c r="AW361" i="1"/>
  <c r="AX361" i="1"/>
  <c r="AY361" i="1"/>
  <c r="AZ361" i="1"/>
  <c r="BA361" i="1"/>
  <c r="BB361" i="1"/>
  <c r="BC361" i="1"/>
  <c r="BD361" i="1"/>
  <c r="BE361" i="1"/>
  <c r="BF361" i="1"/>
  <c r="BG361" i="1"/>
  <c r="BH361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AT401" i="1"/>
  <c r="AU401" i="1"/>
  <c r="AV401" i="1"/>
  <c r="AW401" i="1"/>
  <c r="AX401" i="1"/>
  <c r="AY401" i="1"/>
  <c r="AZ401" i="1"/>
  <c r="BA401" i="1"/>
  <c r="BB401" i="1"/>
  <c r="BC401" i="1"/>
  <c r="BD401" i="1"/>
  <c r="BE401" i="1"/>
  <c r="BF401" i="1"/>
  <c r="BG401" i="1"/>
  <c r="BH401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AT360" i="1"/>
  <c r="AU360" i="1"/>
  <c r="AV360" i="1"/>
  <c r="AW360" i="1"/>
  <c r="AX360" i="1"/>
  <c r="AY360" i="1"/>
  <c r="AZ360" i="1"/>
  <c r="BA360" i="1"/>
  <c r="BB360" i="1"/>
  <c r="BC360" i="1"/>
  <c r="BD360" i="1"/>
  <c r="BE360" i="1"/>
  <c r="BF360" i="1"/>
  <c r="BG360" i="1"/>
  <c r="BH360" i="1"/>
  <c r="AT379" i="1"/>
  <c r="AU379" i="1"/>
  <c r="AV379" i="1"/>
  <c r="AW379" i="1"/>
  <c r="AX379" i="1"/>
  <c r="AY379" i="1"/>
  <c r="AZ379" i="1"/>
  <c r="BA379" i="1"/>
  <c r="BB379" i="1"/>
  <c r="BC379" i="1"/>
  <c r="BD379" i="1"/>
  <c r="BE379" i="1"/>
  <c r="BF379" i="1"/>
  <c r="BG379" i="1"/>
  <c r="BH379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AT366" i="1"/>
  <c r="AU366" i="1"/>
  <c r="AV366" i="1"/>
  <c r="AW366" i="1"/>
  <c r="AX366" i="1"/>
  <c r="AY366" i="1"/>
  <c r="AZ366" i="1"/>
  <c r="BA366" i="1"/>
  <c r="BB366" i="1"/>
  <c r="BC366" i="1"/>
  <c r="BD366" i="1"/>
  <c r="BE366" i="1"/>
  <c r="BF366" i="1"/>
  <c r="BG366" i="1"/>
  <c r="BH366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AT387" i="1"/>
  <c r="AU387" i="1"/>
  <c r="AV387" i="1"/>
  <c r="AW387" i="1"/>
  <c r="AX387" i="1"/>
  <c r="AY387" i="1"/>
  <c r="AZ387" i="1"/>
  <c r="BA387" i="1"/>
  <c r="BB387" i="1"/>
  <c r="BC387" i="1"/>
  <c r="BD387" i="1"/>
  <c r="BE387" i="1"/>
  <c r="BF387" i="1"/>
  <c r="BG387" i="1"/>
  <c r="BH387" i="1"/>
  <c r="AT374" i="1"/>
  <c r="AU374" i="1"/>
  <c r="AV374" i="1"/>
  <c r="AW374" i="1"/>
  <c r="AX374" i="1"/>
  <c r="AY374" i="1"/>
  <c r="AZ374" i="1"/>
  <c r="BA374" i="1"/>
  <c r="BB374" i="1"/>
  <c r="BC374" i="1"/>
  <c r="BD374" i="1"/>
  <c r="BE374" i="1"/>
  <c r="BF374" i="1"/>
  <c r="BG374" i="1"/>
  <c r="BH374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AT376" i="1"/>
  <c r="AU376" i="1"/>
  <c r="AV376" i="1"/>
  <c r="AW376" i="1"/>
  <c r="AX376" i="1"/>
  <c r="AY376" i="1"/>
  <c r="AZ376" i="1"/>
  <c r="BA376" i="1"/>
  <c r="BB376" i="1"/>
  <c r="BC376" i="1"/>
  <c r="BD376" i="1"/>
  <c r="BE376" i="1"/>
  <c r="BF376" i="1"/>
  <c r="BG376" i="1"/>
  <c r="BH376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AT362" i="1"/>
  <c r="AU362" i="1"/>
  <c r="AV362" i="1"/>
  <c r="AW362" i="1"/>
  <c r="AX362" i="1"/>
  <c r="AY362" i="1"/>
  <c r="AZ362" i="1"/>
  <c r="BA362" i="1"/>
  <c r="BB362" i="1"/>
  <c r="BC362" i="1"/>
  <c r="BD362" i="1"/>
  <c r="BE362" i="1"/>
  <c r="BF362" i="1"/>
  <c r="BG362" i="1"/>
  <c r="BH362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AT402" i="1"/>
  <c r="AU402" i="1"/>
  <c r="AV402" i="1"/>
  <c r="AW402" i="1"/>
  <c r="AX402" i="1"/>
  <c r="AY402" i="1"/>
  <c r="AZ402" i="1"/>
  <c r="BA402" i="1"/>
  <c r="BB402" i="1"/>
  <c r="BC402" i="1"/>
  <c r="BD402" i="1"/>
  <c r="BE402" i="1"/>
  <c r="BF402" i="1"/>
  <c r="BG402" i="1"/>
  <c r="BH402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AT383" i="1"/>
  <c r="AU383" i="1"/>
  <c r="AV383" i="1"/>
  <c r="AW383" i="1"/>
  <c r="AX383" i="1"/>
  <c r="AY383" i="1"/>
  <c r="AZ383" i="1"/>
  <c r="BA383" i="1"/>
  <c r="BB383" i="1"/>
  <c r="BC383" i="1"/>
  <c r="BD383" i="1"/>
  <c r="BE383" i="1"/>
  <c r="BF383" i="1"/>
  <c r="BG383" i="1"/>
  <c r="BH383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AT380" i="1"/>
  <c r="AU380" i="1"/>
  <c r="AV380" i="1"/>
  <c r="AW380" i="1"/>
  <c r="AX380" i="1"/>
  <c r="AY380" i="1"/>
  <c r="AZ380" i="1"/>
  <c r="BA380" i="1"/>
  <c r="BB380" i="1"/>
  <c r="BC380" i="1"/>
  <c r="BD380" i="1"/>
  <c r="BE380" i="1"/>
  <c r="BF380" i="1"/>
  <c r="BG380" i="1"/>
  <c r="BH380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F369" i="1"/>
  <c r="BG369" i="1"/>
  <c r="BH369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AT375" i="1"/>
  <c r="AU375" i="1"/>
  <c r="AV375" i="1"/>
  <c r="AW375" i="1"/>
  <c r="AX375" i="1"/>
  <c r="AY375" i="1"/>
  <c r="AZ375" i="1"/>
  <c r="BA375" i="1"/>
  <c r="BB375" i="1"/>
  <c r="BC375" i="1"/>
  <c r="BD375" i="1"/>
  <c r="BE375" i="1"/>
  <c r="BF375" i="1"/>
  <c r="BG375" i="1"/>
  <c r="BH37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AT392" i="1"/>
  <c r="AU392" i="1"/>
  <c r="AV392" i="1"/>
  <c r="AW392" i="1"/>
  <c r="AX392" i="1"/>
  <c r="AY392" i="1"/>
  <c r="AZ392" i="1"/>
  <c r="BA392" i="1"/>
  <c r="BB392" i="1"/>
  <c r="BC392" i="1"/>
  <c r="BD392" i="1"/>
  <c r="BE392" i="1"/>
  <c r="BF392" i="1"/>
  <c r="BG392" i="1"/>
  <c r="BH392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AT351" i="1"/>
  <c r="AU351" i="1"/>
  <c r="AV351" i="1"/>
  <c r="AW351" i="1"/>
  <c r="AX351" i="1"/>
  <c r="AY351" i="1"/>
  <c r="AZ351" i="1"/>
  <c r="BA351" i="1"/>
  <c r="BB351" i="1"/>
  <c r="BC351" i="1"/>
  <c r="BD351" i="1"/>
  <c r="BE351" i="1"/>
  <c r="BF351" i="1"/>
  <c r="BG351" i="1"/>
  <c r="BH351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AT403" i="1"/>
  <c r="AU403" i="1"/>
  <c r="AV403" i="1"/>
  <c r="AW403" i="1"/>
  <c r="AX403" i="1"/>
  <c r="AY403" i="1"/>
  <c r="AZ403" i="1"/>
  <c r="BA403" i="1"/>
  <c r="BB403" i="1"/>
  <c r="BC403" i="1"/>
  <c r="BD403" i="1"/>
  <c r="BE403" i="1"/>
  <c r="BF403" i="1"/>
  <c r="BG403" i="1"/>
  <c r="BH403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AT391" i="1"/>
  <c r="AU391" i="1"/>
  <c r="AV391" i="1"/>
  <c r="AW391" i="1"/>
  <c r="AX391" i="1"/>
  <c r="AY391" i="1"/>
  <c r="AZ391" i="1"/>
  <c r="BA391" i="1"/>
  <c r="BB391" i="1"/>
  <c r="BC391" i="1"/>
  <c r="BD391" i="1"/>
  <c r="BE391" i="1"/>
  <c r="BF391" i="1"/>
  <c r="BG391" i="1"/>
  <c r="BH39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AT363" i="1"/>
  <c r="AU363" i="1"/>
  <c r="AV363" i="1"/>
  <c r="AW363" i="1"/>
  <c r="AX363" i="1"/>
  <c r="AY363" i="1"/>
  <c r="AZ363" i="1"/>
  <c r="BA363" i="1"/>
  <c r="BB363" i="1"/>
  <c r="BC363" i="1"/>
  <c r="BD363" i="1"/>
  <c r="BE363" i="1"/>
  <c r="BF363" i="1"/>
  <c r="BG363" i="1"/>
  <c r="BH363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AT406" i="1"/>
  <c r="AU406" i="1"/>
  <c r="AV406" i="1"/>
  <c r="AW406" i="1"/>
  <c r="AX406" i="1"/>
  <c r="AY406" i="1"/>
  <c r="AZ406" i="1"/>
  <c r="BA406" i="1"/>
  <c r="BB406" i="1"/>
  <c r="BC406" i="1"/>
  <c r="BD406" i="1"/>
  <c r="BE406" i="1"/>
  <c r="BF406" i="1"/>
  <c r="BG406" i="1"/>
  <c r="BH406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AT352" i="1"/>
  <c r="AU352" i="1"/>
  <c r="AV352" i="1"/>
  <c r="AW352" i="1"/>
  <c r="AX352" i="1"/>
  <c r="AY352" i="1"/>
  <c r="AZ352" i="1"/>
  <c r="BA352" i="1"/>
  <c r="BB352" i="1"/>
  <c r="BC352" i="1"/>
  <c r="BD352" i="1"/>
  <c r="BE352" i="1"/>
  <c r="BF352" i="1"/>
  <c r="BG352" i="1"/>
  <c r="BH352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AT385" i="1"/>
  <c r="AU385" i="1"/>
  <c r="AV385" i="1"/>
  <c r="AW385" i="1"/>
  <c r="AX385" i="1"/>
  <c r="AY385" i="1"/>
  <c r="AZ385" i="1"/>
  <c r="BA385" i="1"/>
  <c r="BB385" i="1"/>
  <c r="BC385" i="1"/>
  <c r="BD385" i="1"/>
  <c r="BE385" i="1"/>
  <c r="BF385" i="1"/>
  <c r="BG385" i="1"/>
  <c r="BH385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AT407" i="1"/>
  <c r="AU407" i="1"/>
  <c r="AV407" i="1"/>
  <c r="AW407" i="1"/>
  <c r="AX407" i="1"/>
  <c r="AY407" i="1"/>
  <c r="AZ407" i="1"/>
  <c r="BA407" i="1"/>
  <c r="BB407" i="1"/>
  <c r="BC407" i="1"/>
  <c r="BD407" i="1"/>
  <c r="BE407" i="1"/>
  <c r="BF407" i="1"/>
  <c r="BG407" i="1"/>
  <c r="BH407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AT367" i="1"/>
  <c r="AU367" i="1"/>
  <c r="AV367" i="1"/>
  <c r="AW367" i="1"/>
  <c r="AX367" i="1"/>
  <c r="AY367" i="1"/>
  <c r="AZ367" i="1"/>
  <c r="BA367" i="1"/>
  <c r="BB367" i="1"/>
  <c r="BC367" i="1"/>
  <c r="BD367" i="1"/>
  <c r="BE367" i="1"/>
  <c r="BF367" i="1"/>
  <c r="BG367" i="1"/>
  <c r="BH367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AT364" i="1"/>
  <c r="AU364" i="1"/>
  <c r="AV364" i="1"/>
  <c r="AW364" i="1"/>
  <c r="AX364" i="1"/>
  <c r="AY364" i="1"/>
  <c r="AZ364" i="1"/>
  <c r="BA364" i="1"/>
  <c r="BB364" i="1"/>
  <c r="BC364" i="1"/>
  <c r="BD364" i="1"/>
  <c r="BE364" i="1"/>
  <c r="BF364" i="1"/>
  <c r="BG364" i="1"/>
  <c r="BH364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AT377" i="1"/>
  <c r="AU377" i="1"/>
  <c r="AV377" i="1"/>
  <c r="AW377" i="1"/>
  <c r="AX377" i="1"/>
  <c r="AY377" i="1"/>
  <c r="AZ377" i="1"/>
  <c r="BA377" i="1"/>
  <c r="BB377" i="1"/>
  <c r="BC377" i="1"/>
  <c r="BD377" i="1"/>
  <c r="BE377" i="1"/>
  <c r="BF377" i="1"/>
  <c r="BG377" i="1"/>
  <c r="BH377" i="1"/>
  <c r="AT393" i="1"/>
  <c r="AU393" i="1"/>
  <c r="AV393" i="1"/>
  <c r="AW393" i="1"/>
  <c r="AX393" i="1"/>
  <c r="AY393" i="1"/>
  <c r="AZ393" i="1"/>
  <c r="BA393" i="1"/>
  <c r="BB393" i="1"/>
  <c r="BC393" i="1"/>
  <c r="BD393" i="1"/>
  <c r="BE393" i="1"/>
  <c r="BF393" i="1"/>
  <c r="BG393" i="1"/>
  <c r="BH393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AT381" i="1"/>
  <c r="AU381" i="1"/>
  <c r="AV381" i="1"/>
  <c r="AW381" i="1"/>
  <c r="AX381" i="1"/>
  <c r="AY381" i="1"/>
  <c r="AZ381" i="1"/>
  <c r="BA381" i="1"/>
  <c r="BB381" i="1"/>
  <c r="BC381" i="1"/>
  <c r="BD381" i="1"/>
  <c r="BE381" i="1"/>
  <c r="BF381" i="1"/>
  <c r="BG381" i="1"/>
  <c r="BH381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AT365" i="1"/>
  <c r="AU365" i="1"/>
  <c r="AV365" i="1"/>
  <c r="AW365" i="1"/>
  <c r="AX365" i="1"/>
  <c r="AY365" i="1"/>
  <c r="AZ365" i="1"/>
  <c r="BA365" i="1"/>
  <c r="BB365" i="1"/>
  <c r="BC365" i="1"/>
  <c r="BD365" i="1"/>
  <c r="BE365" i="1"/>
  <c r="BF365" i="1"/>
  <c r="BG365" i="1"/>
  <c r="BH365" i="1"/>
  <c r="AT388" i="1"/>
  <c r="AU388" i="1"/>
  <c r="AV388" i="1"/>
  <c r="AW388" i="1"/>
  <c r="AX388" i="1"/>
  <c r="AY388" i="1"/>
  <c r="AZ388" i="1"/>
  <c r="BA388" i="1"/>
  <c r="BB388" i="1"/>
  <c r="BC388" i="1"/>
  <c r="BD388" i="1"/>
  <c r="BE388" i="1"/>
  <c r="BF388" i="1"/>
  <c r="BG388" i="1"/>
  <c r="BH388" i="1"/>
  <c r="BI414" i="1" l="1"/>
  <c r="BI412" i="1"/>
  <c r="BI408" i="1"/>
  <c r="BI409" i="1"/>
  <c r="BI411" i="1"/>
  <c r="BI410" i="1"/>
  <c r="BI413" i="1"/>
  <c r="BI271" i="1"/>
  <c r="BI340" i="1"/>
  <c r="BI384" i="1"/>
  <c r="BI148" i="1"/>
  <c r="BI259" i="1"/>
  <c r="BI66" i="1"/>
  <c r="BI287" i="1"/>
  <c r="BI220" i="1"/>
  <c r="BI25" i="1"/>
  <c r="BI270" i="1"/>
  <c r="BI334" i="1"/>
  <c r="BI241" i="1"/>
  <c r="BI247" i="1"/>
  <c r="BI54" i="1"/>
  <c r="BI128" i="1"/>
  <c r="BI145" i="1"/>
  <c r="BI85" i="1"/>
  <c r="BI336" i="1"/>
  <c r="BI12" i="1"/>
  <c r="BI44" i="1"/>
  <c r="BI135" i="1"/>
  <c r="BI327" i="1"/>
  <c r="BI189" i="1"/>
  <c r="BI323" i="1"/>
  <c r="BI16" i="1"/>
  <c r="BI112" i="1"/>
  <c r="BI222" i="1"/>
  <c r="BI46" i="1"/>
  <c r="BI7" i="1"/>
  <c r="BI225" i="1"/>
  <c r="BI201" i="1"/>
  <c r="BI155" i="1"/>
  <c r="BI294" i="1"/>
  <c r="BI221" i="1"/>
  <c r="BI377" i="1"/>
  <c r="BI237" i="1"/>
  <c r="BI123" i="1"/>
  <c r="BI103" i="1"/>
  <c r="BI190" i="1"/>
  <c r="BI357" i="1"/>
  <c r="BI188" i="1"/>
  <c r="BI184" i="1"/>
  <c r="BI110" i="1"/>
  <c r="BI109" i="1"/>
  <c r="BI397" i="1"/>
  <c r="BI314" i="1"/>
  <c r="BI186" i="1"/>
  <c r="BI43" i="1"/>
  <c r="BI15" i="1"/>
  <c r="BI86" i="1"/>
  <c r="BI342" i="1"/>
  <c r="BI187" i="1"/>
  <c r="BI298" i="1"/>
  <c r="BI152" i="1"/>
  <c r="BI299" i="1"/>
  <c r="BI117" i="1"/>
  <c r="BI205" i="1"/>
  <c r="BI245" i="1"/>
  <c r="BI158" i="1"/>
  <c r="BI171" i="1"/>
  <c r="BI280" i="1"/>
  <c r="BI315" i="1"/>
  <c r="BI76" i="1"/>
  <c r="BI57" i="1"/>
  <c r="BI395" i="1"/>
  <c r="BI251" i="1"/>
  <c r="BI400" i="1"/>
  <c r="BI365" i="1"/>
  <c r="BI309" i="1"/>
  <c r="BI95" i="1"/>
  <c r="BI87" i="1"/>
  <c r="BI94" i="1"/>
  <c r="BI156" i="1"/>
  <c r="BI93" i="1"/>
  <c r="BI32" i="1"/>
  <c r="BI253" i="1"/>
  <c r="BI354" i="1"/>
  <c r="BI300" i="1"/>
  <c r="BI368" i="1"/>
  <c r="BI23" i="1"/>
  <c r="BI254" i="1"/>
  <c r="BI78" i="1"/>
  <c r="BI27" i="1"/>
  <c r="BI90" i="1"/>
  <c r="BI348" i="1"/>
  <c r="BI71" i="1"/>
  <c r="BI24" i="1"/>
  <c r="BI371" i="1"/>
  <c r="BI69" i="1"/>
  <c r="BI405" i="1"/>
  <c r="BI19" i="1"/>
  <c r="BI70" i="1"/>
  <c r="BI74" i="1"/>
  <c r="BI73" i="1"/>
  <c r="BI389" i="1"/>
  <c r="BI63" i="1"/>
  <c r="BI11" i="1"/>
  <c r="BI116" i="1"/>
  <c r="BI353" i="1"/>
  <c r="BI399" i="1"/>
  <c r="BI65" i="1"/>
  <c r="BI204" i="1"/>
  <c r="BI269" i="1"/>
  <c r="BI97" i="1"/>
  <c r="BI234" i="1"/>
  <c r="BI310" i="1"/>
  <c r="BI263" i="1"/>
  <c r="BI154" i="1"/>
  <c r="BI139" i="1"/>
  <c r="BI17" i="1"/>
  <c r="BI199" i="1"/>
  <c r="BI217" i="1"/>
  <c r="BI165" i="1"/>
  <c r="BI53" i="1"/>
  <c r="BI385" i="1"/>
  <c r="BI33" i="1"/>
  <c r="BI163" i="1"/>
  <c r="BI369" i="1"/>
  <c r="BI267" i="1"/>
  <c r="BI40" i="1"/>
  <c r="BI131" i="1"/>
  <c r="BI120" i="1"/>
  <c r="BI367" i="1"/>
  <c r="BI307" i="1"/>
  <c r="BI407" i="1"/>
  <c r="BI137" i="1"/>
  <c r="BI83" i="1"/>
  <c r="BI82" i="1"/>
  <c r="BI168" i="1"/>
  <c r="BI375" i="1"/>
  <c r="BI281" i="1"/>
  <c r="BI161" i="1"/>
  <c r="BI272" i="1"/>
  <c r="BI185" i="1"/>
  <c r="BI89" i="1"/>
  <c r="BI356" i="1"/>
  <c r="BI115" i="1"/>
  <c r="BI335" i="1"/>
  <c r="BI279" i="1"/>
  <c r="BI311" i="1"/>
  <c r="BI380" i="1"/>
  <c r="BI216" i="1"/>
  <c r="BI130" i="1"/>
  <c r="BI250" i="1"/>
  <c r="BI308" i="1"/>
  <c r="BI256" i="1"/>
  <c r="BI212" i="1"/>
  <c r="BI84" i="1"/>
  <c r="BI182" i="1"/>
  <c r="BI322" i="1"/>
  <c r="BI274" i="1"/>
  <c r="BI45" i="1"/>
  <c r="BI179" i="1"/>
  <c r="BI149" i="1"/>
  <c r="BI396" i="1"/>
  <c r="BI13" i="1"/>
  <c r="BI224" i="1"/>
  <c r="BI286" i="1"/>
  <c r="BI252" i="1"/>
  <c r="BI133" i="1"/>
  <c r="BI394" i="1"/>
  <c r="BI39" i="1"/>
  <c r="BI157" i="1"/>
  <c r="BI349" i="1"/>
  <c r="BI306" i="1"/>
  <c r="BI244" i="1"/>
  <c r="BI202" i="1"/>
  <c r="BI232" i="1"/>
  <c r="BI129" i="1"/>
  <c r="BI28" i="1"/>
  <c r="BI337" i="1"/>
  <c r="BI248" i="1"/>
  <c r="BI249" i="1"/>
  <c r="BI151" i="1"/>
  <c r="BI160" i="1"/>
  <c r="BI114" i="1"/>
  <c r="BI41" i="1"/>
  <c r="BI67" i="1"/>
  <c r="BI321" i="1"/>
  <c r="BI381" i="1"/>
  <c r="BI332" i="1"/>
  <c r="BI364" i="1"/>
  <c r="BI266" i="1"/>
  <c r="BI96" i="1"/>
  <c r="BI243" i="1"/>
  <c r="BI183" i="1"/>
  <c r="BI277" i="1"/>
  <c r="BI169" i="1"/>
  <c r="BI328" i="1"/>
  <c r="BI350" i="1"/>
  <c r="BI75" i="1"/>
  <c r="BI140" i="1"/>
  <c r="BI72" i="1"/>
  <c r="BI26" i="1"/>
  <c r="BI233" i="1"/>
  <c r="BI355" i="1"/>
  <c r="BI106" i="1"/>
  <c r="BI382" i="1"/>
  <c r="BI393" i="1"/>
  <c r="BI218" i="1"/>
  <c r="BI278" i="1"/>
  <c r="BI108" i="1"/>
  <c r="BI228" i="1"/>
  <c r="BI88" i="1"/>
  <c r="BI55" i="1"/>
  <c r="BI56" i="1"/>
  <c r="BI34" i="1"/>
  <c r="BI9" i="1"/>
  <c r="BI341" i="1"/>
  <c r="BI326" i="1"/>
  <c r="BI195" i="1"/>
  <c r="BI38" i="1"/>
  <c r="BI21" i="1"/>
  <c r="BI370" i="1"/>
  <c r="BI284" i="1"/>
  <c r="BI164" i="1"/>
  <c r="BI392" i="1"/>
  <c r="BI339" i="1"/>
  <c r="BI242" i="1"/>
  <c r="BI197" i="1"/>
  <c r="BI196" i="1"/>
  <c r="BI31" i="1"/>
  <c r="BI313" i="1"/>
  <c r="BI153" i="1"/>
  <c r="BI379" i="1"/>
  <c r="BI401" i="1"/>
  <c r="BI303" i="1"/>
  <c r="BI316" i="1"/>
  <c r="BI18" i="1"/>
  <c r="BI20" i="1"/>
  <c r="BI295" i="1"/>
  <c r="BI236" i="1"/>
  <c r="BI260" i="1"/>
  <c r="BI343" i="1"/>
  <c r="BI142" i="1"/>
  <c r="BI372" i="1"/>
  <c r="BI47" i="1"/>
  <c r="BI258" i="1"/>
  <c r="BI121" i="1"/>
  <c r="BI302" i="1"/>
  <c r="BI118" i="1"/>
  <c r="BI68" i="1"/>
  <c r="BI170" i="1"/>
  <c r="BI320" i="1"/>
  <c r="BI181" i="1"/>
  <c r="BI172" i="1"/>
  <c r="BI134" i="1"/>
  <c r="BI297" i="1"/>
  <c r="BI312" i="1"/>
  <c r="BI329" i="1"/>
  <c r="BI174" i="1"/>
  <c r="BI111" i="1"/>
  <c r="BI386" i="1"/>
  <c r="BI404" i="1"/>
  <c r="BI119" i="1"/>
  <c r="BI301" i="1"/>
  <c r="BI219" i="1"/>
  <c r="BI388" i="1"/>
  <c r="BI292" i="1"/>
  <c r="BI265" i="1"/>
  <c r="BI305" i="1"/>
  <c r="BI293" i="1"/>
  <c r="BI99" i="1"/>
  <c r="BI223" i="1"/>
  <c r="BI107" i="1"/>
  <c r="BI37" i="1"/>
  <c r="BI101" i="1"/>
  <c r="BI378" i="1"/>
  <c r="BI331" i="1"/>
  <c r="BI211" i="1"/>
  <c r="BI105" i="1"/>
  <c r="BI51" i="1"/>
  <c r="BI180" i="1"/>
  <c r="BI406" i="1"/>
  <c r="BI363" i="1"/>
  <c r="BI113" i="1"/>
  <c r="BI325" i="1"/>
  <c r="BI351" i="1"/>
  <c r="BI49" i="1"/>
  <c r="BI261" i="1"/>
  <c r="BI132" i="1"/>
  <c r="BI127" i="1"/>
  <c r="BI14" i="1"/>
  <c r="BI176" i="1"/>
  <c r="BI403" i="1"/>
  <c r="BI264" i="1"/>
  <c r="BI352" i="1"/>
  <c r="BI268" i="1"/>
  <c r="BI214" i="1"/>
  <c r="BI324" i="1"/>
  <c r="BI345" i="1"/>
  <c r="BI50" i="1"/>
  <c r="BI255" i="1"/>
  <c r="BI60" i="1"/>
  <c r="BI276" i="1"/>
  <c r="BI102" i="1"/>
  <c r="BI304" i="1"/>
  <c r="BI126" i="1"/>
  <c r="BI333" i="1"/>
  <c r="BI235" i="1"/>
  <c r="BI167" i="1"/>
  <c r="BI61" i="1"/>
  <c r="BI285" i="1"/>
  <c r="BI177" i="1"/>
  <c r="BI262" i="1"/>
  <c r="BI81" i="1"/>
  <c r="BI80" i="1"/>
  <c r="BI231" i="1"/>
  <c r="BI200" i="1"/>
  <c r="BI289" i="1"/>
  <c r="BI215" i="1"/>
  <c r="BI52" i="1"/>
  <c r="BI146" i="1"/>
  <c r="BI391" i="1"/>
  <c r="BI198" i="1"/>
  <c r="BI291" i="1"/>
  <c r="BI227" i="1"/>
  <c r="BI257" i="1"/>
  <c r="BI338" i="1"/>
  <c r="BI48" i="1"/>
  <c r="BI144" i="1"/>
  <c r="BI239" i="1"/>
  <c r="BI290" i="1"/>
  <c r="BI402" i="1"/>
  <c r="BI275" i="1"/>
  <c r="BI59" i="1"/>
  <c r="BI283" i="1"/>
  <c r="BI100" i="1"/>
  <c r="BI203" i="1"/>
  <c r="BI366" i="1"/>
  <c r="BI30" i="1"/>
  <c r="BI282" i="1"/>
  <c r="BI58" i="1"/>
  <c r="BI125" i="1"/>
  <c r="BI62" i="1"/>
  <c r="BI8" i="1"/>
  <c r="BI383" i="1"/>
  <c r="BI362" i="1"/>
  <c r="BI376" i="1"/>
  <c r="BI387" i="1"/>
  <c r="BI42" i="1"/>
  <c r="BI330" i="1"/>
  <c r="BI79" i="1"/>
  <c r="BI136" i="1"/>
  <c r="BI246" i="1"/>
  <c r="BI344" i="1"/>
  <c r="BI318" i="1"/>
  <c r="BI317" i="1"/>
  <c r="BI210" i="1"/>
  <c r="BI374" i="1"/>
  <c r="BI173" i="1"/>
  <c r="BI162" i="1"/>
  <c r="BI361" i="1"/>
  <c r="BI193" i="1"/>
  <c r="BI138" i="1"/>
  <c r="BI91" i="1"/>
  <c r="BI273" i="1"/>
  <c r="BI230" i="1"/>
  <c r="BI213" i="1"/>
  <c r="BI209" i="1"/>
  <c r="BI124" i="1"/>
  <c r="BI92" i="1"/>
  <c r="BI22" i="1"/>
  <c r="BI240" i="1"/>
  <c r="BI347" i="1"/>
  <c r="BI360" i="1"/>
  <c r="BI319" i="1"/>
  <c r="BI226" i="1"/>
  <c r="BI36" i="1"/>
  <c r="BI373" i="1"/>
  <c r="BI346" i="1"/>
  <c r="BI175" i="1"/>
  <c r="BI288" i="1"/>
  <c r="BI178" i="1"/>
  <c r="BI207" i="1"/>
  <c r="BI77" i="1"/>
  <c r="BI194" i="1"/>
  <c r="BI359" i="1"/>
  <c r="BI206" i="1"/>
  <c r="BI358" i="1"/>
  <c r="BI35" i="1"/>
  <c r="BI29" i="1"/>
  <c r="BI122" i="1"/>
  <c r="BI10" i="1"/>
  <c r="BI296" i="1"/>
  <c r="BI398" i="1"/>
  <c r="BI238" i="1"/>
  <c r="BI141" i="1"/>
  <c r="BI390" i="1"/>
  <c r="BI143" i="1"/>
  <c r="BI150" i="1"/>
  <c r="BI104" i="1"/>
  <c r="BI98" i="1"/>
  <c r="BI147" i="1"/>
  <c r="BI159" i="1"/>
  <c r="BI191" i="1"/>
  <c r="BI229" i="1"/>
  <c r="BI208" i="1"/>
  <c r="BI192" i="1"/>
  <c r="BI166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DANIELA JEREZ </author>
    <author>Paolo Alvarez</author>
    <author>DIEGO ARAYA</author>
    <author>RGODOY</author>
  </authors>
  <commentList>
    <comment ref="R7" authorId="0" shapeId="0" xr:uid="{0D7BBE4A-2620-4082-B8AA-119FB51FD92F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8" authorId="0" shapeId="0" xr:uid="{56BAAE3C-3785-4024-BA42-B9221202C1A3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9" authorId="0" shapeId="0" xr:uid="{8D425BE4-4880-4229-9194-28C020F42548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P10" authorId="1" shapeId="0" xr:uid="{1AE9AD9E-C33E-4DE2-825E-1C229F8A0144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26-03-25 HASTA EL 10-04-26</t>
        </r>
      </text>
    </comment>
    <comment ref="Q10" authorId="1" shapeId="0" xr:uid="{AC03B946-ADF7-4EBB-9381-08EDE2DBC367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26-03-25 HASTA EL 10-04-26</t>
        </r>
      </text>
    </comment>
    <comment ref="R10" authorId="1" shapeId="0" xr:uid="{B4EABF7E-F9C6-49B8-B247-2F362A1F0A9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26-03-25 HASTA EL 10-04-26</t>
        </r>
      </text>
    </comment>
    <comment ref="S10" authorId="1" shapeId="0" xr:uid="{06D3C453-3F39-4C90-B170-61197F87DFD0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26-03-25 HASTA EL 10-04-26</t>
        </r>
      </text>
    </comment>
    <comment ref="T10" authorId="1" shapeId="0" xr:uid="{5306C3D7-AE1E-4476-942C-7A024E0637D9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26-03-25 HASTA EL 10-04-26</t>
        </r>
      </text>
    </comment>
    <comment ref="U10" authorId="1" shapeId="0" xr:uid="{46F09EE4-E1A7-4444-9560-7B6EB8E60E33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26-03-25 HASTA EL 10-04-26</t>
        </r>
      </text>
    </comment>
    <comment ref="V10" authorId="1" shapeId="0" xr:uid="{44C26F5A-B900-44A5-93AE-2B12CD2FE609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26-03-25 HASTA EL 10-04-26</t>
        </r>
      </text>
    </comment>
    <comment ref="W10" authorId="1" shapeId="0" xr:uid="{A0E9A8A7-B84A-4C79-A23D-BCDB2B16527A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26-03-25 HASTA EL 10-04-26</t>
        </r>
      </text>
    </comment>
    <comment ref="X10" authorId="1" shapeId="0" xr:uid="{4239224C-6CF3-48B0-8C77-C89636C280B4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26-03-25 HASTA EL 10-04-26</t>
        </r>
      </text>
    </comment>
    <comment ref="Y10" authorId="1" shapeId="0" xr:uid="{E67888EF-5A7F-4A6F-A023-07B983520BCE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26-03-25 HASTA EL 10-04-26</t>
        </r>
      </text>
    </comment>
    <comment ref="P14" authorId="1" shapeId="0" xr:uid="{9B962FC7-150E-4296-AB0F-A4FB69B1ECE3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23-02-26 HASTA EL 09-03-26</t>
        </r>
      </text>
    </comment>
    <comment ref="Q14" authorId="1" shapeId="0" xr:uid="{B24A7794-EBBD-452A-92BF-4945E4687DA7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23-02-26 HASTA EL 09-03-26</t>
        </r>
      </text>
    </comment>
    <comment ref="R14" authorId="1" shapeId="0" xr:uid="{90A80B98-B730-4E2B-9ED6-4892D795D764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23-02-26 HASTA EL 09-03-26</t>
        </r>
      </text>
    </comment>
    <comment ref="S14" authorId="1" shapeId="0" xr:uid="{44AEE940-569A-427F-B516-60825C9C19A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23-02-26 HASTA EL 09-03-26</t>
        </r>
      </text>
    </comment>
    <comment ref="T14" authorId="1" shapeId="0" xr:uid="{DC2BDFDD-2AED-4961-9956-5884A86CFB6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23-02-26 HASTA EL 09-03-26</t>
        </r>
      </text>
    </comment>
    <comment ref="U14" authorId="1" shapeId="0" xr:uid="{C6789C29-156A-4993-B0B7-3563AAF6B354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23-02-26 HASTA EL 09-03-26</t>
        </r>
      </text>
    </comment>
    <comment ref="V14" authorId="1" shapeId="0" xr:uid="{061408BB-B21A-451B-8FB1-78DDBA0B7BDE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23-02-26 HASTA EL 09-03-26</t>
        </r>
      </text>
    </comment>
    <comment ref="W14" authorId="1" shapeId="0" xr:uid="{0EFD4A58-9689-4908-B915-E0A200F9867F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23-02-26 HASTA EL 09-03-26</t>
        </r>
      </text>
    </comment>
    <comment ref="X14" authorId="1" shapeId="0" xr:uid="{70F6DDF9-6B48-4E6F-93D4-3CA2B7FC717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23-02-26 HASTA EL 09-03-26</t>
        </r>
      </text>
    </comment>
    <comment ref="Q15" authorId="0" shapeId="0" xr:uid="{C30C7170-6B41-445D-BC5E-593847BEA7E0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OFICINA DE OLIVAR </t>
        </r>
      </text>
    </comment>
    <comment ref="R15" authorId="0" shapeId="0" xr:uid="{F5C0A6B2-D7C0-490B-A871-BD9BD145F42D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16" authorId="0" shapeId="0" xr:uid="{270FC20B-84EE-48B8-87A6-C8DC311CC056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P20" authorId="1" shapeId="0" xr:uid="{E19C18F1-111A-4050-95BD-26D04779DD86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MILLAN</t>
        </r>
      </text>
    </comment>
    <comment ref="R20" authorId="0" shapeId="0" xr:uid="{4B24BCA7-20BD-4330-854B-F6958CC97F97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P30" authorId="1" shapeId="0" xr:uid="{F7B27250-727B-477A-849C-3FF828DE9C5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Q30" authorId="1" shapeId="0" xr:uid="{B124E9B7-AB7B-4B3C-8CFA-A3E1EC4D254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R30" authorId="1" shapeId="0" xr:uid="{4621F586-8C56-4DD2-ADFB-C40756DCABC3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S30" authorId="1" shapeId="0" xr:uid="{2B0D8894-E38B-47E5-BD03-011E048151A7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T30" authorId="1" shapeId="0" xr:uid="{5EBA5BE6-C2B6-4E8B-AC5B-C0E361A5FF67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U30" authorId="1" shapeId="0" xr:uid="{C551026D-FB42-4C31-A38E-EE0C6FFB1C1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V30" authorId="1" shapeId="0" xr:uid="{E2BBC2A9-ECCD-4F32-A080-00F7AAFD2B1F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W30" authorId="1" shapeId="0" xr:uid="{415CA0D5-29E4-49B1-AC70-A5C113AC5C0A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X30" authorId="1" shapeId="0" xr:uid="{7FABE672-851A-4239-808A-A805AA254846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Y30" authorId="1" shapeId="0" xr:uid="{EA62DE26-8774-41DA-AA0C-C4C89802E140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Z30" authorId="1" shapeId="0" xr:uid="{0B39E722-3E89-4E54-808A-1552AEEDF20C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AA30" authorId="1" shapeId="0" xr:uid="{32B2DB72-AE31-4711-A6B8-6257E5032893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AB30" authorId="1" shapeId="0" xr:uid="{9FFA2122-BAF6-4358-89D5-CC0D6AD5528B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AC30" authorId="1" shapeId="0" xr:uid="{7870C9AD-E79C-4BC9-A8B7-E7E91D18921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AD30" authorId="1" shapeId="0" xr:uid="{5ED9C404-1931-46B2-847E-782712D48750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AE30" authorId="1" shapeId="0" xr:uid="{9A98D4AC-338C-4384-A890-669232D47312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AF30" authorId="1" shapeId="0" xr:uid="{C3683B63-872A-4438-BA36-77802CBEB982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AG30" authorId="1" shapeId="0" xr:uid="{886DC3BB-7E4B-41E0-9CAF-20999A31326C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AH30" authorId="1" shapeId="0" xr:uid="{EA916DDE-B493-4402-A6B4-BE6D9A9D897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AI30" authorId="1" shapeId="0" xr:uid="{0DFF7B9A-C889-4450-B984-5D234A96D882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AJ30" authorId="1" shapeId="0" xr:uid="{07622419-39B7-44ED-BA27-B0C1B2094638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AK30" authorId="1" shapeId="0" xr:uid="{81872B41-996A-41B8-8BBE-1A1529F26CCE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AL30" authorId="1" shapeId="0" xr:uid="{E7E01069-7869-44CB-A57C-E2CDDB734DE7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25-03-26 HSTA EL 23-04-26</t>
        </r>
      </text>
    </comment>
    <comment ref="R41" authorId="0" shapeId="0" xr:uid="{4FAA8410-72D3-4287-BBBE-39F7DB09D6E6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P42" authorId="1" shapeId="0" xr:uid="{1DE51208-2410-4E33-9D92-8A7CEF031812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01-04-2026 HASTA EL 11-04-2026</t>
        </r>
      </text>
    </comment>
    <comment ref="Q42" authorId="1" shapeId="0" xr:uid="{5A5A8DDC-D8EF-4C60-AEBA-27C7872EEE7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01-04-2026 HASTA EL 11-04-2026</t>
        </r>
      </text>
    </comment>
    <comment ref="R42" authorId="1" shapeId="0" xr:uid="{92FBDE63-44AA-44EB-B9AB-F83AD01D6D1B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01-04-2026 HASTA EL 11-04-2026</t>
        </r>
      </text>
    </comment>
    <comment ref="S42" authorId="1" shapeId="0" xr:uid="{A234F6B2-F9C4-47DC-90BF-97935669B1ED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01-04-2026 HASTA EL 11-04-2026</t>
        </r>
      </text>
    </comment>
    <comment ref="T42" authorId="1" shapeId="0" xr:uid="{403D5B09-D855-459C-B3CD-418570044A33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01-04-2026 HASTA EL 11-04-2026</t>
        </r>
      </text>
    </comment>
    <comment ref="U42" authorId="1" shapeId="0" xr:uid="{D33D4E78-75F0-43D0-9C14-3A1A5793061F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01-04-2026 HASTA EL 11-04-2026</t>
        </r>
      </text>
    </comment>
    <comment ref="V42" authorId="1" shapeId="0" xr:uid="{C0BEF2F9-79DB-4404-8E01-D050CC8AB297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01-04-2026 HASTA EL 11-04-2026</t>
        </r>
      </text>
    </comment>
    <comment ref="W42" authorId="1" shapeId="0" xr:uid="{994395A4-1BB6-4418-9E2B-B8A6AB0CF259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01-04-2026 HASTA EL 11-04-2026</t>
        </r>
      </text>
    </comment>
    <comment ref="X42" authorId="1" shapeId="0" xr:uid="{4490F580-FAEC-43A0-94FD-6D9CDC23FE4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01-04-2026 HASTA EL 11-04-2026</t>
        </r>
      </text>
    </comment>
    <comment ref="Y42" authorId="1" shapeId="0" xr:uid="{C3562F19-2DAF-4F6C-B618-49600D88C824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01-04-2026 HASTA EL 11-04-2026</t>
        </r>
      </text>
    </comment>
    <comment ref="Z42" authorId="1" shapeId="0" xr:uid="{BE9A1F6E-17DA-418E-88BF-956A16501DEE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01-04-2026 HASTA EL 11-04-2026</t>
        </r>
      </text>
    </comment>
    <comment ref="P57" authorId="1" shapeId="0" xr:uid="{77176EB0-AE59-425B-BD7E-893ABB5C114A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MILLAN</t>
        </r>
      </text>
    </comment>
    <comment ref="R57" authorId="0" shapeId="0" xr:uid="{B2C6741E-9846-40DD-A9B7-CE91C164AFD8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59" authorId="0" shapeId="0" xr:uid="{E750A15D-A40F-4137-8F17-1B2EA9CD5CED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62" authorId="0" shapeId="0" xr:uid="{A9CBCE54-5A82-4347-A132-A37053EDA040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Q78" authorId="0" shapeId="0" xr:uid="{15F98397-F235-4615-BC53-D1C0A8BA2464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02-04-26 AL 06-04-26
</t>
        </r>
      </text>
    </comment>
    <comment ref="R78" authorId="0" shapeId="0" xr:uid="{1168ED83-A07C-418D-9EAC-3E4FD9F8298C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02-04-26 AL 06-04-26
</t>
        </r>
      </text>
    </comment>
    <comment ref="S78" authorId="0" shapeId="0" xr:uid="{CF48CF4A-5EC2-43F2-8C99-1FF9BC438111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02-04-26 AL 06-04-26
</t>
        </r>
      </text>
    </comment>
    <comment ref="T78" authorId="0" shapeId="0" xr:uid="{D550FD2A-BD14-4570-AEC3-66CCA0C39AE3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02-04-26 AL 06-04-26
</t>
        </r>
      </text>
    </comment>
    <comment ref="U78" authorId="0" shapeId="0" xr:uid="{D5E0F413-EC9B-4E96-934E-344271FF6DDB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02-04-26 AL 06-04-26
</t>
        </r>
      </text>
    </comment>
    <comment ref="R85" authorId="0" shapeId="0" xr:uid="{041F9852-24ED-4847-9FCD-AA78CD74B054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Q95" authorId="0" shapeId="0" xr:uid="{B2C972D2-CC78-4E07-B56A-31540A4347DD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02-04-26 al 08-04-26
</t>
        </r>
      </text>
    </comment>
    <comment ref="R95" authorId="0" shapeId="0" xr:uid="{2B71B72E-8D22-46EB-BB17-FB53AB7E638B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02-04-26 al 08-04-26
</t>
        </r>
      </text>
    </comment>
    <comment ref="S95" authorId="0" shapeId="0" xr:uid="{F1494999-8002-4009-A48C-7869E7B36F2D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02-04-26 al 08-04-26
</t>
        </r>
      </text>
    </comment>
    <comment ref="T95" authorId="0" shapeId="0" xr:uid="{35099913-B6F2-454A-8CEB-F92F5C3ED151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02-04-26 al 08-04-26
</t>
        </r>
      </text>
    </comment>
    <comment ref="U95" authorId="0" shapeId="0" xr:uid="{E3D791D6-CB72-4F71-9DDD-8A72D21E8D25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02-04-26 al 08-04-26
</t>
        </r>
      </text>
    </comment>
    <comment ref="V95" authorId="0" shapeId="0" xr:uid="{550B1BCA-ECA1-4BD6-B7CB-E4BA42C0044B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02-04-26 al 08-04-26
</t>
        </r>
      </text>
    </comment>
    <comment ref="W95" authorId="0" shapeId="0" xr:uid="{838331FE-4E13-4D55-9765-77A47056A4CD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02-04-26 al 08-04-26
</t>
        </r>
      </text>
    </comment>
    <comment ref="P99" authorId="1" shapeId="0" xr:uid="{B4C9999E-A0F5-4506-A1EC-CE6F4494B3A7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14-03-26 HASTA EL 03-04-26</t>
        </r>
      </text>
    </comment>
    <comment ref="Q99" authorId="1" shapeId="0" xr:uid="{00B84C91-CC3A-4821-B20F-CD5DD7448AF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14-03-26 HASTA EL 03-04-26</t>
        </r>
      </text>
    </comment>
    <comment ref="R99" authorId="1" shapeId="0" xr:uid="{859A9EDC-F501-45BB-8A19-C4DB1D4D5593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14-03-26 HASTA EL 03-04-26</t>
        </r>
      </text>
    </comment>
    <comment ref="S99" authorId="0" shapeId="0" xr:uid="{53BE9C35-04E7-41AE-B039-33DDF16D541E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T99" authorId="0" shapeId="0" xr:uid="{1BDFE6E0-E400-4256-B624-A4DC4562A54B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U99" authorId="0" shapeId="0" xr:uid="{13BE32B8-C5CD-436B-8896-6A223B706BD6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V99" authorId="0" shapeId="0" xr:uid="{936BFDE1-51BC-47E6-805F-CBDD637A8463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W99" authorId="0" shapeId="0" xr:uid="{CBBFA916-1CCA-41D6-910F-E8038E9A4FE1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X99" authorId="0" shapeId="0" xr:uid="{F69CE4F1-18DE-409C-8042-20A398BF42BB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Y99" authorId="0" shapeId="0" xr:uid="{5D8AC82D-2539-4206-AB70-3EB35C24A29A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Z99" authorId="0" shapeId="0" xr:uid="{3E63F3B4-6043-409B-BBB2-FBEB00F61F92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A99" authorId="0" shapeId="0" xr:uid="{F862326C-7F9D-4A04-B20E-B0833D15000F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B99" authorId="0" shapeId="0" xr:uid="{FE499FB8-A399-463D-BFF1-B8CF52923E2F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C99" authorId="0" shapeId="0" xr:uid="{3A65E1CD-2389-4D4E-B6AD-C39871D8EFAE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D99" authorId="0" shapeId="0" xr:uid="{2A961BA4-81B0-4558-8893-F7801CFD50B7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E99" authorId="0" shapeId="0" xr:uid="{DD7B7885-D088-4E18-A2FE-25B9766ABCE2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F99" authorId="0" shapeId="0" xr:uid="{20502EE4-11C8-43B0-B2B6-E231533D9779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G99" authorId="0" shapeId="0" xr:uid="{DE26BB3F-C6FC-479E-BB60-8EBA528AD0EB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H99" authorId="0" shapeId="0" xr:uid="{189CB47C-BD03-4507-901D-17C4498F0DA9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I99" authorId="0" shapeId="0" xr:uid="{FD92C074-82CD-4265-838D-1A2170D5607F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J99" authorId="0" shapeId="0" xr:uid="{9848E20E-B0D7-42B0-8C01-4A062718D6A7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K99" authorId="0" shapeId="0" xr:uid="{E72EB813-3FED-47F1-B236-5FE966EB3469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L99" authorId="0" shapeId="0" xr:uid="{2A4B4665-2FC5-4268-9A85-520DFEA578C1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M99" authorId="0" shapeId="0" xr:uid="{777E702B-FDED-4025-A542-861355FBD416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N99" authorId="0" shapeId="0" xr:uid="{4CBDB6F2-18B9-4606-B7C7-D82628CA9F25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O99" authorId="0" shapeId="0" xr:uid="{1DC4607C-1C70-485F-BCD2-494DE8E78366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P99" authorId="0" shapeId="0" xr:uid="{437F818C-A18C-46CE-9DD3-30F96F6CC122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Q99" authorId="0" shapeId="0" xr:uid="{9F97E97E-414F-4F88-9CB1-C53B6BC4BAF0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R99" authorId="0" shapeId="0" xr:uid="{23A83CDE-8756-426A-828A-F9A53882DB7F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AS99" authorId="0" shapeId="0" xr:uid="{C5D258C3-C3C5-47DA-B0DB-3A9B2F12898A}">
      <text>
        <r>
          <rPr>
            <b/>
            <sz val="9"/>
            <color indexed="81"/>
            <rFont val="Tahoma"/>
            <charset val="1"/>
          </rPr>
          <t>DANIELA JEREZ :</t>
        </r>
        <r>
          <rPr>
            <sz val="9"/>
            <color indexed="81"/>
            <rFont val="Tahoma"/>
            <charset val="1"/>
          </rPr>
          <t xml:space="preserve">
LICENCIA MEDICA 04-04-26 AL 03-05-2026</t>
        </r>
      </text>
    </comment>
    <comment ref="P101" authorId="2" shapeId="0" xr:uid="{E50718E6-2C0C-458D-815B-12F586D781C9}">
      <text>
        <r>
          <rPr>
            <b/>
            <sz val="9"/>
            <color indexed="81"/>
            <rFont val="Tahoma"/>
            <family val="2"/>
          </rPr>
          <t>DANIELA JEREZ:
LICENCIA MEDICA 17-03-2026 AL 15-04-2026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01" authorId="2" shapeId="0" xr:uid="{FE42126E-9554-4076-8446-7E2D757BC771}">
      <text>
        <r>
          <rPr>
            <b/>
            <sz val="9"/>
            <color indexed="81"/>
            <rFont val="Tahoma"/>
            <family val="2"/>
          </rPr>
          <t>DANIELA JEREZ:
LICENCIA MEDICA 17-03-2026 AL 15-04-2026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01" authorId="2" shapeId="0" xr:uid="{69AA7783-269E-418B-A750-B1EBB3A01A2A}">
      <text>
        <r>
          <rPr>
            <b/>
            <sz val="9"/>
            <color indexed="81"/>
            <rFont val="Tahoma"/>
            <family val="2"/>
          </rPr>
          <t>DANIELA JEREZ:
LICENCIA MEDICA 17-03-2026 AL 15-04-2026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01" authorId="2" shapeId="0" xr:uid="{AC4AAB94-9097-4F4C-B31C-E5B7794103AB}">
      <text>
        <r>
          <rPr>
            <b/>
            <sz val="9"/>
            <color indexed="81"/>
            <rFont val="Tahoma"/>
            <family val="2"/>
          </rPr>
          <t>DANIELA JEREZ:
LICENCIA MEDICA 17-03-2026 AL 15-04-2026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01" authorId="2" shapeId="0" xr:uid="{5EEC717D-F043-4231-AD31-10E13E128691}">
      <text>
        <r>
          <rPr>
            <b/>
            <sz val="9"/>
            <color indexed="81"/>
            <rFont val="Tahoma"/>
            <family val="2"/>
          </rPr>
          <t>DANIELA JEREZ:
LICENCIA MEDICA 17-03-2026 AL 15-04-2026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01" authorId="2" shapeId="0" xr:uid="{C8452897-3923-4C35-BF6E-973E5A131133}">
      <text>
        <r>
          <rPr>
            <b/>
            <sz val="9"/>
            <color indexed="81"/>
            <rFont val="Tahoma"/>
            <family val="2"/>
          </rPr>
          <t>DANIELA JEREZ:
LICENCIA MEDICA 17-03-2026 AL 15-04-2026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01" authorId="2" shapeId="0" xr:uid="{0754679D-F78C-45BE-849C-06515825D6C4}">
      <text>
        <r>
          <rPr>
            <b/>
            <sz val="9"/>
            <color indexed="81"/>
            <rFont val="Tahoma"/>
            <family val="2"/>
          </rPr>
          <t>DANIELA JEREZ:
LICENCIA MEDICA 17-03-2026 AL 15-04-2026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01" authorId="2" shapeId="0" xr:uid="{CA483EC2-D2BE-4DC2-9929-CEEA90B8E531}">
      <text>
        <r>
          <rPr>
            <b/>
            <sz val="9"/>
            <color indexed="81"/>
            <rFont val="Tahoma"/>
            <family val="2"/>
          </rPr>
          <t>DANIELA JEREZ:
LICENCIA MEDICA 17-03-2026 AL 15-04-2026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01" authorId="2" shapeId="0" xr:uid="{A93A79BD-8224-401E-8C01-E11B38619B3D}">
      <text>
        <r>
          <rPr>
            <b/>
            <sz val="9"/>
            <color indexed="81"/>
            <rFont val="Tahoma"/>
            <family val="2"/>
          </rPr>
          <t>DANIELA JEREZ:
LICENCIA MEDICA 17-03-2026 AL 15-04-2026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1" authorId="2" shapeId="0" xr:uid="{25B21CEB-9AFE-4055-9A43-1FF7B9F23EE2}">
      <text>
        <r>
          <rPr>
            <b/>
            <sz val="9"/>
            <color indexed="81"/>
            <rFont val="Tahoma"/>
            <family val="2"/>
          </rPr>
          <t>DANIELA JEREZ:
LICENCIA MEDICA 17-03-2026 AL 15-04-2026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01" authorId="2" shapeId="0" xr:uid="{A6329AE8-F434-4B91-9E0A-5D2C574DFE4B}">
      <text>
        <r>
          <rPr>
            <b/>
            <sz val="9"/>
            <color indexed="81"/>
            <rFont val="Tahoma"/>
            <family val="2"/>
          </rPr>
          <t>DANIELA JEREZ:
LICENCIA MEDICA 17-03-2026 AL 15-04-2026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01" authorId="2" shapeId="0" xr:uid="{B05718A9-C2D9-4F89-8E7F-D400A4A8F584}">
      <text>
        <r>
          <rPr>
            <b/>
            <sz val="9"/>
            <color indexed="81"/>
            <rFont val="Tahoma"/>
            <family val="2"/>
          </rPr>
          <t>DANIELA JEREZ:
LICENCIA MEDICA 17-03-2026 AL 15-04-2026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01" authorId="2" shapeId="0" xr:uid="{074FB707-119D-4494-A705-80CB5F3AC7C4}">
      <text>
        <r>
          <rPr>
            <b/>
            <sz val="9"/>
            <color indexed="81"/>
            <rFont val="Tahoma"/>
            <family val="2"/>
          </rPr>
          <t>DANIELA JEREZ:
LICENCIA MEDICA 17-03-2026 AL 15-04-2026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01" authorId="2" shapeId="0" xr:uid="{E1EE3CDE-02C3-454D-A95D-F99A1F1F5148}">
      <text>
        <r>
          <rPr>
            <b/>
            <sz val="9"/>
            <color indexed="81"/>
            <rFont val="Tahoma"/>
            <family val="2"/>
          </rPr>
          <t>DANIELA JEREZ:
LICENCIA MEDICA 17-03-2026 AL 15-04-2026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01" authorId="2" shapeId="0" xr:uid="{05BBAE7B-B4FD-4EC1-ACFC-3711ED8296A5}">
      <text>
        <r>
          <rPr>
            <b/>
            <sz val="9"/>
            <color indexed="81"/>
            <rFont val="Tahoma"/>
            <family val="2"/>
          </rPr>
          <t>DANIELA JEREZ:
LICENCIA MEDICA 17-03-2026 AL 15-04-2026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15" authorId="1" shapeId="0" xr:uid="{7CDE3469-C68A-4AB7-BF10-D01D3636F346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19-02-26 HASTA EL 05-03-26</t>
        </r>
      </text>
    </comment>
    <comment ref="Q115" authorId="1" shapeId="0" xr:uid="{4968BD43-D969-4CC4-BDDE-36E1A736384A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19-02-26 HASTA EL 05-03-26</t>
        </r>
      </text>
    </comment>
    <comment ref="R115" authorId="1" shapeId="0" xr:uid="{084FD9A0-8B32-453F-BC18-46744822F4F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19-02-26 HASTA EL 05-03-26</t>
        </r>
      </text>
    </comment>
    <comment ref="S115" authorId="1" shapeId="0" xr:uid="{2E1DB5EE-BD7D-4346-B6AC-399A8FF992C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19-02-26 HASTA EL 05-03-26</t>
        </r>
      </text>
    </comment>
    <comment ref="T115" authorId="1" shapeId="0" xr:uid="{1DD258CC-0198-408A-89F3-707356EFDC5F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19-02-26 HASTA EL 05-03-26</t>
        </r>
      </text>
    </comment>
    <comment ref="Q134" authorId="0" shapeId="0" xr:uid="{802ACFAE-521E-40DA-859F-B95BE52BD3F5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BODEGA OLIVAR
</t>
        </r>
      </text>
    </comment>
    <comment ref="P145" authorId="1" shapeId="0" xr:uid="{1B357294-ADCD-4E80-92A5-6FE2FA2539D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26-02-26 HASTA EL 11-03-26</t>
        </r>
      </text>
    </comment>
    <comment ref="Q145" authorId="1" shapeId="0" xr:uid="{5C62643B-CEE1-44A3-A4AD-EEC703DB4FA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26-02-26 HASTA EL 11-03-26</t>
        </r>
      </text>
    </comment>
    <comment ref="R145" authorId="1" shapeId="0" xr:uid="{16F1C47E-FE98-4091-ADFE-A5DF0D82DC1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26-02-26 HASTA EL 11-03-26</t>
        </r>
      </text>
    </comment>
    <comment ref="S145" authorId="1" shapeId="0" xr:uid="{43A6D312-7823-491C-89B7-6EC6D57B60A4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26-02-26 HASTA EL 11-03-26</t>
        </r>
      </text>
    </comment>
    <comment ref="T145" authorId="1" shapeId="0" xr:uid="{7FC1551B-2007-471A-A758-7B56D50E59C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26-02-26 HASTA EL 11-03-26</t>
        </r>
      </text>
    </comment>
    <comment ref="U145" authorId="1" shapeId="0" xr:uid="{33B434E2-5B08-41C4-AC23-07C5DC8A9B27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26-02-26 HASTA EL 11-03-26</t>
        </r>
      </text>
    </comment>
    <comment ref="V145" authorId="1" shapeId="0" xr:uid="{77668C52-72A7-42A9-AA28-9E29178E36DF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26-02-26 HASTA EL 11-03-26</t>
        </r>
      </text>
    </comment>
    <comment ref="W145" authorId="1" shapeId="0" xr:uid="{CFDE57DD-38BB-4701-A53E-42CF44DEFAFC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26-02-26 HASTA EL 11-03-26</t>
        </r>
      </text>
    </comment>
    <comment ref="X145" authorId="1" shapeId="0" xr:uid="{C5C150E9-B28A-41ED-8CD1-CB139FB4BE59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26-02-26 HASTA EL 11-03-26</t>
        </r>
      </text>
    </comment>
    <comment ref="Y145" authorId="1" shapeId="0" xr:uid="{E3B41513-89C8-4C3C-B028-1855BE2E20BC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26-02-26 HASTA EL 11-03-26</t>
        </r>
      </text>
    </comment>
    <comment ref="Z145" authorId="1" shapeId="0" xr:uid="{5DFB3128-5EE0-4446-9BAA-48503A94B11E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26-02-26 HASTA EL 11-03-26</t>
        </r>
      </text>
    </comment>
    <comment ref="P148" authorId="1" shapeId="0" xr:uid="{B45E1B23-B119-464C-9EE0-8A0B8586DFE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04-03-26 HASTA EL 02-04-26</t>
        </r>
      </text>
    </comment>
    <comment ref="Q148" authorId="1" shapeId="0" xr:uid="{B08EEFE0-C15B-462F-9A13-4B47B8580083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04-03-26 HASTA EL 02-04-26</t>
        </r>
      </text>
    </comment>
    <comment ref="R161" authorId="0" shapeId="0" xr:uid="{0F43D924-8987-4FDA-8BB8-FABFEFE07018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P162" authorId="1" shapeId="0" xr:uid="{C0856F35-4A1F-4363-8549-A172994A6F7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28-03-26 HASTA EL 09-04-26</t>
        </r>
      </text>
    </comment>
    <comment ref="Q162" authorId="1" shapeId="0" xr:uid="{3C350C8D-2407-4FFD-A2FD-88D4130FE4D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28-03-26 HASTA EL 09-04-26</t>
        </r>
      </text>
    </comment>
    <comment ref="R162" authorId="1" shapeId="0" xr:uid="{E598D6D6-EF8C-475E-A98B-15F6F9DAD8CF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28-03-26 HASTA EL 09-04-26</t>
        </r>
      </text>
    </comment>
    <comment ref="S162" authorId="1" shapeId="0" xr:uid="{F788F126-F74F-40D2-B307-7619D56C771E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28-03-26 HASTA EL 09-04-26</t>
        </r>
      </text>
    </comment>
    <comment ref="T162" authorId="1" shapeId="0" xr:uid="{0E2ADB62-F43B-45FD-8F53-91E075945094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28-03-26 HASTA EL 09-04-26</t>
        </r>
      </text>
    </comment>
    <comment ref="U162" authorId="1" shapeId="0" xr:uid="{7F576086-F40B-4316-A7AD-E1DA7C5815E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28-03-26 HASTA EL 09-04-26</t>
        </r>
      </text>
    </comment>
    <comment ref="V162" authorId="1" shapeId="0" xr:uid="{A07D5B91-9F21-4B73-A5B0-CD273F9271EB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28-03-26 HASTA EL 09-04-26</t>
        </r>
      </text>
    </comment>
    <comment ref="W162" authorId="1" shapeId="0" xr:uid="{1EF79B20-3CA6-49BC-9120-42D65FF40FE6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28-03-26 HASTA EL 09-04-26</t>
        </r>
      </text>
    </comment>
    <comment ref="X162" authorId="1" shapeId="0" xr:uid="{F5A59909-3C3F-40C8-A704-1E1263EC9BF7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28-03-26 HASTA EL 09-04-26</t>
        </r>
      </text>
    </comment>
    <comment ref="R163" authorId="0" shapeId="0" xr:uid="{F8F5E51A-C219-455D-B058-6242CF674FBF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164" authorId="0" shapeId="0" xr:uid="{D724519A-C575-4D95-8DCD-8AB5D8CB6F98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165" authorId="0" shapeId="0" xr:uid="{EE35BF91-1386-4564-B827-C67FD5260B21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P166" authorId="2" shapeId="0" xr:uid="{FF485C49-72A8-498D-9EBA-6272D7182B84}">
      <text>
        <r>
          <rPr>
            <b/>
            <sz val="9"/>
            <color indexed="81"/>
            <rFont val="Tahoma"/>
            <family val="2"/>
          </rPr>
          <t>LICENCIA MEDICA 23-03-2026 AL 12-04-2026</t>
        </r>
      </text>
    </comment>
    <comment ref="Q166" authorId="2" shapeId="0" xr:uid="{4951AD63-8624-4CB9-AD74-7BFD877EA719}">
      <text>
        <r>
          <rPr>
            <b/>
            <sz val="9"/>
            <color indexed="81"/>
            <rFont val="Tahoma"/>
            <family val="2"/>
          </rPr>
          <t>LICENCIA MEDICA 23-03-2026 AL 12-04-2026</t>
        </r>
      </text>
    </comment>
    <comment ref="R166" authorId="2" shapeId="0" xr:uid="{4DF76EF0-26A9-4F76-8DAD-DFA21FEC7E0B}">
      <text>
        <r>
          <rPr>
            <b/>
            <sz val="9"/>
            <color indexed="81"/>
            <rFont val="Tahoma"/>
            <family val="2"/>
          </rPr>
          <t>LICENCIA MEDICA 23-03-2026 AL 12-04-2026</t>
        </r>
      </text>
    </comment>
    <comment ref="S166" authorId="2" shapeId="0" xr:uid="{B46FAF0D-6BB9-44E5-827D-9483905E5B2F}">
      <text>
        <r>
          <rPr>
            <b/>
            <sz val="9"/>
            <color indexed="81"/>
            <rFont val="Tahoma"/>
            <family val="2"/>
          </rPr>
          <t>LICENCIA MEDICA 23-03-2026 AL 12-04-2026</t>
        </r>
      </text>
    </comment>
    <comment ref="T166" authorId="2" shapeId="0" xr:uid="{67C3693F-AA52-41A2-AE36-EC6AC82BFFCB}">
      <text>
        <r>
          <rPr>
            <b/>
            <sz val="9"/>
            <color indexed="81"/>
            <rFont val="Tahoma"/>
            <family val="2"/>
          </rPr>
          <t>LICENCIA MEDICA 23-03-2026 AL 12-04-2026</t>
        </r>
      </text>
    </comment>
    <comment ref="U166" authorId="2" shapeId="0" xr:uid="{7B41BE1A-01A0-433D-BE97-F9617BC0459A}">
      <text>
        <r>
          <rPr>
            <b/>
            <sz val="9"/>
            <color indexed="81"/>
            <rFont val="Tahoma"/>
            <family val="2"/>
          </rPr>
          <t>LICENCIA MEDICA 23-03-2026 AL 12-04-2026</t>
        </r>
      </text>
    </comment>
    <comment ref="V166" authorId="2" shapeId="0" xr:uid="{305637AD-5175-4915-98D7-A79D888B2C13}">
      <text>
        <r>
          <rPr>
            <b/>
            <sz val="9"/>
            <color indexed="81"/>
            <rFont val="Tahoma"/>
            <family val="2"/>
          </rPr>
          <t>LICENCIA MEDICA 23-03-2026 AL 12-04-2026</t>
        </r>
      </text>
    </comment>
    <comment ref="W166" authorId="2" shapeId="0" xr:uid="{B524B87A-1969-4037-B26E-8C8C15653B48}">
      <text>
        <r>
          <rPr>
            <b/>
            <sz val="9"/>
            <color indexed="81"/>
            <rFont val="Tahoma"/>
            <family val="2"/>
          </rPr>
          <t>LICENCIA MEDICA 23-03-2026 AL 12-04-2026</t>
        </r>
      </text>
    </comment>
    <comment ref="X166" authorId="2" shapeId="0" xr:uid="{E8F07A33-B307-46AE-B95F-D184112D9FE1}">
      <text>
        <r>
          <rPr>
            <b/>
            <sz val="9"/>
            <color indexed="81"/>
            <rFont val="Tahoma"/>
            <family val="2"/>
          </rPr>
          <t>LICENCIA MEDICA 23-03-2026 AL 12-04-2026</t>
        </r>
      </text>
    </comment>
    <comment ref="Y166" authorId="2" shapeId="0" xr:uid="{4249AD3A-EC5A-4C9E-9165-B18822F9BF05}">
      <text>
        <r>
          <rPr>
            <b/>
            <sz val="9"/>
            <color indexed="81"/>
            <rFont val="Tahoma"/>
            <family val="2"/>
          </rPr>
          <t>LICENCIA MEDICA 23-03-2026 AL 12-04-2026</t>
        </r>
      </text>
    </comment>
    <comment ref="Z166" authorId="2" shapeId="0" xr:uid="{483BF0AF-3AD5-4747-99B6-2A365AAF18CF}">
      <text>
        <r>
          <rPr>
            <b/>
            <sz val="9"/>
            <color indexed="81"/>
            <rFont val="Tahoma"/>
            <family val="2"/>
          </rPr>
          <t>LICENCIA MEDICA 23-03-2026 AL 12-04-2026</t>
        </r>
      </text>
    </comment>
    <comment ref="AA166" authorId="2" shapeId="0" xr:uid="{1CA9DA3E-BE0F-4809-8F57-3CEF1C0DE081}">
      <text>
        <r>
          <rPr>
            <b/>
            <sz val="9"/>
            <color indexed="81"/>
            <rFont val="Tahoma"/>
            <family val="2"/>
          </rPr>
          <t>LICENCIA MEDICA 23-03-2026 AL 12-04-2026</t>
        </r>
      </text>
    </comment>
    <comment ref="P173" authorId="1" shapeId="0" xr:uid="{9EBA3E87-2102-4761-9A86-B4CA0ED5CD4F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Q173" authorId="1" shapeId="0" xr:uid="{462679C8-35CC-4583-8626-F10972E923CF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R173" authorId="1" shapeId="0" xr:uid="{6AE4CC0B-08E7-4B4C-9A81-92ADB23E8F4D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S173" authorId="1" shapeId="0" xr:uid="{BF8FF945-D045-4D02-9739-C00FE5EDF30A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T173" authorId="1" shapeId="0" xr:uid="{BA15F069-CA28-4151-A826-752287C95908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U173" authorId="1" shapeId="0" xr:uid="{CD9E7902-3CB4-44F9-81B0-155DFC0C2033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V173" authorId="1" shapeId="0" xr:uid="{E3BD45D3-C535-4E5F-9787-5303DB71BA60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W173" authorId="1" shapeId="0" xr:uid="{1D3EEB57-B39A-41CF-B3BF-36EF2E11EBC8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X173" authorId="1" shapeId="0" xr:uid="{73FFCDE3-443F-45E8-9D03-7277BD842E7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Y173" authorId="1" shapeId="0" xr:uid="{2B9052E0-F729-4CF7-B84E-967A2F7DAD4C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Z173" authorId="1" shapeId="0" xr:uid="{FBCB6C1D-0CCF-4D32-AEC2-CC54F2D58362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A173" authorId="1" shapeId="0" xr:uid="{4E64766C-3114-49AB-B11A-11634E5A9082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B173" authorId="1" shapeId="0" xr:uid="{4F0AD87B-CFD8-4C8A-93B7-C1AB5D240547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C173" authorId="1" shapeId="0" xr:uid="{2F02E9A3-C745-450A-8EB7-45049685141C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D173" authorId="1" shapeId="0" xr:uid="{8FEBAEBA-3C31-4F16-B397-D7DAB80A674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E173" authorId="1" shapeId="0" xr:uid="{4190218B-E9B6-482C-9A40-8BBF4896AA24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F173" authorId="1" shapeId="0" xr:uid="{9F247335-BC12-47B7-8B07-043DB0412463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G173" authorId="1" shapeId="0" xr:uid="{8DD3B9CA-EECC-4074-ABEB-6609C32042F7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H173" authorId="1" shapeId="0" xr:uid="{257BEB77-7E12-4EEF-A890-1484F721B904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I173" authorId="1" shapeId="0" xr:uid="{0AC6D140-8024-4267-A0C4-65187DFCA017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J173" authorId="1" shapeId="0" xr:uid="{658A37DC-DE4A-4161-A686-5A3EE4B93063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K173" authorId="1" shapeId="0" xr:uid="{8978C3D3-F8B0-4797-82EC-C5FBD0581F2A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L173" authorId="1" shapeId="0" xr:uid="{40547828-F802-46D4-9A9F-5F95ADC9BC6E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M173" authorId="1" shapeId="0" xr:uid="{1C32770F-1E04-4F36-BD6D-5B4C566CBC7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N173" authorId="1" shapeId="0" xr:uid="{4760EA38-F3E3-4FC1-95BC-BAEBB381135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O173" authorId="1" shapeId="0" xr:uid="{A34CFE8F-4150-46AC-AB35-709917C86B58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P173" authorId="1" shapeId="0" xr:uid="{42E11423-F94E-411D-8298-310F2984DEF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Q173" authorId="1" shapeId="0" xr:uid="{026B25B9-6B9B-4558-8702-AE3E16042C60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R173" authorId="1" shapeId="0" xr:uid="{632C5EBF-C82D-44E8-BB7C-02E92563D9BC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AS173" authorId="1" shapeId="0" xr:uid="{5008F999-B2A5-4C31-A991-AD6F89FBA66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01-04-26 HASTA EL 30-04-26</t>
        </r>
      </text>
    </comment>
    <comment ref="P177" authorId="1" shapeId="0" xr:uid="{CA04550A-42CA-45F4-BBD3-C66F7EB2B7F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13-03-26 HASTA EL 11-04-26</t>
        </r>
      </text>
    </comment>
    <comment ref="Q177" authorId="1" shapeId="0" xr:uid="{CEB95038-9C78-4DCE-9022-2A6C86001D00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13-03-26 HASTA EL 11-04-26</t>
        </r>
      </text>
    </comment>
    <comment ref="R177" authorId="1" shapeId="0" xr:uid="{39BAF92D-7063-47F1-A643-2FDDEF489C7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13-03-26 HASTA EL 11-04-26</t>
        </r>
      </text>
    </comment>
    <comment ref="S177" authorId="1" shapeId="0" xr:uid="{713790E5-074E-4143-84B6-B166C3E34F8B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13-03-26 HASTA EL 11-04-26</t>
        </r>
      </text>
    </comment>
    <comment ref="T177" authorId="1" shapeId="0" xr:uid="{B0784E75-789A-4005-812C-E8E64EEA07D9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13-03-26 HASTA EL 11-04-26</t>
        </r>
      </text>
    </comment>
    <comment ref="U177" authorId="1" shapeId="0" xr:uid="{3DACECDA-6081-4590-A667-2FA752B54829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13-03-26 HASTA EL 11-04-26</t>
        </r>
      </text>
    </comment>
    <comment ref="V177" authorId="1" shapeId="0" xr:uid="{110AEC7A-8C47-45E5-9AB3-A00ED0D5C2AE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13-03-26 HASTA EL 11-04-26</t>
        </r>
      </text>
    </comment>
    <comment ref="W177" authorId="1" shapeId="0" xr:uid="{7149A5B7-0597-4BF6-9A00-FA053101B449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13-03-26 HASTA EL 11-04-26</t>
        </r>
      </text>
    </comment>
    <comment ref="X177" authorId="1" shapeId="0" xr:uid="{DB62264D-6445-4347-9D4D-415EF245440A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13-03-26 HASTA EL 11-04-26</t>
        </r>
      </text>
    </comment>
    <comment ref="Y177" authorId="1" shapeId="0" xr:uid="{1B3C07D5-B2DD-475B-91B0-956E44401DF0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13-03-26 HASTA EL 11-04-26</t>
        </r>
      </text>
    </comment>
    <comment ref="Z177" authorId="3" shapeId="0" xr:uid="{BE5A1F94-A837-480F-8430-D28667148439}">
      <text>
        <r>
          <rPr>
            <b/>
            <sz val="9"/>
            <color indexed="81"/>
            <rFont val="Tahoma"/>
            <family val="2"/>
          </rPr>
          <t>LICENCIA HASTA EL 12-03</t>
        </r>
      </text>
    </comment>
    <comment ref="AA177" authorId="3" shapeId="0" xr:uid="{89CB0D7F-D2CF-4409-ADEA-E2C06AC2A680}">
      <text>
        <r>
          <rPr>
            <b/>
            <sz val="9"/>
            <color indexed="81"/>
            <rFont val="Tahoma"/>
            <family val="2"/>
          </rPr>
          <t>LICENCIA HASTA EL 12-03</t>
        </r>
      </text>
    </comment>
    <comment ref="P193" authorId="1" shapeId="0" xr:uid="{7DA492E0-CB01-4A5A-A491-30128640F5FE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26-03-26 HASTA EL 05-04-26</t>
        </r>
      </text>
    </comment>
    <comment ref="Q193" authorId="1" shapeId="0" xr:uid="{B575ADFB-ED6B-47F8-AA49-A84F271F5DD7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26-03-26 HASTA EL 05-04-26</t>
        </r>
      </text>
    </comment>
    <comment ref="R193" authorId="1" shapeId="0" xr:uid="{0468D6C2-2D8B-43CC-9BBE-6EE07220B7B9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26-03-26 HASTA EL 05-04-26</t>
        </r>
      </text>
    </comment>
    <comment ref="S193" authorId="1" shapeId="0" xr:uid="{5C6276DB-1B8B-4BBC-ABFF-83E8C2ED74FB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26-03-26 HASTA EL 05-04-26</t>
        </r>
      </text>
    </comment>
    <comment ref="T193" authorId="1" shapeId="0" xr:uid="{F6EEC606-2F1B-4D2B-8623-50B569B33FDF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26-03-26 HASTA EL 05-04-26</t>
        </r>
      </text>
    </comment>
    <comment ref="Q201" authorId="0" shapeId="0" xr:uid="{5DDE8CA4-645A-4871-9292-BF169A4FB419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EN EXAMEN MEDICO 
</t>
        </r>
      </text>
    </comment>
    <comment ref="R201" authorId="0" shapeId="0" xr:uid="{889DB1C6-B2C2-41CD-98C0-B807FC5C932D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205" authorId="0" shapeId="0" xr:uid="{BFF49602-2565-43FA-9AE2-B3F00027AE78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P218" authorId="1" shapeId="0" xr:uid="{76F99B44-755C-4BDC-917C-615257BF93AC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04-03-26 HASTA EL 09-04-26</t>
        </r>
      </text>
    </comment>
    <comment ref="Q218" authorId="1" shapeId="0" xr:uid="{78D08F80-FD9F-49D4-A159-7761240A182B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04-03-26 HASTA EL 09-04-26</t>
        </r>
      </text>
    </comment>
    <comment ref="R218" authorId="1" shapeId="0" xr:uid="{0EA021C7-B163-4CD4-A70D-E25371A62DF4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04-03-26 HASTA EL 09-04-26</t>
        </r>
      </text>
    </comment>
    <comment ref="S218" authorId="1" shapeId="0" xr:uid="{D53E418B-AD37-4E61-9B22-CF5615F0AAF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04-03-26 HASTA EL 09-04-26</t>
        </r>
      </text>
    </comment>
    <comment ref="T218" authorId="1" shapeId="0" xr:uid="{20945850-6B5A-43C0-B4E8-A949B7F67B90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04-03-26 HASTA EL 09-04-26</t>
        </r>
      </text>
    </comment>
    <comment ref="U218" authorId="1" shapeId="0" xr:uid="{DF9EE00A-C173-48F1-BDEA-5833735E7270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04-03-26 HASTA EL 09-04-26</t>
        </r>
      </text>
    </comment>
    <comment ref="V218" authorId="1" shapeId="0" xr:uid="{34406D81-B85E-4FDC-9C5B-60E934BD373A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04-03-26 HASTA EL 09-04-26</t>
        </r>
      </text>
    </comment>
    <comment ref="W218" authorId="1" shapeId="0" xr:uid="{4B8DE9FB-D220-46DC-A51E-630D2F59965C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04-03-26 HASTA EL 09-04-26</t>
        </r>
      </text>
    </comment>
    <comment ref="X218" authorId="1" shapeId="0" xr:uid="{95262B5F-5B61-416E-A55A-41D22B5343B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04-03-26 HASTA EL 09-04-26</t>
        </r>
      </text>
    </comment>
    <comment ref="P226" authorId="1" shapeId="0" xr:uid="{CD1BCF34-271E-4F56-ACAB-D058DA4DB19B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30-03-26 HASTA EL 13-04-26</t>
        </r>
      </text>
    </comment>
    <comment ref="Q226" authorId="1" shapeId="0" xr:uid="{F52E86C5-8F67-4A74-9944-36FCDFDAC604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30-03-26 HASTA EL 13-04-26</t>
        </r>
      </text>
    </comment>
    <comment ref="R226" authorId="1" shapeId="0" xr:uid="{251C7132-CDBC-472F-99B8-6A18FDFCA65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30-03-26 HASTA EL 13-04-26</t>
        </r>
      </text>
    </comment>
    <comment ref="S226" authorId="1" shapeId="0" xr:uid="{4839649F-4523-40C3-A689-F9225AE704C2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30-03-26 HASTA EL 13-04-26</t>
        </r>
      </text>
    </comment>
    <comment ref="T226" authorId="1" shapeId="0" xr:uid="{A5F6E224-B53A-4639-B549-2DC9EDE18751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30-03-26 HASTA EL 13-04-26</t>
        </r>
      </text>
    </comment>
    <comment ref="U226" authorId="1" shapeId="0" xr:uid="{B02FFEDF-BD44-449D-B0F0-27FDCF204B1C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30-03-26 HASTA EL 13-04-26</t>
        </r>
      </text>
    </comment>
    <comment ref="V226" authorId="1" shapeId="0" xr:uid="{CB3B2B20-5BCC-41E7-9088-952D78B734B7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30-03-26 HASTA EL 13-04-26</t>
        </r>
      </text>
    </comment>
    <comment ref="W226" authorId="1" shapeId="0" xr:uid="{5FDB9C87-57E6-4137-B2B7-9915DFBD337F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30-03-26 HASTA EL 13-04-26</t>
        </r>
      </text>
    </comment>
    <comment ref="X226" authorId="1" shapeId="0" xr:uid="{60408100-6958-45AF-B4FF-969E742F9580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30-03-26 HASTA EL 13-04-26</t>
        </r>
      </text>
    </comment>
    <comment ref="Y226" authorId="1" shapeId="0" xr:uid="{16812623-350B-4ECF-909E-C0D7D90E962F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30-03-26 HASTA EL 13-04-26</t>
        </r>
      </text>
    </comment>
    <comment ref="Z226" authorId="1" shapeId="0" xr:uid="{88539A19-138C-4001-A46C-DA02D39996E7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30-03-26 HASTA EL 13-04-26</t>
        </r>
      </text>
    </comment>
    <comment ref="AA226" authorId="1" shapeId="0" xr:uid="{5F3E7E42-29F8-411B-9767-476B12A63E04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30-03-26 HASTA EL 13-04-26</t>
        </r>
      </text>
    </comment>
    <comment ref="AB226" authorId="1" shapeId="0" xr:uid="{F7523AD0-D162-40E7-A96F-B3215D84AAE4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30-03-26 HASTA EL 13-04-26</t>
        </r>
      </text>
    </comment>
    <comment ref="R229" authorId="0" shapeId="0" xr:uid="{397B8C1D-8D10-494B-9201-12967C497254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230" authorId="0" shapeId="0" xr:uid="{EA03F54B-590B-4CB6-84EE-E5AD111FC804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232" authorId="0" shapeId="0" xr:uid="{0B63695C-DED0-423A-8B74-F285A5DF1F18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233" authorId="0" shapeId="0" xr:uid="{454C0BB8-7B78-46F5-B67D-DE3A6C52601C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238" authorId="0" shapeId="0" xr:uid="{D41E0E92-6B36-4599-B73C-CAA20BE14173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239" authorId="0" shapeId="0" xr:uid="{666C014D-D446-4008-9ED4-B78D189882EA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242" authorId="0" shapeId="0" xr:uid="{95DE5E4D-B004-4F8F-B824-EE6519254E82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258" authorId="0" shapeId="0" xr:uid="{5D2B6518-7CE3-4B7B-8CAC-4541B6156FB3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P272" authorId="0" shapeId="0" xr:uid="{750F546C-31E9-4961-9DF1-1B1031EA61CD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01-04-26 AL 11-04-26</t>
        </r>
      </text>
    </comment>
    <comment ref="Q272" authorId="0" shapeId="0" xr:uid="{A39221B0-8DC5-4C89-88C9-EC81A9CF9749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01-04-26 AL 11-04-26</t>
        </r>
      </text>
    </comment>
    <comment ref="R272" authorId="0" shapeId="0" xr:uid="{EE82DCF6-B6F1-4F6B-ABDB-2B633DC1F9C0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01-04-26 AL 11-04-26</t>
        </r>
      </text>
    </comment>
    <comment ref="S272" authorId="0" shapeId="0" xr:uid="{914484E3-5FC3-446D-BF10-7AD9BAB60D79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01-04-26 AL 11-04-26</t>
        </r>
      </text>
    </comment>
    <comment ref="T272" authorId="0" shapeId="0" xr:uid="{C6574344-1C5D-4AAF-8E8C-4A99F5C73696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01-04-26 AL 11-04-26</t>
        </r>
      </text>
    </comment>
    <comment ref="U272" authorId="0" shapeId="0" xr:uid="{8EA5D327-C562-4DAD-AC97-26459C9347B4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01-04-26 AL 11-04-26</t>
        </r>
      </text>
    </comment>
    <comment ref="V272" authorId="0" shapeId="0" xr:uid="{24207FAF-AC94-472C-856F-1F2B3B316AC9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01-04-26 AL 11-04-26</t>
        </r>
      </text>
    </comment>
    <comment ref="W272" authorId="0" shapeId="0" xr:uid="{2862E360-4814-4720-8933-C7843E2B5283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01-04-26 AL 11-04-26</t>
        </r>
      </text>
    </comment>
    <comment ref="X272" authorId="0" shapeId="0" xr:uid="{B888CFE0-8DE8-4FC6-B4A2-841E9601256A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01-04-26 AL 11-04-26</t>
        </r>
      </text>
    </comment>
    <comment ref="Y272" authorId="0" shapeId="0" xr:uid="{4CB7CB4E-318D-41E7-8F60-215DCF09D246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01-04-26 AL 11-04-26</t>
        </r>
      </text>
    </comment>
    <comment ref="Z272" authorId="0" shapeId="0" xr:uid="{7FF682D4-6547-43B2-83D5-5F75BAA8AE64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LICENCIA MEDICA 01-04-26 AL 11-04-26</t>
        </r>
      </text>
    </comment>
    <comment ref="R275" authorId="0" shapeId="0" xr:uid="{02555655-CB3C-417A-B86C-51B35C9B01A9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283" authorId="0" shapeId="0" xr:uid="{E05F0D1C-4423-42CA-8F0B-44F9B4627208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294" authorId="0" shapeId="0" xr:uid="{FDE00600-08DD-49CD-B8DE-FDF3F6C12A23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299" authorId="0" shapeId="0" xr:uid="{ABCC077E-1825-415C-9B73-AD14DFC8FF5B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P300" authorId="1" shapeId="0" xr:uid="{553BD041-C6AB-4945-B253-B82CC37029FB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22-02-26 HASTA EL 04-03-2026</t>
        </r>
      </text>
    </comment>
    <comment ref="Q300" authorId="1" shapeId="0" xr:uid="{3B48C3DD-1834-4215-9074-EE772D462845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22-02-26 HASTA EL 04-03-2026</t>
        </r>
      </text>
    </comment>
    <comment ref="R300" authorId="1" shapeId="0" xr:uid="{A190BD6D-B9BB-48BD-9284-0BF5932015AE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22-02-26 HASTA EL 04-03-2026</t>
        </r>
      </text>
    </comment>
    <comment ref="S300" authorId="1" shapeId="0" xr:uid="{9D7F3CC8-78C4-43D9-8717-C0E4248B2889}">
      <text>
        <r>
          <rPr>
            <b/>
            <sz val="9"/>
            <color indexed="81"/>
            <rFont val="Tahoma"/>
            <family val="2"/>
          </rPr>
          <t>Paolo Alvarez:</t>
        </r>
        <r>
          <rPr>
            <sz val="9"/>
            <color indexed="81"/>
            <rFont val="Tahoma"/>
            <family val="2"/>
          </rPr>
          <t xml:space="preserve">
LICENCIA MEDICA DESDE EL 22-02-26 HASTA EL 04-03-2026</t>
        </r>
      </text>
    </comment>
    <comment ref="R306" authorId="0" shapeId="0" xr:uid="{28534F71-DECF-4794-914D-B3C2703AB01A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328" authorId="0" shapeId="0" xr:uid="{948811E6-058A-4312-89FB-854C8F9E8BC7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332" authorId="0" shapeId="0" xr:uid="{26FBAFDF-2F98-4E2A-9C3E-37935C96F96D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374" authorId="0" shapeId="0" xr:uid="{02F5CD81-4BB9-4FFD-B984-5887B2A119FF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Q378" authorId="0" shapeId="0" xr:uid="{F762D5A7-30FD-4182-BB13-B9318B2254FF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OLIVAR
</t>
        </r>
      </text>
    </comment>
    <comment ref="R378" authorId="0" shapeId="0" xr:uid="{9C41223A-5653-43A1-843C-1779E80C6C62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384" authorId="0" shapeId="0" xr:uid="{4347023D-8530-4FDC-B9BD-6CD8D5819B4E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386" authorId="0" shapeId="0" xr:uid="{E3A7990D-A1F7-4E63-BB78-BA5F32145B0D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Q392" authorId="0" shapeId="0" xr:uid="{437BBE5F-8572-4125-B2F5-5EA6CF823EC7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BODEGA OLIVAR</t>
        </r>
      </text>
    </comment>
    <comment ref="R392" authorId="0" shapeId="0" xr:uid="{5A40904B-B7E0-440C-B673-D52D0B4A38CC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396" authorId="0" shapeId="0" xr:uid="{24F3C568-7B2C-40CF-AB22-37CC29FDA415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407" authorId="0" shapeId="0" xr:uid="{F9EF49F1-1F7E-4E61-A1D4-95D709B13B7A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410" authorId="0" shapeId="0" xr:uid="{BD7335C2-1930-4F12-B568-9609CA97E8A4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412" authorId="0" shapeId="0" xr:uid="{779F0DE5-6FE8-461F-A928-CE32C62545C8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416" authorId="0" shapeId="0" xr:uid="{FDF3F13D-05F1-4155-9D83-19E1EDFDC78D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417" authorId="0" shapeId="0" xr:uid="{78FE205E-7D2A-450A-BD95-1CDBEAD24254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423" authorId="0" shapeId="0" xr:uid="{F27F8A9E-C4DB-4481-9333-93E58970A747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  <comment ref="R426" authorId="0" shapeId="0" xr:uid="{7C7BA781-CA13-455F-BD70-A05EC499F9E5}">
      <text>
        <r>
          <rPr>
            <b/>
            <sz val="9"/>
            <color indexed="81"/>
            <rFont val="Tahoma"/>
            <family val="2"/>
          </rPr>
          <t>DANIELA JEREZ :</t>
        </r>
        <r>
          <rPr>
            <sz val="9"/>
            <color indexed="81"/>
            <rFont val="Tahoma"/>
            <family val="2"/>
          </rPr>
          <t xml:space="preserve">
FERIADO </t>
        </r>
      </text>
    </comment>
  </commentList>
</comments>
</file>

<file path=xl/sharedStrings.xml><?xml version="1.0" encoding="utf-8"?>
<sst xmlns="http://schemas.openxmlformats.org/spreadsheetml/2006/main" count="7747" uniqueCount="1689">
  <si>
    <t>L</t>
  </si>
  <si>
    <t>M</t>
  </si>
  <si>
    <t>J</t>
  </si>
  <si>
    <t>V</t>
  </si>
  <si>
    <t>S</t>
  </si>
  <si>
    <t>D</t>
  </si>
  <si>
    <t>N°</t>
  </si>
  <si>
    <t>RUT</t>
  </si>
  <si>
    <t>APELLIDO PATERNO</t>
  </si>
  <si>
    <t>APELLIDO MATERNO</t>
  </si>
  <si>
    <t>NOMBRES</t>
  </si>
  <si>
    <t>CARGO</t>
  </si>
  <si>
    <t>FECHA DE CONTRATO</t>
  </si>
  <si>
    <t>FECHA DE TERMINO</t>
  </si>
  <si>
    <t>PLANTA - UBICACIÓN</t>
  </si>
  <si>
    <t>GRUPO</t>
  </si>
  <si>
    <t>DEPENDENCIA</t>
  </si>
  <si>
    <t>TELEFONO</t>
  </si>
  <si>
    <t>TURNO</t>
  </si>
  <si>
    <t>12915134-K</t>
  </si>
  <si>
    <t xml:space="preserve">MARTINEZ </t>
  </si>
  <si>
    <t xml:space="preserve">ZUÑIGA </t>
  </si>
  <si>
    <t xml:space="preserve">DANIEL DOMINGO </t>
  </si>
  <si>
    <t>SUB- 6</t>
  </si>
  <si>
    <t>INTERIOR MINA</t>
  </si>
  <si>
    <t>GRUPO 1</t>
  </si>
  <si>
    <t>MARCOS DROGUETT M.</t>
  </si>
  <si>
    <t>9-40937393</t>
  </si>
  <si>
    <t>7X7</t>
  </si>
  <si>
    <t>B</t>
  </si>
  <si>
    <t>16538677-9</t>
  </si>
  <si>
    <t>CORDOVA</t>
  </si>
  <si>
    <t>ZUÑIGA</t>
  </si>
  <si>
    <t>CARLOS ALBERTO</t>
  </si>
  <si>
    <t>OPERADOR EQUIPO LEVANTE</t>
  </si>
  <si>
    <t>INDEFINIDO</t>
  </si>
  <si>
    <t>GRUPO 2</t>
  </si>
  <si>
    <t>MIGUEL ALDUNCE</t>
  </si>
  <si>
    <t>9-61295256</t>
  </si>
  <si>
    <t>A</t>
  </si>
  <si>
    <t>14204177-4</t>
  </si>
  <si>
    <t>PEREZ</t>
  </si>
  <si>
    <t>EMILIO JOSE</t>
  </si>
  <si>
    <t>GRUPO 4</t>
  </si>
  <si>
    <t>HERNAN HORMAZABAL</t>
  </si>
  <si>
    <t>9-41861153</t>
  </si>
  <si>
    <t>17235464-5</t>
  </si>
  <si>
    <t>ARANDA</t>
  </si>
  <si>
    <t>ZENTENO</t>
  </si>
  <si>
    <t>CARLOS SEBASTIÁN</t>
  </si>
  <si>
    <t>MAESTRO OBRAS CIVILES</t>
  </si>
  <si>
    <t>9-37879805</t>
  </si>
  <si>
    <t>12961456-0</t>
  </si>
  <si>
    <t>ZAMORANO</t>
  </si>
  <si>
    <t>FRANCISCO ALBERTO</t>
  </si>
  <si>
    <t>CHOFER DE SERVICIOS</t>
  </si>
  <si>
    <t>GRUPO 3</t>
  </si>
  <si>
    <t>RODRIGO URZUA</t>
  </si>
  <si>
    <t>9-82606196</t>
  </si>
  <si>
    <t>PS</t>
  </si>
  <si>
    <t>8799502-K</t>
  </si>
  <si>
    <t>REYNOSO</t>
  </si>
  <si>
    <t>MIGUEL ANGEL</t>
  </si>
  <si>
    <t>9-71916591</t>
  </si>
  <si>
    <t>13567562-8</t>
  </si>
  <si>
    <t>ROMO</t>
  </si>
  <si>
    <t>ITALO AMERICO</t>
  </si>
  <si>
    <t>SOLDADOR MONTAJE</t>
  </si>
  <si>
    <t>DAYRO ORELLANA</t>
  </si>
  <si>
    <t>9-41240640</t>
  </si>
  <si>
    <t>18650904-8</t>
  </si>
  <si>
    <t>YAÑEZ</t>
  </si>
  <si>
    <t>HECTOR EDUARDO</t>
  </si>
  <si>
    <t>OPERADOR JUMBO</t>
  </si>
  <si>
    <t>9-87629726</t>
  </si>
  <si>
    <t>10851128-1</t>
  </si>
  <si>
    <t>PRADO</t>
  </si>
  <si>
    <t>JAIME ANTONIO</t>
  </si>
  <si>
    <t>9-94281355</t>
  </si>
  <si>
    <t>16772580-5</t>
  </si>
  <si>
    <t>ACEITUNO</t>
  </si>
  <si>
    <t>REYES</t>
  </si>
  <si>
    <t>CRISTOBAL A</t>
  </si>
  <si>
    <t>INGENIERO EN OFICINA TECNICA CALIDAD</t>
  </si>
  <si>
    <t>5X2</t>
  </si>
  <si>
    <t>BARBARA MIRANDA</t>
  </si>
  <si>
    <t>9-32165883</t>
  </si>
  <si>
    <t>12365410-2</t>
  </si>
  <si>
    <t>GARRIDO</t>
  </si>
  <si>
    <t>VILLAGRA</t>
  </si>
  <si>
    <t>DANIEL MAURICIO</t>
  </si>
  <si>
    <t>9-85863824</t>
  </si>
  <si>
    <t>LM</t>
  </si>
  <si>
    <t>19740034-K</t>
  </si>
  <si>
    <t xml:space="preserve">MONSALVE </t>
  </si>
  <si>
    <t xml:space="preserve">VILLA </t>
  </si>
  <si>
    <t xml:space="preserve">RODRIGO IGNACIO </t>
  </si>
  <si>
    <t>9-62011080</t>
  </si>
  <si>
    <t>19265900-0</t>
  </si>
  <si>
    <t>ARRIAZA</t>
  </si>
  <si>
    <t>VIDAL</t>
  </si>
  <si>
    <t>MARTIN ENRIQUE</t>
  </si>
  <si>
    <t>SALA DE CONTROL</t>
  </si>
  <si>
    <t>9-44667505</t>
  </si>
  <si>
    <t>14054015-3</t>
  </si>
  <si>
    <t>BAEZA</t>
  </si>
  <si>
    <t>VERGARA</t>
  </si>
  <si>
    <t>JUAN MANUEL</t>
  </si>
  <si>
    <t>9-98103038</t>
  </si>
  <si>
    <t>15106620-8</t>
  </si>
  <si>
    <t>CASTILLO</t>
  </si>
  <si>
    <t>CAMILO FERNANDO</t>
  </si>
  <si>
    <t>9-32301144</t>
  </si>
  <si>
    <t>10058846-3</t>
  </si>
  <si>
    <t>TOBAR</t>
  </si>
  <si>
    <t>JUAN PABLO</t>
  </si>
  <si>
    <t>9-49522272</t>
  </si>
  <si>
    <t>12914132-8</t>
  </si>
  <si>
    <t xml:space="preserve">MEZA </t>
  </si>
  <si>
    <t xml:space="preserve">VENEGAS </t>
  </si>
  <si>
    <t xml:space="preserve">DANILO MAURICIO </t>
  </si>
  <si>
    <t>9-95064247</t>
  </si>
  <si>
    <t>9458716-6</t>
  </si>
  <si>
    <t>SAN CRISTOBAL</t>
  </si>
  <si>
    <t>VELIZ</t>
  </si>
  <si>
    <t>OSCAR HERNAN</t>
  </si>
  <si>
    <t>9-88907900</t>
  </si>
  <si>
    <t>18044098-4</t>
  </si>
  <si>
    <t>ALVARADO</t>
  </si>
  <si>
    <t>RAMIREZ</t>
  </si>
  <si>
    <t xml:space="preserve">NICKOL STEPHANY </t>
  </si>
  <si>
    <t>OLIVAR</t>
  </si>
  <si>
    <t>OFICINA OLIVAR</t>
  </si>
  <si>
    <t>9-71877068</t>
  </si>
  <si>
    <t>12693480-7</t>
  </si>
  <si>
    <t>GONZALEZ</t>
  </si>
  <si>
    <t>VARA</t>
  </si>
  <si>
    <t>DAGOBERTO JOAQUIN</t>
  </si>
  <si>
    <t>CAPATAZ MINERIA - OBRAS CIVILES</t>
  </si>
  <si>
    <t>9-26161222</t>
  </si>
  <si>
    <t>13667726-8</t>
  </si>
  <si>
    <t>CHAVEZ</t>
  </si>
  <si>
    <t>VALLEJOS</t>
  </si>
  <si>
    <t>CRISTIAN GUILLERMO</t>
  </si>
  <si>
    <t>9-92910946</t>
  </si>
  <si>
    <t>17137563-0</t>
  </si>
  <si>
    <t>GUTIERREZ</t>
  </si>
  <si>
    <t>VALENZUELA</t>
  </si>
  <si>
    <t>CARLOS ANDRES</t>
  </si>
  <si>
    <t>MAESTRO ELECTRICISTA</t>
  </si>
  <si>
    <t>GUIDO NECULMAN</t>
  </si>
  <si>
    <t>9-86045032</t>
  </si>
  <si>
    <t>17504044-7</t>
  </si>
  <si>
    <t>JAQUE</t>
  </si>
  <si>
    <t>LUIS ALBERTO</t>
  </si>
  <si>
    <t>9-82386918</t>
  </si>
  <si>
    <t>10295504-8</t>
  </si>
  <si>
    <t>MUÑOZ</t>
  </si>
  <si>
    <t>CLAUDIO FRANCISCO</t>
  </si>
  <si>
    <t>9-49043507</t>
  </si>
  <si>
    <t>13095814-1</t>
  </si>
  <si>
    <t>VALENCIA</t>
  </si>
  <si>
    <t>VALERIANO ROBERTO</t>
  </si>
  <si>
    <t>OPERADOR SCOOP</t>
  </si>
  <si>
    <t>9-94504435</t>
  </si>
  <si>
    <t>17296005-7</t>
  </si>
  <si>
    <t xml:space="preserve">RIVERA </t>
  </si>
  <si>
    <t xml:space="preserve">URRA </t>
  </si>
  <si>
    <t xml:space="preserve">DIXON ANTONIO </t>
  </si>
  <si>
    <t>9-48462934</t>
  </si>
  <si>
    <t>15524372-4</t>
  </si>
  <si>
    <t>LOPEZ</t>
  </si>
  <si>
    <t>UNION</t>
  </si>
  <si>
    <t>DAVID ANDRES</t>
  </si>
  <si>
    <t>9-46442893</t>
  </si>
  <si>
    <t>12134218-9</t>
  </si>
  <si>
    <t xml:space="preserve">QUEZADA </t>
  </si>
  <si>
    <t xml:space="preserve">UGALDE </t>
  </si>
  <si>
    <t xml:space="preserve">JOSE HERIBERTO </t>
  </si>
  <si>
    <t>9-93435423</t>
  </si>
  <si>
    <t>18375947-7</t>
  </si>
  <si>
    <t>URZUA</t>
  </si>
  <si>
    <t>TROMO</t>
  </si>
  <si>
    <t>ALEJANDRO ANTONIO</t>
  </si>
  <si>
    <t>9-82620125</t>
  </si>
  <si>
    <t>15610360-8</t>
  </si>
  <si>
    <t>ALVAREZ</t>
  </si>
  <si>
    <t>PAOLO SEBASTIAN</t>
  </si>
  <si>
    <t>ASISTENTE ADMINISTRATIVO</t>
  </si>
  <si>
    <t>9-27718304</t>
  </si>
  <si>
    <t>16762116-3</t>
  </si>
  <si>
    <t xml:space="preserve">COLOMA </t>
  </si>
  <si>
    <t xml:space="preserve">TOLEDO </t>
  </si>
  <si>
    <t xml:space="preserve">ALVARO ALBERTO </t>
  </si>
  <si>
    <t>9-65696571</t>
  </si>
  <si>
    <t>19020248-8</t>
  </si>
  <si>
    <t>TERAN</t>
  </si>
  <si>
    <t>CRISTOBAL IGNACIO</t>
  </si>
  <si>
    <t>9-85053080</t>
  </si>
  <si>
    <t>17819230-2</t>
  </si>
  <si>
    <t>TAUCAN</t>
  </si>
  <si>
    <t>GUSTAVO ALEXANDER</t>
  </si>
  <si>
    <t>ARAYA</t>
  </si>
  <si>
    <t>BERRIOS</t>
  </si>
  <si>
    <t>14350275-9</t>
  </si>
  <si>
    <t>FLORES</t>
  </si>
  <si>
    <t>SOTO</t>
  </si>
  <si>
    <t>ALEXIS FELIPE</t>
  </si>
  <si>
    <t>9-76939388</t>
  </si>
  <si>
    <t>18650367-8</t>
  </si>
  <si>
    <t>MAURICIO RENE</t>
  </si>
  <si>
    <t>9-73293995</t>
  </si>
  <si>
    <t>11980565-1</t>
  </si>
  <si>
    <t>HORMAZABAL</t>
  </si>
  <si>
    <t>HERNAN ENRIQUE</t>
  </si>
  <si>
    <t>JEFE DE TURNO</t>
  </si>
  <si>
    <t>MARCO DROGUETT P.</t>
  </si>
  <si>
    <t>9-97742688</t>
  </si>
  <si>
    <t>MORALES</t>
  </si>
  <si>
    <t>JOSE ANTONIO</t>
  </si>
  <si>
    <t>ALAN HUENCHUMAN</t>
  </si>
  <si>
    <t>5x2</t>
  </si>
  <si>
    <t>SILVA</t>
  </si>
  <si>
    <t>16885092-1</t>
  </si>
  <si>
    <t>SEVERINO</t>
  </si>
  <si>
    <t>ROBERTO ANTONIO</t>
  </si>
  <si>
    <t>GRUPO 1 y 2</t>
  </si>
  <si>
    <t>9-75798175</t>
  </si>
  <si>
    <t>16222194-9</t>
  </si>
  <si>
    <t>FERNANDEZ</t>
  </si>
  <si>
    <t>SEPULVEDA</t>
  </si>
  <si>
    <t>IGNACIO NICOLAS</t>
  </si>
  <si>
    <t>9-66725192</t>
  </si>
  <si>
    <t>12693072-0</t>
  </si>
  <si>
    <t>DUARTE</t>
  </si>
  <si>
    <t>SEGURA</t>
  </si>
  <si>
    <t>MAURICIO ENRIQUE</t>
  </si>
  <si>
    <t>9-26150370</t>
  </si>
  <si>
    <t>15804443-9</t>
  </si>
  <si>
    <t xml:space="preserve">DUQUE  </t>
  </si>
  <si>
    <t xml:space="preserve">SANDOVAL </t>
  </si>
  <si>
    <t xml:space="preserve">JORGE HERNAN </t>
  </si>
  <si>
    <t>9-82689812</t>
  </si>
  <si>
    <t>11950086-9</t>
  </si>
  <si>
    <t>MARQUEZ</t>
  </si>
  <si>
    <t>SANCHEZ</t>
  </si>
  <si>
    <t>MANUEL ALEJANDRO</t>
  </si>
  <si>
    <t>9-61537597</t>
  </si>
  <si>
    <t>19593207-7</t>
  </si>
  <si>
    <t xml:space="preserve">HERRERA </t>
  </si>
  <si>
    <t xml:space="preserve">SAN MARTIN </t>
  </si>
  <si>
    <t xml:space="preserve">JUAN PABLO </t>
  </si>
  <si>
    <t>9-95150678</t>
  </si>
  <si>
    <t>18648620-K</t>
  </si>
  <si>
    <t>CANIUMIL</t>
  </si>
  <si>
    <t>SALGADO</t>
  </si>
  <si>
    <t>VICTOR MANUEL</t>
  </si>
  <si>
    <t>9-76296832</t>
  </si>
  <si>
    <t>16845879-7</t>
  </si>
  <si>
    <t>FIGUEROA</t>
  </si>
  <si>
    <t>SALDIAS</t>
  </si>
  <si>
    <t>CESAR ALFREDO</t>
  </si>
  <si>
    <t>9-95730619</t>
  </si>
  <si>
    <t>10315293-3</t>
  </si>
  <si>
    <t>ARCE</t>
  </si>
  <si>
    <t>SALAS</t>
  </si>
  <si>
    <t>9-57959567</t>
  </si>
  <si>
    <t>14200197-7</t>
  </si>
  <si>
    <t>RUBIO</t>
  </si>
  <si>
    <t>SAEZ</t>
  </si>
  <si>
    <t>9-66874115</t>
  </si>
  <si>
    <t>8953934-K</t>
  </si>
  <si>
    <t>FAUNDEZ</t>
  </si>
  <si>
    <t>ROMERO</t>
  </si>
  <si>
    <t>PATRICIO RICARDO</t>
  </si>
  <si>
    <t>9-96350933</t>
  </si>
  <si>
    <t>15122432-6</t>
  </si>
  <si>
    <t>MAUREIRA</t>
  </si>
  <si>
    <t>FELIPE ANDRES</t>
  </si>
  <si>
    <t>9-59985982</t>
  </si>
  <si>
    <t xml:space="preserve">ROJAS </t>
  </si>
  <si>
    <t>15524267-1</t>
  </si>
  <si>
    <t xml:space="preserve">BARRIOS </t>
  </si>
  <si>
    <t xml:space="preserve">PHILLIPE GUSTAVO </t>
  </si>
  <si>
    <t>9-78240392</t>
  </si>
  <si>
    <t>12521561-0</t>
  </si>
  <si>
    <t>ADASME</t>
  </si>
  <si>
    <t>ROJAS</t>
  </si>
  <si>
    <t>LUIS MAURICIO</t>
  </si>
  <si>
    <t>9-57042684</t>
  </si>
  <si>
    <t>16817053-K</t>
  </si>
  <si>
    <t>DIAZ</t>
  </si>
  <si>
    <t>FRANCO MAÑAN</t>
  </si>
  <si>
    <t>14901915-4</t>
  </si>
  <si>
    <t>ASTUDILLO</t>
  </si>
  <si>
    <t>TORO</t>
  </si>
  <si>
    <t>FRANCISCO JAVIER</t>
  </si>
  <si>
    <t>JEFE SSOMA</t>
  </si>
  <si>
    <t>9-54963389</t>
  </si>
  <si>
    <t>8511095-0</t>
  </si>
  <si>
    <t xml:space="preserve">RAMOS </t>
  </si>
  <si>
    <t>ALVARO MAURICIO</t>
  </si>
  <si>
    <t>9-76034533</t>
  </si>
  <si>
    <t>13501818-k</t>
  </si>
  <si>
    <t xml:space="preserve">SALAZAR </t>
  </si>
  <si>
    <t xml:space="preserve">RODRIGUEZ </t>
  </si>
  <si>
    <t xml:space="preserve">CARLOS ALBERTO </t>
  </si>
  <si>
    <t>9-42519623</t>
  </si>
  <si>
    <t>RODRIGUEZ</t>
  </si>
  <si>
    <t>15188953-0</t>
  </si>
  <si>
    <t>DURAN</t>
  </si>
  <si>
    <t>JONATHAN LUIS</t>
  </si>
  <si>
    <t>9-87434191</t>
  </si>
  <si>
    <t>20000978-9</t>
  </si>
  <si>
    <t xml:space="preserve">ALLENDE </t>
  </si>
  <si>
    <t xml:space="preserve">ROBLES </t>
  </si>
  <si>
    <t xml:space="preserve">JAVIER FRANCISCO </t>
  </si>
  <si>
    <t>9-54501058</t>
  </si>
  <si>
    <t>15124815-2</t>
  </si>
  <si>
    <t>BECERRA</t>
  </si>
  <si>
    <t>RIVEROS</t>
  </si>
  <si>
    <t>JUAN PATRICIO</t>
  </si>
  <si>
    <t>16075652-7</t>
  </si>
  <si>
    <t xml:space="preserve">MORALES </t>
  </si>
  <si>
    <t>RIVERA</t>
  </si>
  <si>
    <t>9-57991176</t>
  </si>
  <si>
    <t>10566193-2</t>
  </si>
  <si>
    <t>RISCO</t>
  </si>
  <si>
    <t>JUAN ROLANDO</t>
  </si>
  <si>
    <t>9-95123772</t>
  </si>
  <si>
    <t xml:space="preserve">MIRANDA </t>
  </si>
  <si>
    <t xml:space="preserve">RIQUELME </t>
  </si>
  <si>
    <t>15992832-2</t>
  </si>
  <si>
    <t xml:space="preserve">VALENZUELA </t>
  </si>
  <si>
    <t>JUAN CARLOS</t>
  </si>
  <si>
    <t>OPERADOR ROBOSHOT</t>
  </si>
  <si>
    <t>9-44108444</t>
  </si>
  <si>
    <t>CONTRERAS</t>
  </si>
  <si>
    <t>RIQUELME</t>
  </si>
  <si>
    <t>16215844-9</t>
  </si>
  <si>
    <t>NASLO GIOVANNI</t>
  </si>
  <si>
    <t>9-31121796</t>
  </si>
  <si>
    <t>19853956-2</t>
  </si>
  <si>
    <t>LEIVA</t>
  </si>
  <si>
    <t>RIOS</t>
  </si>
  <si>
    <t>9-76735905</t>
  </si>
  <si>
    <t>9203859-9</t>
  </si>
  <si>
    <t xml:space="preserve">TORO </t>
  </si>
  <si>
    <t xml:space="preserve">REYES </t>
  </si>
  <si>
    <t xml:space="preserve">JUAN NORBERTO </t>
  </si>
  <si>
    <t>9-88095845</t>
  </si>
  <si>
    <t>18039740-K</t>
  </si>
  <si>
    <t>LIZANA</t>
  </si>
  <si>
    <t>JUAN PEDRO</t>
  </si>
  <si>
    <t>9-40924461</t>
  </si>
  <si>
    <t>13501598-9</t>
  </si>
  <si>
    <t>BUSTAMANTE</t>
  </si>
  <si>
    <t>FERNANDO JERONIMO</t>
  </si>
  <si>
    <t>9-99327976</t>
  </si>
  <si>
    <t>13944384-5</t>
  </si>
  <si>
    <t>VALDIVIA</t>
  </si>
  <si>
    <t>PEDRO ALEJANDRO</t>
  </si>
  <si>
    <t>9-99074802</t>
  </si>
  <si>
    <t>12649801-2</t>
  </si>
  <si>
    <t>PARRAO</t>
  </si>
  <si>
    <t>REY</t>
  </si>
  <si>
    <t>RICARDO ESTEBAN</t>
  </si>
  <si>
    <t>9-97450347</t>
  </si>
  <si>
    <t>12912130-0</t>
  </si>
  <si>
    <t xml:space="preserve">CASTILLO </t>
  </si>
  <si>
    <t>RAUL RENE</t>
  </si>
  <si>
    <t>APR</t>
  </si>
  <si>
    <t>FRANCISCO ASTUDILLO</t>
  </si>
  <si>
    <t>AC</t>
  </si>
  <si>
    <t>13098134-8</t>
  </si>
  <si>
    <t>REVECO</t>
  </si>
  <si>
    <t>RODRIGO SEBASTIAN</t>
  </si>
  <si>
    <t>GRUPO 3 Y 4</t>
  </si>
  <si>
    <t>9-92813931</t>
  </si>
  <si>
    <t>14202821-2</t>
  </si>
  <si>
    <t>CELIS</t>
  </si>
  <si>
    <t>ARNALDO ANDRES</t>
  </si>
  <si>
    <t>BODEGUERO - OPERADOR EQUIPO LEVANTE</t>
  </si>
  <si>
    <t>SEWELL</t>
  </si>
  <si>
    <t>9-84665070</t>
  </si>
  <si>
    <t>19966251-1</t>
  </si>
  <si>
    <t>CORREA</t>
  </si>
  <si>
    <t>ZAVALA</t>
  </si>
  <si>
    <t>PATRICIO AGUSTIN</t>
  </si>
  <si>
    <t>JEFE SALA DE CONTROL</t>
  </si>
  <si>
    <t>13718285-8</t>
  </si>
  <si>
    <t xml:space="preserve">GONZALEZ </t>
  </si>
  <si>
    <t xml:space="preserve">QUISPE </t>
  </si>
  <si>
    <t xml:space="preserve">MARCO ANDRES </t>
  </si>
  <si>
    <t>9-34158448</t>
  </si>
  <si>
    <t>20909109-7</t>
  </si>
  <si>
    <t>ALBIÑA</t>
  </si>
  <si>
    <t>QUINTANILLA</t>
  </si>
  <si>
    <t>VICENTE ANDRES</t>
  </si>
  <si>
    <t>9-98850811</t>
  </si>
  <si>
    <t>15525914-0</t>
  </si>
  <si>
    <t>MAÑAN</t>
  </si>
  <si>
    <t>QUERALTO</t>
  </si>
  <si>
    <t>FRANCO ESTEBAN</t>
  </si>
  <si>
    <t>JEFE DE TERRENO</t>
  </si>
  <si>
    <t>GRUPO 1 Y 2</t>
  </si>
  <si>
    <t>9-51992135</t>
  </si>
  <si>
    <t>8X6</t>
  </si>
  <si>
    <t>17138197-5</t>
  </si>
  <si>
    <t>POZO</t>
  </si>
  <si>
    <t>HECTOR RODRIGO</t>
  </si>
  <si>
    <t>9-74341727</t>
  </si>
  <si>
    <t>PONCE</t>
  </si>
  <si>
    <t>17525419-6</t>
  </si>
  <si>
    <t>URBINA</t>
  </si>
  <si>
    <t>POBLETE</t>
  </si>
  <si>
    <t>CRISTIAN MAURICIO</t>
  </si>
  <si>
    <t>9-38918530</t>
  </si>
  <si>
    <t>13095786-2</t>
  </si>
  <si>
    <t>TAPIA</t>
  </si>
  <si>
    <t>PIZARRO</t>
  </si>
  <si>
    <t>9-66331684</t>
  </si>
  <si>
    <t>10660304-9</t>
  </si>
  <si>
    <t>PIÑA</t>
  </si>
  <si>
    <t>ALEJANDRO ESTEBAN</t>
  </si>
  <si>
    <t>19588210-K</t>
  </si>
  <si>
    <t>ESPINOZA</t>
  </si>
  <si>
    <t>VASQUEZ</t>
  </si>
  <si>
    <t>JORGE ANDRES</t>
  </si>
  <si>
    <t>9-89798395</t>
  </si>
  <si>
    <t>12516033-6</t>
  </si>
  <si>
    <t>AYALA</t>
  </si>
  <si>
    <t>PINO</t>
  </si>
  <si>
    <t>FERNANDO ANTONIO</t>
  </si>
  <si>
    <t>9-89263651</t>
  </si>
  <si>
    <t>10538745-8</t>
  </si>
  <si>
    <t>SERGIO AGUSTIN</t>
  </si>
  <si>
    <t>9-83329369</t>
  </si>
  <si>
    <t>16885170-7</t>
  </si>
  <si>
    <t xml:space="preserve">MOYA </t>
  </si>
  <si>
    <t xml:space="preserve">PEREZ </t>
  </si>
  <si>
    <t xml:space="preserve">JUAN CARLOS </t>
  </si>
  <si>
    <t>9-56321261</t>
  </si>
  <si>
    <t>10317769-3</t>
  </si>
  <si>
    <t xml:space="preserve">POBLETE </t>
  </si>
  <si>
    <t xml:space="preserve">BENEDICTO RODRIGO </t>
  </si>
  <si>
    <t xml:space="preserve">FRANCISCO ASTUDILLO </t>
  </si>
  <si>
    <t>9-89031357</t>
  </si>
  <si>
    <t>14318708-k</t>
  </si>
  <si>
    <t>ABARCA</t>
  </si>
  <si>
    <t>JORGE ANTONIO</t>
  </si>
  <si>
    <t>9-81855067</t>
  </si>
  <si>
    <t>19024152-1</t>
  </si>
  <si>
    <t>PARRA</t>
  </si>
  <si>
    <t>VICTOR ALEJANDRO</t>
  </si>
  <si>
    <t>12779023-k</t>
  </si>
  <si>
    <t>9-78045742</t>
  </si>
  <si>
    <t>12943869-K</t>
  </si>
  <si>
    <t>OLMOS</t>
  </si>
  <si>
    <t>PEREIRA</t>
  </si>
  <si>
    <t>NELSON RODRIGO</t>
  </si>
  <si>
    <t>9-65852427</t>
  </si>
  <si>
    <t>9041022-9</t>
  </si>
  <si>
    <t>GALAZ</t>
  </si>
  <si>
    <t>RIENZI OSCAR</t>
  </si>
  <si>
    <t>JEFE DE RELACIONES LABORALES</t>
  </si>
  <si>
    <t>9-82945548</t>
  </si>
  <si>
    <t>17147450-7</t>
  </si>
  <si>
    <t xml:space="preserve">RAMIREZ </t>
  </si>
  <si>
    <t>PEÑA</t>
  </si>
  <si>
    <t>SERGIO ALEJANDRO</t>
  </si>
  <si>
    <t>13718115-0</t>
  </si>
  <si>
    <t>DROGUETT</t>
  </si>
  <si>
    <t>PAVEZ</t>
  </si>
  <si>
    <t>MARCO ANTONIO</t>
  </si>
  <si>
    <t>9-78950742</t>
  </si>
  <si>
    <t>16884636-3</t>
  </si>
  <si>
    <t>BASTIAN ALEXIS</t>
  </si>
  <si>
    <t>9-23938496</t>
  </si>
  <si>
    <t>10423452-6</t>
  </si>
  <si>
    <t xml:space="preserve">BRAVO </t>
  </si>
  <si>
    <t xml:space="preserve">PASTEN </t>
  </si>
  <si>
    <t xml:space="preserve">JOSE LUIS </t>
  </si>
  <si>
    <t>9-59433514</t>
  </si>
  <si>
    <t>12693683-4</t>
  </si>
  <si>
    <t>JOSE MANUEL</t>
  </si>
  <si>
    <t>9-31879075</t>
  </si>
  <si>
    <t>15123583-2</t>
  </si>
  <si>
    <t>CATALAN</t>
  </si>
  <si>
    <t>PARDO</t>
  </si>
  <si>
    <t>UNGER LUIS</t>
  </si>
  <si>
    <t>9-40454041</t>
  </si>
  <si>
    <t>15109985-8</t>
  </si>
  <si>
    <t>ALARCON</t>
  </si>
  <si>
    <t>PALMA</t>
  </si>
  <si>
    <t>RICARDO ANDRES</t>
  </si>
  <si>
    <t>9-93977485</t>
  </si>
  <si>
    <t>11671760-3</t>
  </si>
  <si>
    <t>MORENO</t>
  </si>
  <si>
    <t>OSVALDO ENRIQUE</t>
  </si>
  <si>
    <t>9-62135489</t>
  </si>
  <si>
    <t>17887208-7</t>
  </si>
  <si>
    <t>OPAZO</t>
  </si>
  <si>
    <t>KAREN GRACIELA</t>
  </si>
  <si>
    <t>9-52198680</t>
  </si>
  <si>
    <t>16352987-4</t>
  </si>
  <si>
    <t>GODOY</t>
  </si>
  <si>
    <t>BARRERA</t>
  </si>
  <si>
    <t>ROBERTO JAVIER</t>
  </si>
  <si>
    <t>9-82548597</t>
  </si>
  <si>
    <t>T</t>
  </si>
  <si>
    <t>10832779-0</t>
  </si>
  <si>
    <t>PAILAMILLA</t>
  </si>
  <si>
    <t>CLAUDIO ESTEBAN</t>
  </si>
  <si>
    <t>9-46115224</t>
  </si>
  <si>
    <t>12292737-7</t>
  </si>
  <si>
    <t>OYARZUN</t>
  </si>
  <si>
    <t>JUAN SEGUNDO</t>
  </si>
  <si>
    <t>9-31064922</t>
  </si>
  <si>
    <t>15855523-9</t>
  </si>
  <si>
    <t>OVIEDO</t>
  </si>
  <si>
    <t>JHON ANDRES</t>
  </si>
  <si>
    <t>CAPATAZ OBRAS CIVILES</t>
  </si>
  <si>
    <t>9-43496383</t>
  </si>
  <si>
    <t>10527407-6</t>
  </si>
  <si>
    <t>VARGAS</t>
  </si>
  <si>
    <t>OSORIO</t>
  </si>
  <si>
    <t>MARCO AURELIO</t>
  </si>
  <si>
    <t>9-62285112</t>
  </si>
  <si>
    <t>13959333-2</t>
  </si>
  <si>
    <t>HENRIQUEZ</t>
  </si>
  <si>
    <t>ORTIZ</t>
  </si>
  <si>
    <t>MARCELO JAVIER</t>
  </si>
  <si>
    <t>9-68435458</t>
  </si>
  <si>
    <t>18105237-6</t>
  </si>
  <si>
    <t xml:space="preserve">PINO </t>
  </si>
  <si>
    <t>ORTEGA</t>
  </si>
  <si>
    <t>PATRICIO ALEJANDRO</t>
  </si>
  <si>
    <t>17526795-6</t>
  </si>
  <si>
    <t>ORREGO</t>
  </si>
  <si>
    <t>PIA FRANCISCA</t>
  </si>
  <si>
    <t>9-77509773</t>
  </si>
  <si>
    <t>12516723-3</t>
  </si>
  <si>
    <t>MADRID</t>
  </si>
  <si>
    <t>ORDOÑEZ</t>
  </si>
  <si>
    <t>DANIEL ALBERTO</t>
  </si>
  <si>
    <t>9-84539163</t>
  </si>
  <si>
    <t>19019730-1</t>
  </si>
  <si>
    <t>PATRICIO ANTONIO</t>
  </si>
  <si>
    <t>15804439-0</t>
  </si>
  <si>
    <t>INZUNZA</t>
  </si>
  <si>
    <t>ORDENES</t>
  </si>
  <si>
    <t>SANTIAGO ABRAHAM</t>
  </si>
  <si>
    <t>9-72748224</t>
  </si>
  <si>
    <t>15136301-6</t>
  </si>
  <si>
    <t xml:space="preserve">OPAZO </t>
  </si>
  <si>
    <t xml:space="preserve">SANDRO AGUSTO </t>
  </si>
  <si>
    <t>9-50832727</t>
  </si>
  <si>
    <t>9757001-9</t>
  </si>
  <si>
    <t>OLIVOS</t>
  </si>
  <si>
    <t>BERNARDO ANTONIO</t>
  </si>
  <si>
    <t>9-4622634</t>
  </si>
  <si>
    <t>10532104-K</t>
  </si>
  <si>
    <t>OCAMPO</t>
  </si>
  <si>
    <t>MARIO RAFAEL</t>
  </si>
  <si>
    <t>9-69031735</t>
  </si>
  <si>
    <t>12538821-3</t>
  </si>
  <si>
    <t>HERRERA</t>
  </si>
  <si>
    <t>OBERREUTER</t>
  </si>
  <si>
    <t>LUIS ALEJANDRO</t>
  </si>
  <si>
    <t>9-73988751</t>
  </si>
  <si>
    <t>VILLARROEL</t>
  </si>
  <si>
    <t>NUÑEZ</t>
  </si>
  <si>
    <t>HIDALGO</t>
  </si>
  <si>
    <t>CERDA</t>
  </si>
  <si>
    <t>18044306-1</t>
  </si>
  <si>
    <t xml:space="preserve">JIMENEZ </t>
  </si>
  <si>
    <t xml:space="preserve">NEIRA </t>
  </si>
  <si>
    <t xml:space="preserve">DIEGO NICOLAS </t>
  </si>
  <si>
    <t>9-90509144</t>
  </si>
  <si>
    <t>14047506-8</t>
  </si>
  <si>
    <t>MARCOS ANTONIO</t>
  </si>
  <si>
    <t>9-38931339</t>
  </si>
  <si>
    <t>14055941-5</t>
  </si>
  <si>
    <t>ESCOBAR</t>
  </si>
  <si>
    <t>ENZO ISRAEL</t>
  </si>
  <si>
    <t>9-78049994</t>
  </si>
  <si>
    <t>16520459-k</t>
  </si>
  <si>
    <t xml:space="preserve">HUAICO </t>
  </si>
  <si>
    <t xml:space="preserve">DONOSO </t>
  </si>
  <si>
    <t xml:space="preserve">FELIPE ALONSO </t>
  </si>
  <si>
    <t>9-39207097</t>
  </si>
  <si>
    <t>12911022-8</t>
  </si>
  <si>
    <t xml:space="preserve">CABEZAS </t>
  </si>
  <si>
    <t>MARCELO ALEJANDRO</t>
  </si>
  <si>
    <t>9-34010880</t>
  </si>
  <si>
    <t>11757299-4</t>
  </si>
  <si>
    <t>9-77352383</t>
  </si>
  <si>
    <t>13947724-3</t>
  </si>
  <si>
    <t>JOSE LUIS</t>
  </si>
  <si>
    <t>9-56139280</t>
  </si>
  <si>
    <t>18649055-K</t>
  </si>
  <si>
    <t>ILUFFI</t>
  </si>
  <si>
    <t>LEMMY ZDRAVKO</t>
  </si>
  <si>
    <t>9-57754866</t>
  </si>
  <si>
    <t>13502101-6</t>
  </si>
  <si>
    <t>9-84039675</t>
  </si>
  <si>
    <t>18930179-0</t>
  </si>
  <si>
    <t>HUENCHUMAN</t>
  </si>
  <si>
    <t>ALAN FABIAN ANDRES</t>
  </si>
  <si>
    <t>INGENIERO RESIDENTE</t>
  </si>
  <si>
    <t>MANUEL PORTUGUEZ</t>
  </si>
  <si>
    <t>9-68279123</t>
  </si>
  <si>
    <t>13579085-0</t>
  </si>
  <si>
    <t>FICA</t>
  </si>
  <si>
    <t>FERNANDO RICARDO</t>
  </si>
  <si>
    <t>9-82232333</t>
  </si>
  <si>
    <t>16495050-6</t>
  </si>
  <si>
    <t>QUIROZ</t>
  </si>
  <si>
    <t>MORAGA</t>
  </si>
  <si>
    <t>RODRIGO ELIAS</t>
  </si>
  <si>
    <t>9-91300480</t>
  </si>
  <si>
    <t>15552193-7</t>
  </si>
  <si>
    <t>MONSALVE</t>
  </si>
  <si>
    <t>CRISTIAN EDUARDO</t>
  </si>
  <si>
    <t>9-72775859</t>
  </si>
  <si>
    <t>15526321-0</t>
  </si>
  <si>
    <t>IBARRA</t>
  </si>
  <si>
    <t>CESAR ANTONIO</t>
  </si>
  <si>
    <t>9-78803555</t>
  </si>
  <si>
    <t>19359573-1</t>
  </si>
  <si>
    <t>GUAJARDO</t>
  </si>
  <si>
    <t>MIRANDA</t>
  </si>
  <si>
    <t>BRUNO SEBASTIAN</t>
  </si>
  <si>
    <t>9-93106698</t>
  </si>
  <si>
    <t>10910770-0</t>
  </si>
  <si>
    <t>LASTRA</t>
  </si>
  <si>
    <t>9-88175708</t>
  </si>
  <si>
    <t>20372533-7</t>
  </si>
  <si>
    <t>PABLO ISAIAS JESUS</t>
  </si>
  <si>
    <t>9-71803764</t>
  </si>
  <si>
    <t>17524001-2</t>
  </si>
  <si>
    <t>CAMPOS</t>
  </si>
  <si>
    <t>MICHEA</t>
  </si>
  <si>
    <t>NAHUN ISAI</t>
  </si>
  <si>
    <t>9-31973280</t>
  </si>
  <si>
    <t>18105459-K</t>
  </si>
  <si>
    <t>CORNEJO</t>
  </si>
  <si>
    <t>MENDEZ</t>
  </si>
  <si>
    <t>FELIPE IGNACIO</t>
  </si>
  <si>
    <t>9-83447556</t>
  </si>
  <si>
    <t>10745277-K</t>
  </si>
  <si>
    <t>BONET</t>
  </si>
  <si>
    <t>MEDINA</t>
  </si>
  <si>
    <t>JOSE HUMBERTO</t>
  </si>
  <si>
    <t>9-79824244</t>
  </si>
  <si>
    <t>17507473-2</t>
  </si>
  <si>
    <t>LIZAMA</t>
  </si>
  <si>
    <t>MATURANA</t>
  </si>
  <si>
    <t>MAURICIO ALEJANDRO</t>
  </si>
  <si>
    <t>9-41235521</t>
  </si>
  <si>
    <t>10088052-0</t>
  </si>
  <si>
    <t xml:space="preserve">NAVARRETE </t>
  </si>
  <si>
    <t xml:space="preserve">CELINO ERASMO </t>
  </si>
  <si>
    <t>9-76683835</t>
  </si>
  <si>
    <t>11444402-2</t>
  </si>
  <si>
    <t>MANRIQUEZ</t>
  </si>
  <si>
    <t>MARTINEZ</t>
  </si>
  <si>
    <t>ABELINO AMADOR</t>
  </si>
  <si>
    <t>9-85436833</t>
  </si>
  <si>
    <t>17307079-9</t>
  </si>
  <si>
    <t>FELIPE ALEJANDRO</t>
  </si>
  <si>
    <t>9-67761275</t>
  </si>
  <si>
    <t>16251679-5</t>
  </si>
  <si>
    <t>BLANCO</t>
  </si>
  <si>
    <t>PIERO ENRIQUE</t>
  </si>
  <si>
    <t>CAPATAZ</t>
  </si>
  <si>
    <t>9-32322679</t>
  </si>
  <si>
    <t>13790968-5</t>
  </si>
  <si>
    <t>LAGOS</t>
  </si>
  <si>
    <t>NORAMBUENA</t>
  </si>
  <si>
    <t>16495836-1</t>
  </si>
  <si>
    <t>REUSSIER</t>
  </si>
  <si>
    <t>OMAR JAMPIER</t>
  </si>
  <si>
    <t>9-85860995</t>
  </si>
  <si>
    <t>12228868-4</t>
  </si>
  <si>
    <t>MANCILLA</t>
  </si>
  <si>
    <t>WILDO ALEJANDRO</t>
  </si>
  <si>
    <t>9-54836737</t>
  </si>
  <si>
    <t>18378266-5</t>
  </si>
  <si>
    <t xml:space="preserve">LOPEZ </t>
  </si>
  <si>
    <t xml:space="preserve">MACIAS </t>
  </si>
  <si>
    <t xml:space="preserve">CARLOS ANTONIO </t>
  </si>
  <si>
    <t>9-65058375</t>
  </si>
  <si>
    <t>14202820-4</t>
  </si>
  <si>
    <t xml:space="preserve">MARCELO PATRICIO </t>
  </si>
  <si>
    <t>9-38714585</t>
  </si>
  <si>
    <t>14182952-1</t>
  </si>
  <si>
    <t xml:space="preserve">QUIROZ </t>
  </si>
  <si>
    <t>9-56721271</t>
  </si>
  <si>
    <t>19291456-6</t>
  </si>
  <si>
    <t>LEPEZ</t>
  </si>
  <si>
    <t>VILLAGRAN</t>
  </si>
  <si>
    <t>JOSE IGNACIO</t>
  </si>
  <si>
    <t>ENCARGADO PROGRAMACION Y CONTROL</t>
  </si>
  <si>
    <t>9-77547457</t>
  </si>
  <si>
    <t>15738668-9</t>
  </si>
  <si>
    <t>CLAUDIO FELIPE</t>
  </si>
  <si>
    <t>9-98303833</t>
  </si>
  <si>
    <t>15615373-7</t>
  </si>
  <si>
    <t>LOBOS</t>
  </si>
  <si>
    <t>9-50822708</t>
  </si>
  <si>
    <t>18105011-K</t>
  </si>
  <si>
    <t>ARROYO</t>
  </si>
  <si>
    <t>EDUARDO ENRIQUE</t>
  </si>
  <si>
    <t>9-94105210</t>
  </si>
  <si>
    <t>16321742-2</t>
  </si>
  <si>
    <t>PINTO</t>
  </si>
  <si>
    <t>NELSON EMILIO</t>
  </si>
  <si>
    <t>9-73793792</t>
  </si>
  <si>
    <t>16880543-8</t>
  </si>
  <si>
    <t>FUENTES</t>
  </si>
  <si>
    <t>BARBARA VALENTINA</t>
  </si>
  <si>
    <t>9-76045779</t>
  </si>
  <si>
    <t>20369372-9</t>
  </si>
  <si>
    <t xml:space="preserve">NUÑEZ </t>
  </si>
  <si>
    <t xml:space="preserve">LEON </t>
  </si>
  <si>
    <t xml:space="preserve">VICTOR MANUEL </t>
  </si>
  <si>
    <t>9-85502133</t>
  </si>
  <si>
    <t>16204112-6</t>
  </si>
  <si>
    <t>LEON</t>
  </si>
  <si>
    <t>HECTOR MARIO</t>
  </si>
  <si>
    <t>9-85006668</t>
  </si>
  <si>
    <t>GALLARDO</t>
  </si>
  <si>
    <t>MARCHANT</t>
  </si>
  <si>
    <t>17502837-4</t>
  </si>
  <si>
    <t>LARA</t>
  </si>
  <si>
    <t>JOSE NICOLAS</t>
  </si>
  <si>
    <t>9-44757284</t>
  </si>
  <si>
    <t>15081750-1</t>
  </si>
  <si>
    <t>JOHNSON</t>
  </si>
  <si>
    <t>CLAUDIO ANDRES</t>
  </si>
  <si>
    <t>9-82973854</t>
  </si>
  <si>
    <t>16283150-K</t>
  </si>
  <si>
    <t>PAILAÑIR</t>
  </si>
  <si>
    <t>JOFRE</t>
  </si>
  <si>
    <t>9-66799171</t>
  </si>
  <si>
    <t>11981311-5</t>
  </si>
  <si>
    <t>CARMONA</t>
  </si>
  <si>
    <t>JIMÉNEZ</t>
  </si>
  <si>
    <t>JUAN GUILLERMO</t>
  </si>
  <si>
    <t>9-86719308</t>
  </si>
  <si>
    <t>17082329-K</t>
  </si>
  <si>
    <t>REDONDO</t>
  </si>
  <si>
    <t>JIMENEZ</t>
  </si>
  <si>
    <t>9-93181593</t>
  </si>
  <si>
    <t>12080381-6</t>
  </si>
  <si>
    <t>VILLALEN</t>
  </si>
  <si>
    <t>HUAIQUILAO</t>
  </si>
  <si>
    <t>IVAN ENRIQUE</t>
  </si>
  <si>
    <t>9-71574593</t>
  </si>
  <si>
    <t>12873509-7</t>
  </si>
  <si>
    <t xml:space="preserve">DANIEL ENRIQUE </t>
  </si>
  <si>
    <t>9-76031005</t>
  </si>
  <si>
    <t>18778969-9</t>
  </si>
  <si>
    <t>JULIO GABRIEL</t>
  </si>
  <si>
    <t>9-51612180</t>
  </si>
  <si>
    <t>17791316-2</t>
  </si>
  <si>
    <t xml:space="preserve">PACHECO </t>
  </si>
  <si>
    <t>PABLO ANDRES</t>
  </si>
  <si>
    <t>13343979-K</t>
  </si>
  <si>
    <t>HERNANDEZ</t>
  </si>
  <si>
    <t>MARIO ANIBAL</t>
  </si>
  <si>
    <t>9-42602320</t>
  </si>
  <si>
    <t>13300416-5</t>
  </si>
  <si>
    <t>AHUMADA</t>
  </si>
  <si>
    <t>GUZMAN</t>
  </si>
  <si>
    <t>LEONARDO ENRIQUE</t>
  </si>
  <si>
    <t>9-91525904</t>
  </si>
  <si>
    <t>13944996-7</t>
  </si>
  <si>
    <t>CARRASCO</t>
  </si>
  <si>
    <t>PABLO JAVIER</t>
  </si>
  <si>
    <t>ELECTRONICO</t>
  </si>
  <si>
    <t>9-63535635</t>
  </si>
  <si>
    <t>17504524-4</t>
  </si>
  <si>
    <t>9-75575959</t>
  </si>
  <si>
    <t>18044166-2</t>
  </si>
  <si>
    <t>ARAUCO</t>
  </si>
  <si>
    <t xml:space="preserve">FLAVIO ALEXANDER </t>
  </si>
  <si>
    <t>9-54988470</t>
  </si>
  <si>
    <t>12293364-4</t>
  </si>
  <si>
    <t>ARREDONDO</t>
  </si>
  <si>
    <t>LUIS ANTONIO</t>
  </si>
  <si>
    <t>9-44081871</t>
  </si>
  <si>
    <t>13947967-K</t>
  </si>
  <si>
    <t>DONOSO</t>
  </si>
  <si>
    <t>ARMANDO JAVIER</t>
  </si>
  <si>
    <t>9-62320230</t>
  </si>
  <si>
    <t>10217732-0</t>
  </si>
  <si>
    <t>ITURRIAGA</t>
  </si>
  <si>
    <t>GUILLERMO ANTONIO</t>
  </si>
  <si>
    <t>9-41338307</t>
  </si>
  <si>
    <t>19654523-9</t>
  </si>
  <si>
    <t>JABANA</t>
  </si>
  <si>
    <t>JAVIER JOSE</t>
  </si>
  <si>
    <t>9-59137952</t>
  </si>
  <si>
    <t>16522258-K</t>
  </si>
  <si>
    <t xml:space="preserve">LEIVA </t>
  </si>
  <si>
    <t>FELIPE ARTURO</t>
  </si>
  <si>
    <t>9-97374199</t>
  </si>
  <si>
    <t>10609383-0</t>
  </si>
  <si>
    <t>HERIBERTO NERY</t>
  </si>
  <si>
    <t>9-53783986</t>
  </si>
  <si>
    <t>15523035-5</t>
  </si>
  <si>
    <t>LUIS ESTEBAN</t>
  </si>
  <si>
    <t>10339292-6</t>
  </si>
  <si>
    <t xml:space="preserve">SILVA </t>
  </si>
  <si>
    <t xml:space="preserve">GONZALES </t>
  </si>
  <si>
    <t xml:space="preserve">JOSE ENRIQUE </t>
  </si>
  <si>
    <t>9-96128325</t>
  </si>
  <si>
    <t>13721033-9</t>
  </si>
  <si>
    <t>MOLINA</t>
  </si>
  <si>
    <t>FRANCISCO EDUARDO</t>
  </si>
  <si>
    <t>9-97494299</t>
  </si>
  <si>
    <t>16073986-K</t>
  </si>
  <si>
    <t>CASTRO</t>
  </si>
  <si>
    <t>GARCIA</t>
  </si>
  <si>
    <t>RODRIGO ESTEBAN</t>
  </si>
  <si>
    <t>9-90336479</t>
  </si>
  <si>
    <t>13596978-8</t>
  </si>
  <si>
    <t>GALDAMES</t>
  </si>
  <si>
    <t>MAURICIO ALFONSO</t>
  </si>
  <si>
    <t>9-66557732</t>
  </si>
  <si>
    <t>11671712-3</t>
  </si>
  <si>
    <t>ROBERTO ERNESTO</t>
  </si>
  <si>
    <t>9-71513363</t>
  </si>
  <si>
    <t>12693847-0</t>
  </si>
  <si>
    <t xml:space="preserve">DANIEL ALFREDO </t>
  </si>
  <si>
    <t>9-88100049</t>
  </si>
  <si>
    <t>27195135-3</t>
  </si>
  <si>
    <t xml:space="preserve">FONSECA </t>
  </si>
  <si>
    <t xml:space="preserve">FARIAS </t>
  </si>
  <si>
    <t xml:space="preserve">ANGEL DANIEL </t>
  </si>
  <si>
    <t>9-73022360</t>
  </si>
  <si>
    <t>19018955-4</t>
  </si>
  <si>
    <t xml:space="preserve">SILVA  </t>
  </si>
  <si>
    <t xml:space="preserve">KEVIN ANIBAL </t>
  </si>
  <si>
    <t>9-28986679</t>
  </si>
  <si>
    <t>11670771-3</t>
  </si>
  <si>
    <t>VALDES</t>
  </si>
  <si>
    <t>FARIAS</t>
  </si>
  <si>
    <t>MANUEL RODRIGO</t>
  </si>
  <si>
    <t>16494384-4</t>
  </si>
  <si>
    <t>ESQUIVEL</t>
  </si>
  <si>
    <t>MAURICIO ANDRES</t>
  </si>
  <si>
    <t>9-38846908</t>
  </si>
  <si>
    <t>17134595-2</t>
  </si>
  <si>
    <t>JUAN JOSE</t>
  </si>
  <si>
    <t>9-49367123</t>
  </si>
  <si>
    <t>16250514-9</t>
  </si>
  <si>
    <t>SEBASTIAN OSVALDO</t>
  </si>
  <si>
    <t>9-42634376</t>
  </si>
  <si>
    <t>12325261-6</t>
  </si>
  <si>
    <t>9-89508765</t>
  </si>
  <si>
    <t>14204461-7</t>
  </si>
  <si>
    <t xml:space="preserve">ESCOBEDO </t>
  </si>
  <si>
    <t xml:space="preserve">ARIEL ESTEBAN </t>
  </si>
  <si>
    <t>9-54650312</t>
  </si>
  <si>
    <t>13375973-5</t>
  </si>
  <si>
    <t>9-28653018</t>
  </si>
  <si>
    <t>18650459-3</t>
  </si>
  <si>
    <t>CAIFAL</t>
  </si>
  <si>
    <t>9-75475303</t>
  </si>
  <si>
    <t>13776815-1</t>
  </si>
  <si>
    <t>RODRIGO ANDRES</t>
  </si>
  <si>
    <t>9-52842171</t>
  </si>
  <si>
    <t>16283926-8</t>
  </si>
  <si>
    <t xml:space="preserve">MUÑOZ </t>
  </si>
  <si>
    <t>DAMIAN SEBASTIAN</t>
  </si>
  <si>
    <t>ENCARGADO DE CALIDAD</t>
  </si>
  <si>
    <t>13720619-6</t>
  </si>
  <si>
    <t>ALAMOS</t>
  </si>
  <si>
    <t>SERGIO ISMAEL</t>
  </si>
  <si>
    <t>9-93709441</t>
  </si>
  <si>
    <t>10167162-3</t>
  </si>
  <si>
    <t>ANTONIO ALFONSO</t>
  </si>
  <si>
    <t>9-90904633</t>
  </si>
  <si>
    <t>RAUL ALEJANDRO</t>
  </si>
  <si>
    <t>9-20999196</t>
  </si>
  <si>
    <t>14582094-4</t>
  </si>
  <si>
    <t>ALDUNCE</t>
  </si>
  <si>
    <t>DEVIA</t>
  </si>
  <si>
    <t>9-42383144</t>
  </si>
  <si>
    <t>14203111-6</t>
  </si>
  <si>
    <t>DELGADO</t>
  </si>
  <si>
    <t>RODRIGO ISMAEL</t>
  </si>
  <si>
    <t>9-30366619</t>
  </si>
  <si>
    <t>16826085-7</t>
  </si>
  <si>
    <t>SANDOVAL</t>
  </si>
  <si>
    <t>DAZA</t>
  </si>
  <si>
    <t>FELIPE ADRIAN</t>
  </si>
  <si>
    <t>9-77049858</t>
  </si>
  <si>
    <t>13303043-3</t>
  </si>
  <si>
    <t>FUENTEALBA</t>
  </si>
  <si>
    <t>ERNESTO IVAN</t>
  </si>
  <si>
    <t>9-32296076</t>
  </si>
  <si>
    <t>17651539-2</t>
  </si>
  <si>
    <t>SALAZAR</t>
  </si>
  <si>
    <t>9-92711819</t>
  </si>
  <si>
    <t>18104568-K</t>
  </si>
  <si>
    <t>GAJARDO</t>
  </si>
  <si>
    <t>CORDERO</t>
  </si>
  <si>
    <t>FERNANDO BASTIAN</t>
  </si>
  <si>
    <t>9-57581204</t>
  </si>
  <si>
    <t>11231765-1</t>
  </si>
  <si>
    <t>9-94197716</t>
  </si>
  <si>
    <t>19591422-2</t>
  </si>
  <si>
    <t>NECULMAN</t>
  </si>
  <si>
    <t>ARANGUIZ</t>
  </si>
  <si>
    <t>GUIDO ALBERTO</t>
  </si>
  <si>
    <t>9-91501508</t>
  </si>
  <si>
    <t>18650077-6</t>
  </si>
  <si>
    <t>SEGUEL</t>
  </si>
  <si>
    <t>CISTERNA</t>
  </si>
  <si>
    <t>JEAN LESTER</t>
  </si>
  <si>
    <t>9-53581582</t>
  </si>
  <si>
    <t>13721009-6</t>
  </si>
  <si>
    <t>9-97951755</t>
  </si>
  <si>
    <t>13501985-2</t>
  </si>
  <si>
    <t>ORLANDO ANTONIO</t>
  </si>
  <si>
    <t>12008382-1</t>
  </si>
  <si>
    <t>9-87879132</t>
  </si>
  <si>
    <t>15804411-0</t>
  </si>
  <si>
    <t>GONZALO ALBERTO</t>
  </si>
  <si>
    <t>9-66698569</t>
  </si>
  <si>
    <t>12108004-4</t>
  </si>
  <si>
    <t>CAVIERES</t>
  </si>
  <si>
    <t>MAURO ENRIQUE</t>
  </si>
  <si>
    <t>9-6379202</t>
  </si>
  <si>
    <t>15600549-5</t>
  </si>
  <si>
    <t>CURIN</t>
  </si>
  <si>
    <t>CATRIPAN</t>
  </si>
  <si>
    <t>VICTOR RUBEN</t>
  </si>
  <si>
    <t>9-47901891</t>
  </si>
  <si>
    <t>9557997-3</t>
  </si>
  <si>
    <t>SEBASTIAN DEL CARMEN</t>
  </si>
  <si>
    <t>9-93362802</t>
  </si>
  <si>
    <t>12791238-6</t>
  </si>
  <si>
    <t>HORACIO DE LA CRUZ</t>
  </si>
  <si>
    <t>9-42453239</t>
  </si>
  <si>
    <t>12399407-8</t>
  </si>
  <si>
    <t>CABRERA</t>
  </si>
  <si>
    <t>JOSE MIGUEL</t>
  </si>
  <si>
    <t>9-82573513</t>
  </si>
  <si>
    <t>14038363-5</t>
  </si>
  <si>
    <t>OJEDA</t>
  </si>
  <si>
    <t>BERNARDO ARIEL</t>
  </si>
  <si>
    <t>14202345-8</t>
  </si>
  <si>
    <t>GALVEZ</t>
  </si>
  <si>
    <t>VICTOR HUGO</t>
  </si>
  <si>
    <t>9-33351103</t>
  </si>
  <si>
    <t>14331614-9</t>
  </si>
  <si>
    <t>CANTILLANA</t>
  </si>
  <si>
    <t>9-88843090</t>
  </si>
  <si>
    <t>20707242-7</t>
  </si>
  <si>
    <t>BRIAN DANIEL</t>
  </si>
  <si>
    <t>9-59071459</t>
  </si>
  <si>
    <t>20028986-2</t>
  </si>
  <si>
    <t>MATIAS NICOLAS</t>
  </si>
  <si>
    <t>9-64535577</t>
  </si>
  <si>
    <t>16492067-4</t>
  </si>
  <si>
    <t>CLAUDIO HERNAN</t>
  </si>
  <si>
    <t>9-42308001</t>
  </si>
  <si>
    <t>13963143-9</t>
  </si>
  <si>
    <t>CAIRE</t>
  </si>
  <si>
    <t>MARCELO IVAN</t>
  </si>
  <si>
    <t>9-78757572</t>
  </si>
  <si>
    <t>11671715-8</t>
  </si>
  <si>
    <t>CACERES</t>
  </si>
  <si>
    <t>MANUEL IRENIO</t>
  </si>
  <si>
    <t>9-73290527</t>
  </si>
  <si>
    <t>14204448-K</t>
  </si>
  <si>
    <t>PATRICIO OCTAVIO</t>
  </si>
  <si>
    <t>9-88252110</t>
  </si>
  <si>
    <t>14203396-8</t>
  </si>
  <si>
    <t>NAVARRO</t>
  </si>
  <si>
    <t>BURGOS</t>
  </si>
  <si>
    <t>SERGIO ANDRES</t>
  </si>
  <si>
    <t>9-55338340</t>
  </si>
  <si>
    <t>12570375-5</t>
  </si>
  <si>
    <t>NARVAEZ</t>
  </si>
  <si>
    <t>BORQUEZ</t>
  </si>
  <si>
    <t>CHRISTIAN MARCELO</t>
  </si>
  <si>
    <t>9-26251874</t>
  </si>
  <si>
    <t>7x7</t>
  </si>
  <si>
    <t>13343442-9</t>
  </si>
  <si>
    <t>BOBADILLA</t>
  </si>
  <si>
    <t>9-52100362</t>
  </si>
  <si>
    <t>17651858-8</t>
  </si>
  <si>
    <t xml:space="preserve">ARAVENA </t>
  </si>
  <si>
    <t xml:space="preserve">BERRIOS </t>
  </si>
  <si>
    <t xml:space="preserve">PATRICIO EUGENIO </t>
  </si>
  <si>
    <t>18646449-4</t>
  </si>
  <si>
    <t>ALEGRIA</t>
  </si>
  <si>
    <t>DANIELA ALEXANDRA</t>
  </si>
  <si>
    <t>9-86833977</t>
  </si>
  <si>
    <t>12913255-8</t>
  </si>
  <si>
    <t>JAVIER ANTONIO</t>
  </si>
  <si>
    <t>9-76193936</t>
  </si>
  <si>
    <t>12104539-7</t>
  </si>
  <si>
    <t>JERIA</t>
  </si>
  <si>
    <t>BASAEZ</t>
  </si>
  <si>
    <t>JORGE ENRIQUE</t>
  </si>
  <si>
    <t>9-48719917</t>
  </si>
  <si>
    <t>12755784-5</t>
  </si>
  <si>
    <t xml:space="preserve">HERNANDEZ </t>
  </si>
  <si>
    <t xml:space="preserve">BARRIA </t>
  </si>
  <si>
    <t>9-87429068</t>
  </si>
  <si>
    <t>11889944-K</t>
  </si>
  <si>
    <t>VIAL</t>
  </si>
  <si>
    <t>BARRÍA</t>
  </si>
  <si>
    <t>CRISTIAN RODRIGO</t>
  </si>
  <si>
    <t>9-76147507</t>
  </si>
  <si>
    <t>13787176-9</t>
  </si>
  <si>
    <t>BARRIA</t>
  </si>
  <si>
    <t>RICHARD OMAR</t>
  </si>
  <si>
    <t>9-26084181</t>
  </si>
  <si>
    <t>17107897-0</t>
  </si>
  <si>
    <t>ORELLANA</t>
  </si>
  <si>
    <t>SOLIS</t>
  </si>
  <si>
    <t>DAYRO ANDRES</t>
  </si>
  <si>
    <t>JEFE DE MAQUINARIA</t>
  </si>
  <si>
    <t>9-66888653</t>
  </si>
  <si>
    <t>19262087-2</t>
  </si>
  <si>
    <t>BRIAN ESTEBAN</t>
  </si>
  <si>
    <t>9-56204530</t>
  </si>
  <si>
    <t>13184919-2</t>
  </si>
  <si>
    <t>BARRAZA</t>
  </si>
  <si>
    <t>ALEXANDER ESTEBAN</t>
  </si>
  <si>
    <t>9-41270343</t>
  </si>
  <si>
    <t>12459184-8</t>
  </si>
  <si>
    <t xml:space="preserve">BAHAMONDES </t>
  </si>
  <si>
    <t xml:space="preserve">LUIS EDUARDO </t>
  </si>
  <si>
    <t>9-78493402</t>
  </si>
  <si>
    <t>18646758-2</t>
  </si>
  <si>
    <t xml:space="preserve">BADILLA </t>
  </si>
  <si>
    <t>JOSE FERNANDO</t>
  </si>
  <si>
    <t>9-83994662</t>
  </si>
  <si>
    <t>19026813-6</t>
  </si>
  <si>
    <t>AZOCAR</t>
  </si>
  <si>
    <t>9-67598831</t>
  </si>
  <si>
    <t>18817755-7</t>
  </si>
  <si>
    <t xml:space="preserve">AVILA </t>
  </si>
  <si>
    <t xml:space="preserve">SEBASTIAN SAMUEL </t>
  </si>
  <si>
    <t>9-42217653</t>
  </si>
  <si>
    <t>13399641-9</t>
  </si>
  <si>
    <t>CONEJEROS</t>
  </si>
  <si>
    <t>AVILA</t>
  </si>
  <si>
    <t>WILSON ALEJANDRO</t>
  </si>
  <si>
    <t>9-32496598</t>
  </si>
  <si>
    <t>17525702-0</t>
  </si>
  <si>
    <t xml:space="preserve">DIAZ </t>
  </si>
  <si>
    <t xml:space="preserve">AVENDAÑO </t>
  </si>
  <si>
    <t xml:space="preserve">MIGUEL IGNACIO </t>
  </si>
  <si>
    <t>9-50994959</t>
  </si>
  <si>
    <t>20126831-1</t>
  </si>
  <si>
    <t>SACRE</t>
  </si>
  <si>
    <t>ASTORGA</t>
  </si>
  <si>
    <t>SEBASTIAN ALEJANDRO</t>
  </si>
  <si>
    <t>9-84648807</t>
  </si>
  <si>
    <t>16253562-5</t>
  </si>
  <si>
    <t xml:space="preserve">SOTO </t>
  </si>
  <si>
    <t>ARRUE</t>
  </si>
  <si>
    <t>SERGIO ANTONIO</t>
  </si>
  <si>
    <t>9-64031762</t>
  </si>
  <si>
    <t>10409440-6</t>
  </si>
  <si>
    <t>SAAVEDRA</t>
  </si>
  <si>
    <t>ARRATIA</t>
  </si>
  <si>
    <t>SERGIO</t>
  </si>
  <si>
    <t>9-71703529</t>
  </si>
  <si>
    <t>15177786-4</t>
  </si>
  <si>
    <t>ARIAS</t>
  </si>
  <si>
    <t>JONATHAN GABRIEL</t>
  </si>
  <si>
    <t>9-61174476</t>
  </si>
  <si>
    <t>18042065-7</t>
  </si>
  <si>
    <t>AREVALO</t>
  </si>
  <si>
    <t>GUILLERMO IGNACIO</t>
  </si>
  <si>
    <t>9-66775516</t>
  </si>
  <si>
    <t>9301899-0</t>
  </si>
  <si>
    <t>LORCA</t>
  </si>
  <si>
    <t>RICARDO DEL CARMEN</t>
  </si>
  <si>
    <t>9-77441213</t>
  </si>
  <si>
    <t>15872596-7</t>
  </si>
  <si>
    <t>MONCADA</t>
  </si>
  <si>
    <t>CRISTOPHER EDUARDO</t>
  </si>
  <si>
    <t>9-56689480</t>
  </si>
  <si>
    <t xml:space="preserve">ARANGUIZ </t>
  </si>
  <si>
    <t>11981393-K</t>
  </si>
  <si>
    <t>LUIS ROBERTO</t>
  </si>
  <si>
    <t>9-38999671</t>
  </si>
  <si>
    <t>19264568-9</t>
  </si>
  <si>
    <t>9-79433620</t>
  </si>
  <si>
    <t>13307832-0</t>
  </si>
  <si>
    <t xml:space="preserve">PALMA </t>
  </si>
  <si>
    <t>JHON ANTONIO</t>
  </si>
  <si>
    <t>9-66585566</t>
  </si>
  <si>
    <t>10015618-0</t>
  </si>
  <si>
    <t>SALINAS</t>
  </si>
  <si>
    <t>ARANCIBIA</t>
  </si>
  <si>
    <t>9-71867557</t>
  </si>
  <si>
    <t>15503447-5</t>
  </si>
  <si>
    <t>ANDRADE</t>
  </si>
  <si>
    <t>JONATHAN ANDRES</t>
  </si>
  <si>
    <t>9-73549620</t>
  </si>
  <si>
    <t>21744414-4</t>
  </si>
  <si>
    <t>PALOMINOS</t>
  </si>
  <si>
    <t>COLLANTES</t>
  </si>
  <si>
    <t>EVA SOLEDAD</t>
  </si>
  <si>
    <t>9-53243944</t>
  </si>
  <si>
    <t>14561347-7</t>
  </si>
  <si>
    <t>NALDO ALBERTO</t>
  </si>
  <si>
    <t>9-78414656</t>
  </si>
  <si>
    <t>13501641-1</t>
  </si>
  <si>
    <t>GONZALO JAVIER</t>
  </si>
  <si>
    <t>JEFE TOPOGRAFIA</t>
  </si>
  <si>
    <t>9-66005487</t>
  </si>
  <si>
    <t>10177598-4</t>
  </si>
  <si>
    <t>ALBRECHT</t>
  </si>
  <si>
    <t>9-94280813</t>
  </si>
  <si>
    <t>13043028-7</t>
  </si>
  <si>
    <t>ALBORNOZ</t>
  </si>
  <si>
    <t>PABLO ANTONIO</t>
  </si>
  <si>
    <t>9-99314862</t>
  </si>
  <si>
    <t>18320888-8</t>
  </si>
  <si>
    <t>VENEGAS</t>
  </si>
  <si>
    <t>DAVIS PATRICIO</t>
  </si>
  <si>
    <t>9-82472147</t>
  </si>
  <si>
    <t>14010827-8</t>
  </si>
  <si>
    <t xml:space="preserve">CARVAJAL </t>
  </si>
  <si>
    <t>JUAN ENRIQUE</t>
  </si>
  <si>
    <t>9-93636155</t>
  </si>
  <si>
    <t>12861671-3</t>
  </si>
  <si>
    <t>JUAN ANGELO</t>
  </si>
  <si>
    <t>9-86672768</t>
  </si>
  <si>
    <t>14201506-4</t>
  </si>
  <si>
    <t>AGUIRRE</t>
  </si>
  <si>
    <t>9-73138604</t>
  </si>
  <si>
    <t>10029316-1</t>
  </si>
  <si>
    <t>BERROCAL</t>
  </si>
  <si>
    <t>AGUILAR</t>
  </si>
  <si>
    <t>JOSE RUBEN</t>
  </si>
  <si>
    <t>9-22209473</t>
  </si>
  <si>
    <t>19679156-6</t>
  </si>
  <si>
    <t>JAVIER IGNACIO</t>
  </si>
  <si>
    <t>9-90931210</t>
  </si>
  <si>
    <t>20372380-6</t>
  </si>
  <si>
    <t>VIVANCO</t>
  </si>
  <si>
    <t>CRISTIAN ALEJANDRO</t>
  </si>
  <si>
    <t>9-49667052</t>
  </si>
  <si>
    <t>13718429-K</t>
  </si>
  <si>
    <t>HUGO HERNAN</t>
  </si>
  <si>
    <t>20442453-5</t>
  </si>
  <si>
    <t>CONCHA</t>
  </si>
  <si>
    <t>DIEGO MARTIN</t>
  </si>
  <si>
    <t>18870963-K</t>
  </si>
  <si>
    <t>FOLLERT</t>
  </si>
  <si>
    <t>ORMEÑO</t>
  </si>
  <si>
    <t>RICARDO PATRICIO</t>
  </si>
  <si>
    <t>15104227-9</t>
  </si>
  <si>
    <t>GOMEZ</t>
  </si>
  <si>
    <t>ALEJANDRO ENRIQUE</t>
  </si>
  <si>
    <t>18646010-3</t>
  </si>
  <si>
    <t>NARBONA</t>
  </si>
  <si>
    <t>DUQUE</t>
  </si>
  <si>
    <t>BRIAN GUILLERMO</t>
  </si>
  <si>
    <t>14367340-5</t>
  </si>
  <si>
    <t>12915668-6</t>
  </si>
  <si>
    <t>LEONARDO DEL CARMEN</t>
  </si>
  <si>
    <t>TTE - 8</t>
  </si>
  <si>
    <t>JEFES DE TURNO</t>
  </si>
  <si>
    <t>9-77535404</t>
  </si>
  <si>
    <t>13946452-4</t>
  </si>
  <si>
    <t xml:space="preserve">SANHUEZA </t>
  </si>
  <si>
    <t>17507190-3</t>
  </si>
  <si>
    <t>CRISTOPHER EMILIO</t>
  </si>
  <si>
    <t>18377389-5</t>
  </si>
  <si>
    <t>MARCELO PABLO</t>
  </si>
  <si>
    <t>17135155-3</t>
  </si>
  <si>
    <t>CRISTOPHER ALAN</t>
  </si>
  <si>
    <t>17504727-1</t>
  </si>
  <si>
    <t>CARLOS FRANCISCO</t>
  </si>
  <si>
    <t>10752814-8</t>
  </si>
  <si>
    <t>CHACON</t>
  </si>
  <si>
    <t>ELIAS ENRIQUE</t>
  </si>
  <si>
    <t>13568516-k</t>
  </si>
  <si>
    <t xml:space="preserve">ORDENES </t>
  </si>
  <si>
    <t xml:space="preserve">FRANCISCO JAVIER </t>
  </si>
  <si>
    <t>9-53344625</t>
  </si>
  <si>
    <t>17544340-1</t>
  </si>
  <si>
    <t>PONTIGO</t>
  </si>
  <si>
    <t>MILLAR</t>
  </si>
  <si>
    <t>14323091-0</t>
  </si>
  <si>
    <t>11364911-9</t>
  </si>
  <si>
    <t xml:space="preserve">CABELLO </t>
  </si>
  <si>
    <t>RAYMOND EDUARDO</t>
  </si>
  <si>
    <t>11397520-2</t>
  </si>
  <si>
    <t>CATRILEO</t>
  </si>
  <si>
    <t>CLAUDIO ALEXIS</t>
  </si>
  <si>
    <t>11365190-3</t>
  </si>
  <si>
    <t>RAUL ANDRES</t>
  </si>
  <si>
    <t>11393705-K</t>
  </si>
  <si>
    <t>JOSE RAMON</t>
  </si>
  <si>
    <t>20659809-3</t>
  </si>
  <si>
    <t>PARRAGUEZ</t>
  </si>
  <si>
    <t>DUBAL ALEJANDRO</t>
  </si>
  <si>
    <t>18488363-5</t>
  </si>
  <si>
    <t>LUCIANO ANDRES</t>
  </si>
  <si>
    <t>18374036-9</t>
  </si>
  <si>
    <t>VERA</t>
  </si>
  <si>
    <t>CARREÑO</t>
  </si>
  <si>
    <t>OSCAR ENRIQUE</t>
  </si>
  <si>
    <t>JEFE DE TALLER</t>
  </si>
  <si>
    <t>13301348-2</t>
  </si>
  <si>
    <t xml:space="preserve">AGURTO </t>
  </si>
  <si>
    <t>CUADRA</t>
  </si>
  <si>
    <t>LUIS DANIEL</t>
  </si>
  <si>
    <t>11888109-5</t>
  </si>
  <si>
    <t xml:space="preserve">CARQUIN </t>
  </si>
  <si>
    <t>CRISTIAN PASCUAL</t>
  </si>
  <si>
    <t>15993801-8</t>
  </si>
  <si>
    <t>CARQUIN</t>
  </si>
  <si>
    <t>VICTOR ALFONSO</t>
  </si>
  <si>
    <t>11671610-0</t>
  </si>
  <si>
    <t xml:space="preserve">CONTRERAS </t>
  </si>
  <si>
    <t>HECTOR FABIAN</t>
  </si>
  <si>
    <t>17049822-4</t>
  </si>
  <si>
    <t xml:space="preserve">SANTIS </t>
  </si>
  <si>
    <t>MANZANO</t>
  </si>
  <si>
    <t>TERESA CAROLINA</t>
  </si>
  <si>
    <t>9-78221856</t>
  </si>
  <si>
    <t>19263843-7</t>
  </si>
  <si>
    <t>GABRIEL ALEJANDRO</t>
  </si>
  <si>
    <t>19019821-9</t>
  </si>
  <si>
    <t>HONDARZA</t>
  </si>
  <si>
    <t>BENJAMIN MATIAS</t>
  </si>
  <si>
    <t>20039208-6</t>
  </si>
  <si>
    <t>GERALD ALEXANDER</t>
  </si>
  <si>
    <t>11804297-2</t>
  </si>
  <si>
    <t xml:space="preserve">LUNA </t>
  </si>
  <si>
    <t>AMPUERO</t>
  </si>
  <si>
    <t>JOSE PEDRO</t>
  </si>
  <si>
    <t>13501963-1</t>
  </si>
  <si>
    <t>15122708-2</t>
  </si>
  <si>
    <t>21921790-0</t>
  </si>
  <si>
    <t>TRIVIÑO</t>
  </si>
  <si>
    <t>CORDOZA</t>
  </si>
  <si>
    <t>15805573-2</t>
  </si>
  <si>
    <t>JONATHAN ALEJANDRO</t>
  </si>
  <si>
    <t>ALARIFE</t>
  </si>
  <si>
    <t>GONZALO PINO</t>
  </si>
  <si>
    <t>9-73742304</t>
  </si>
  <si>
    <t>13302447-6</t>
  </si>
  <si>
    <t>HERNAN ALEJANDRO</t>
  </si>
  <si>
    <t>13718212-2</t>
  </si>
  <si>
    <t>FERNANDO MOISES</t>
  </si>
  <si>
    <t>18646346-3</t>
  </si>
  <si>
    <t>AARON BRANDON</t>
  </si>
  <si>
    <t>11434254-8</t>
  </si>
  <si>
    <t>BASULTO</t>
  </si>
  <si>
    <t>LEONARDO ALONSO</t>
  </si>
  <si>
    <t>12052221-3</t>
  </si>
  <si>
    <t>15524884-K</t>
  </si>
  <si>
    <t>PATRICIO ANDRES</t>
  </si>
  <si>
    <t>19018270-3</t>
  </si>
  <si>
    <t>JARA</t>
  </si>
  <si>
    <t>10895410-8</t>
  </si>
  <si>
    <t>CARLOS ENRIQUE</t>
  </si>
  <si>
    <t>17506134-7</t>
  </si>
  <si>
    <t>BUENO</t>
  </si>
  <si>
    <t>MAXIMILIANO ALEXIS</t>
  </si>
  <si>
    <t>14199829-3</t>
  </si>
  <si>
    <t>DANIEL DAVID</t>
  </si>
  <si>
    <t>16748484-0</t>
  </si>
  <si>
    <t>BETZABE DEL CARMEN</t>
  </si>
  <si>
    <t>9-56269064</t>
  </si>
  <si>
    <t>13502036-2</t>
  </si>
  <si>
    <t>QUINTEROS</t>
  </si>
  <si>
    <t>HERNAN ANTONIO</t>
  </si>
  <si>
    <t>19020314-K</t>
  </si>
  <si>
    <t>ALONSO</t>
  </si>
  <si>
    <t>15479977-K</t>
  </si>
  <si>
    <t>ALVARO EMILIO</t>
  </si>
  <si>
    <t>20029140-9</t>
  </si>
  <si>
    <t>13786668-4</t>
  </si>
  <si>
    <t>19265363-0</t>
  </si>
  <si>
    <t>CABEZAS</t>
  </si>
  <si>
    <t>NICOLAS EDUERDO</t>
  </si>
  <si>
    <t>15807351-K</t>
  </si>
  <si>
    <t>ALEXIS ROBERT</t>
  </si>
  <si>
    <t>16880681-7</t>
  </si>
  <si>
    <t xml:space="preserve">RUBIO </t>
  </si>
  <si>
    <t>DIEGO ESTEBAN</t>
  </si>
  <si>
    <t xml:space="preserve">ABARCA </t>
  </si>
  <si>
    <t>BRUNO ALEJANDRO</t>
  </si>
  <si>
    <t>13501805-8</t>
  </si>
  <si>
    <t>CRISTOFER NIVALDO</t>
  </si>
  <si>
    <t>20039050-4</t>
  </si>
  <si>
    <t xml:space="preserve">GOMEZ </t>
  </si>
  <si>
    <t>13720989-6</t>
  </si>
  <si>
    <t>CESAR EDUARDO</t>
  </si>
  <si>
    <t>14906763-9</t>
  </si>
  <si>
    <t>MILLA</t>
  </si>
  <si>
    <t>18377293-7</t>
  </si>
  <si>
    <t>ZAMORA</t>
  </si>
  <si>
    <t>ENCARGADA DE MEDIO AMBIENTE</t>
  </si>
  <si>
    <t>16528863-7</t>
  </si>
  <si>
    <t>ROLDAN</t>
  </si>
  <si>
    <t>CRISTIAN IGNACIO</t>
  </si>
  <si>
    <t>12778050-1</t>
  </si>
  <si>
    <t>CARRILLO</t>
  </si>
  <si>
    <t>MAURICIO</t>
  </si>
  <si>
    <t>17364689-5</t>
  </si>
  <si>
    <t xml:space="preserve">CORTEZ </t>
  </si>
  <si>
    <t>LUIS FERNANADO</t>
  </si>
  <si>
    <t>7714376-9</t>
  </si>
  <si>
    <t>MIGUEL EMILIO</t>
  </si>
  <si>
    <t>18799247-8</t>
  </si>
  <si>
    <t>NICOLAS LUIS</t>
  </si>
  <si>
    <t>INSPECTOR DE CALIDAD</t>
  </si>
  <si>
    <t>12290315-K</t>
  </si>
  <si>
    <t>15672850-0</t>
  </si>
  <si>
    <t>16532644-K</t>
  </si>
  <si>
    <t xml:space="preserve">PADILLA </t>
  </si>
  <si>
    <t>CARLOS MIGUEL</t>
  </si>
  <si>
    <t>10658318-8</t>
  </si>
  <si>
    <t>CARO</t>
  </si>
  <si>
    <t>LORENZO CELEDINO</t>
  </si>
  <si>
    <t>12692501-8</t>
  </si>
  <si>
    <t>MALDONADO</t>
  </si>
  <si>
    <t>EDUARDO ANTONIO</t>
  </si>
  <si>
    <t>17108165-3</t>
  </si>
  <si>
    <t>HECTOR CRISTOPHER</t>
  </si>
  <si>
    <t>20028162-4</t>
  </si>
  <si>
    <t>LEYTON</t>
  </si>
  <si>
    <t>CAMILO ANTONIO</t>
  </si>
  <si>
    <t>12963509-6</t>
  </si>
  <si>
    <t>IBAÑEZ</t>
  </si>
  <si>
    <t>18377249-K</t>
  </si>
  <si>
    <t>JONATHAN MARIANO</t>
  </si>
  <si>
    <t>17538039-6</t>
  </si>
  <si>
    <t xml:space="preserve">ORTEGA </t>
  </si>
  <si>
    <t>JUAN DANIEL</t>
  </si>
  <si>
    <t>15916171-4</t>
  </si>
  <si>
    <t>MENARES</t>
  </si>
  <si>
    <t>20368804-0</t>
  </si>
  <si>
    <t>DIEGO SAIT</t>
  </si>
  <si>
    <t>ÁREA DE TRABAJO</t>
  </si>
  <si>
    <t>TURNO A TRABAJADOS</t>
  </si>
  <si>
    <t>TURNO B TRABAJADOS</t>
  </si>
  <si>
    <t>EVENTO SISMICO</t>
  </si>
  <si>
    <t>TELETRABAJO</t>
  </si>
  <si>
    <t>EVENTO CLIMATICO</t>
  </si>
  <si>
    <t>TOTAL DESCANSOS</t>
  </si>
  <si>
    <t>FALLAS</t>
  </si>
  <si>
    <t>LICENCIAS</t>
  </si>
  <si>
    <t>PERMISOS SIN GOCE</t>
  </si>
  <si>
    <t>PERMISO SINDICAL</t>
  </si>
  <si>
    <t>DIA ADMINISTRATIVO</t>
  </si>
  <si>
    <t>VACACIONES</t>
  </si>
  <si>
    <t>SUELDO IMM</t>
  </si>
  <si>
    <t>PERMISO C/SUELDO</t>
  </si>
  <si>
    <t>PROCESO DE ACREDITACION</t>
  </si>
  <si>
    <t>TOTAL ASISTENCIA</t>
  </si>
  <si>
    <t>BERARDO OJEDA</t>
  </si>
  <si>
    <t>17721126-5</t>
  </si>
  <si>
    <t>13790791-7</t>
  </si>
  <si>
    <t>BUGUEÑO</t>
  </si>
  <si>
    <t>ANDRES ALFONSO</t>
  </si>
  <si>
    <t>13343778-9</t>
  </si>
  <si>
    <t>JOSE ALFREDO</t>
  </si>
  <si>
    <t>19265779-2</t>
  </si>
  <si>
    <t>CHANCY</t>
  </si>
  <si>
    <t>JOHAN STEFANO</t>
  </si>
  <si>
    <t>14200246-9</t>
  </si>
  <si>
    <t>ALEXIS ENRIQUE</t>
  </si>
  <si>
    <t>16882199-9</t>
  </si>
  <si>
    <t>COVARRUBIAS</t>
  </si>
  <si>
    <t>GUILLERMO ENRIQUE</t>
  </si>
  <si>
    <t>13660038-9</t>
  </si>
  <si>
    <t>GAMBA</t>
  </si>
  <si>
    <t>15105774-8</t>
  </si>
  <si>
    <t>SEBASTIAN ANDRES</t>
  </si>
  <si>
    <t>16882223-5</t>
  </si>
  <si>
    <t>WALTER FRANCISCO</t>
  </si>
  <si>
    <t>16494607-K</t>
  </si>
  <si>
    <t>KEVIN FABRIZZIO</t>
  </si>
  <si>
    <t>14202879-4</t>
  </si>
  <si>
    <t>OSCAR EDUARDO</t>
  </si>
  <si>
    <t>12778735-2</t>
  </si>
  <si>
    <t>15991385-6</t>
  </si>
  <si>
    <t>AZUA</t>
  </si>
  <si>
    <t>9866184-0</t>
  </si>
  <si>
    <t>FRANCISCO ABDON</t>
  </si>
  <si>
    <t>16792332-1</t>
  </si>
  <si>
    <t>ROZAS</t>
  </si>
  <si>
    <t>ROCO</t>
  </si>
  <si>
    <t>MAURICIO ESTEBAN</t>
  </si>
  <si>
    <t>16901911-8</t>
  </si>
  <si>
    <t xml:space="preserve">VELASQUEZ </t>
  </si>
  <si>
    <t>TRUFFI</t>
  </si>
  <si>
    <t>FREDY GONZALO ANDRES</t>
  </si>
  <si>
    <t>17817528-9</t>
  </si>
  <si>
    <t>VICTOR EDUARDO</t>
  </si>
  <si>
    <t>ARAMBARRI</t>
  </si>
  <si>
    <t>IBACETA</t>
  </si>
  <si>
    <t>15079423-4</t>
  </si>
  <si>
    <t>RAMOS</t>
  </si>
  <si>
    <t>OLIVARES</t>
  </si>
  <si>
    <t>JAVIER ALEJANDRO</t>
  </si>
  <si>
    <t>OSCAR ANDRES</t>
  </si>
  <si>
    <t xml:space="preserve">GRUPO 1 </t>
  </si>
  <si>
    <t>12052160-8</t>
  </si>
  <si>
    <t>20528076-6</t>
  </si>
  <si>
    <t>18573711-K</t>
  </si>
  <si>
    <t>15126168-K</t>
  </si>
  <si>
    <t>15106886-3</t>
  </si>
  <si>
    <t>16254180-3</t>
  </si>
  <si>
    <t>13718021-9</t>
  </si>
  <si>
    <t>11175753-4</t>
  </si>
  <si>
    <t>9451784-2</t>
  </si>
  <si>
    <t>18733433-0</t>
  </si>
  <si>
    <t>COMUNIQUIR</t>
  </si>
  <si>
    <t>POVEDA</t>
  </si>
  <si>
    <t>KEVIN ELIAS</t>
  </si>
  <si>
    <t>JESUS ALEJANDRO</t>
  </si>
  <si>
    <t>JILBERTO</t>
  </si>
  <si>
    <t>ANTONIO ALEJANDRO</t>
  </si>
  <si>
    <t>ORLANDO MISAEL</t>
  </si>
  <si>
    <t>LUIS ERASMO</t>
  </si>
  <si>
    <t>PAREDES</t>
  </si>
  <si>
    <t>EYZAGUIRRE</t>
  </si>
  <si>
    <t>JORGE IVAN</t>
  </si>
  <si>
    <t>CRUZ</t>
  </si>
  <si>
    <t>VILLANUEVA</t>
  </si>
  <si>
    <t>VALDERAS</t>
  </si>
  <si>
    <t>BRYAN ESTEBAN</t>
  </si>
  <si>
    <t>DIBUJANTE NIVELADOR</t>
  </si>
  <si>
    <t>9-56668768</t>
  </si>
  <si>
    <t>13301689-9</t>
  </si>
  <si>
    <t>11746987-5</t>
  </si>
  <si>
    <t>RICARDO ANTONIO</t>
  </si>
  <si>
    <t>12868589-8</t>
  </si>
  <si>
    <t>KAU</t>
  </si>
  <si>
    <t>MANDUJANO</t>
  </si>
  <si>
    <t>INGRID VALESKA</t>
  </si>
  <si>
    <t>10420552-6</t>
  </si>
  <si>
    <t>JORGE LUIS</t>
  </si>
  <si>
    <t>13316137-6</t>
  </si>
  <si>
    <t>PABLO CESAR</t>
  </si>
  <si>
    <t>RIENZI GALAZ</t>
  </si>
  <si>
    <t>GAETE</t>
  </si>
  <si>
    <t>15755892-7</t>
  </si>
  <si>
    <t>16254017-3</t>
  </si>
  <si>
    <t>NEIRA</t>
  </si>
  <si>
    <t>DIEGO ANDRES</t>
  </si>
  <si>
    <t>OPERADOR SCOOP-RETROEXCAVADORA-ACUÑADOR</t>
  </si>
  <si>
    <t>20660237-6</t>
  </si>
  <si>
    <t>11796041-2</t>
  </si>
  <si>
    <t>16846668-4</t>
  </si>
  <si>
    <t>14204255-K</t>
  </si>
  <si>
    <t>FELIPE TOMAS</t>
  </si>
  <si>
    <t>MONTERO</t>
  </si>
  <si>
    <t>CORTEZ</t>
  </si>
  <si>
    <t xml:space="preserve">SALAS </t>
  </si>
  <si>
    <t>MOISES ANDRES</t>
  </si>
  <si>
    <t>ZAPATA</t>
  </si>
  <si>
    <t>SERGIO GABRIEL</t>
  </si>
  <si>
    <t>OPERADOR RETROEXCAVADORA-ACUÑADOR</t>
  </si>
  <si>
    <t>18384969-7</t>
  </si>
  <si>
    <t>18710944-2</t>
  </si>
  <si>
    <t>16936315-3</t>
  </si>
  <si>
    <t>13776504-7</t>
  </si>
  <si>
    <t>15694742-3</t>
  </si>
  <si>
    <t>PAZ</t>
  </si>
  <si>
    <t>REMEDY</t>
  </si>
  <si>
    <t>BRICEÑO</t>
  </si>
  <si>
    <t>ALEJANDRO DANIEL</t>
  </si>
  <si>
    <t>LUIS AGUSTIN</t>
  </si>
  <si>
    <t>SEBASTIAN ADOLFO</t>
  </si>
  <si>
    <t>CRISTOBAL SEBASTIAN</t>
  </si>
  <si>
    <t>HECTOR FRANCISCO JAVIER</t>
  </si>
  <si>
    <t>VILLALON</t>
  </si>
  <si>
    <t>14099880-K</t>
  </si>
  <si>
    <t xml:space="preserve">CERECEDA </t>
  </si>
  <si>
    <t>LARRY WILSON</t>
  </si>
  <si>
    <t>16252949-8</t>
  </si>
  <si>
    <t>13718461-3</t>
  </si>
  <si>
    <t>15404076-5</t>
  </si>
  <si>
    <t>15715519-9</t>
  </si>
  <si>
    <t>19018319-K</t>
  </si>
  <si>
    <t>LEONARDO FELIPE</t>
  </si>
  <si>
    <t xml:space="preserve">GUZMAN </t>
  </si>
  <si>
    <t>FABIAN ANDRES</t>
  </si>
  <si>
    <t>ESTEBAN ANDRES</t>
  </si>
  <si>
    <t>BASTIAN ANDRES</t>
  </si>
  <si>
    <t>PABLO IGNACIO MOISES</t>
  </si>
  <si>
    <t>17114699-2</t>
  </si>
  <si>
    <t>19020045-0</t>
  </si>
  <si>
    <t>8355811-3</t>
  </si>
  <si>
    <t>9760006-6</t>
  </si>
  <si>
    <t>15153326-4</t>
  </si>
  <si>
    <t>ACEVEDO</t>
  </si>
  <si>
    <t>JULIO FERNANDO</t>
  </si>
  <si>
    <t>DIEGO MATIAS</t>
  </si>
  <si>
    <t>LEONARDO ARTURO</t>
  </si>
  <si>
    <t>OPERADOR MIXER</t>
  </si>
  <si>
    <t>RODRIGO BENJAMIN</t>
  </si>
  <si>
    <t>LARRY CERECEDA</t>
  </si>
  <si>
    <t>19218775-3</t>
  </si>
  <si>
    <t>15991833-5</t>
  </si>
  <si>
    <t>13098086-4</t>
  </si>
  <si>
    <t>ELECTROMECÁNICO</t>
  </si>
  <si>
    <t>MAESTRO MINERO - OBRAS CIVILES</t>
  </si>
  <si>
    <t>OPERADOR EQUIPO LEVANTE- RETROEXCAVADORA</t>
  </si>
  <si>
    <t>ELECTRÓNICO</t>
  </si>
  <si>
    <t>CAPATAZ MINERÍA</t>
  </si>
  <si>
    <t>ASISTENTE ADMINISTRATIVO- PASATIEMPO</t>
  </si>
  <si>
    <t>AYUDANTE MINERÍA - OBRAS CIVILES</t>
  </si>
  <si>
    <t>CAPATAZ MINERO - OBRAS CIVILES</t>
  </si>
  <si>
    <t>OPERADOR EQUIPO LEVANTE - RETRO EXCAVADORA</t>
  </si>
  <si>
    <t>SOLDADOR MANTENCIÓN</t>
  </si>
  <si>
    <t>OPERADOR EQUIPO LEVANTE - RETROEXCAVADORA - ACUÑADOR</t>
  </si>
  <si>
    <t>MAESTRO MINERÍA</t>
  </si>
  <si>
    <t>BODEGUERO - DIGITADOR</t>
  </si>
  <si>
    <t>OPERADOR EQUIPO LEVANTE - MIXER</t>
  </si>
  <si>
    <t>OPERADOR JUMBO DE FORTIFICACIÓN MECANIZADA</t>
  </si>
  <si>
    <t>JEFE DE OPERACIONES</t>
  </si>
  <si>
    <t>AYUDANTE MINERÍA</t>
  </si>
  <si>
    <t>SECRETARIO TÉCNICO MAQUINARIA</t>
  </si>
  <si>
    <t>ASISTENTE OFICINA TÉCNICA</t>
  </si>
  <si>
    <t>MECÁNICO</t>
  </si>
  <si>
    <t>INGENIERO OFICIA TECNICA</t>
  </si>
  <si>
    <t>VULCANIZADOR</t>
  </si>
  <si>
    <t>ASISTENTE DEPARTAMENTO PREVENCIÓN</t>
  </si>
  <si>
    <t>OPERADOR GRÚA- RETROEXCAVADORA</t>
  </si>
  <si>
    <t>LÍDER MECÁNICO</t>
  </si>
  <si>
    <t>LÍDER ELÉCTRICO</t>
  </si>
  <si>
    <t>OPERADOR EQUIPO RETROEXCAVADORA</t>
  </si>
  <si>
    <t>LABORATORISTA</t>
  </si>
  <si>
    <t>MAESTRO DE OBRAS CIVILES</t>
  </si>
  <si>
    <t>OPERADOR EQUIPO LEVANTE - ACUÑADOR</t>
  </si>
  <si>
    <t>ENCARGADA HERRAMIENTA DE GESTIÓN</t>
  </si>
  <si>
    <t>MAESTRO MECÁNICO</t>
  </si>
  <si>
    <t>JEFA OFICINA TÉCNICA</t>
  </si>
  <si>
    <t>CONTROL DOCUMENTOS</t>
  </si>
  <si>
    <t>JEFE ELÉCTRICO</t>
  </si>
  <si>
    <t>JEFE DE INNOVACIÓN Y FORMACIÓN</t>
  </si>
  <si>
    <t>AUXILIAR DE ASEO</t>
  </si>
  <si>
    <t>OPERADOR EQUIPO LEVANTE - RETROEXCAVADORA</t>
  </si>
  <si>
    <t>SUPERVISOR MONTAJE</t>
  </si>
  <si>
    <t>PREVENCIONISTA RIESGOS SERNAGEOMIN B</t>
  </si>
  <si>
    <t>OPERADOR RETROEXCAVADORA</t>
  </si>
  <si>
    <t>ENCARGADO PROGRAMACION Y CONTROL- CALIDAD</t>
  </si>
  <si>
    <t>ENCARGADA HERRAMIENTAS PREVENTIVAS</t>
  </si>
  <si>
    <t>LÍDER MÉCANICO</t>
  </si>
  <si>
    <t>ENCARGADA HERRAMIENTAS DE GESTIÓN</t>
  </si>
  <si>
    <t>RANCAGUA</t>
  </si>
  <si>
    <t>BODEGA RANCAGUA</t>
  </si>
  <si>
    <t>JUAN CASTILLO</t>
  </si>
  <si>
    <t>CARLOS ALEXIS</t>
  </si>
  <si>
    <t>ASISTENTE RELACIONES LABORALES</t>
  </si>
  <si>
    <t>18370194-3</t>
  </si>
  <si>
    <t>IGNACIA ALEJANDRA</t>
  </si>
  <si>
    <t>SOZA</t>
  </si>
  <si>
    <t>12768881-8</t>
  </si>
  <si>
    <t>18326657-8</t>
  </si>
  <si>
    <t>17782433-K</t>
  </si>
  <si>
    <t>CEPEDA</t>
  </si>
  <si>
    <t>BADILLO</t>
  </si>
  <si>
    <t>ARAVENA</t>
  </si>
  <si>
    <t>ROBLES</t>
  </si>
  <si>
    <t>FELICIANO ALEJANDRO</t>
  </si>
  <si>
    <t>RAÚL ERNESTO</t>
  </si>
  <si>
    <t xml:space="preserve">BRYAN DANIEL </t>
  </si>
  <si>
    <t>MAESTRO MINERO-OBRAS CIVILES</t>
  </si>
  <si>
    <t>VALENTINA FERNNADA</t>
  </si>
  <si>
    <t>ABRAHAM RICARDO</t>
  </si>
  <si>
    <t>CARLOS CHRISTIAN</t>
  </si>
  <si>
    <t>18276007-2</t>
  </si>
  <si>
    <t>YUKSELLLUCY ESTEFJANNY</t>
  </si>
  <si>
    <t>BODEGUERO-DIGITADOR</t>
  </si>
  <si>
    <t>15994108-6</t>
  </si>
  <si>
    <t>PULGARES</t>
  </si>
  <si>
    <t>JORGE ARMANDO</t>
  </si>
  <si>
    <t>10861689-K</t>
  </si>
  <si>
    <t>LUCERO</t>
  </si>
  <si>
    <t>CLAUDIO CRISTIAN</t>
  </si>
  <si>
    <t>15755766-1</t>
  </si>
  <si>
    <t>ROBINSON ISRAEL</t>
  </si>
  <si>
    <t>14203767-K</t>
  </si>
  <si>
    <t>MICHAEL PATRICIO</t>
  </si>
  <si>
    <t>16493460-8</t>
  </si>
  <si>
    <t>CARRERA</t>
  </si>
  <si>
    <t>JOSE ISAAC</t>
  </si>
  <si>
    <t xml:space="preserve">GRUPO 3 </t>
  </si>
  <si>
    <t>19262285-9</t>
  </si>
  <si>
    <t>18647691-3</t>
  </si>
  <si>
    <t>17767702-7</t>
  </si>
  <si>
    <t>13947290-K</t>
  </si>
  <si>
    <t>18648428-2</t>
  </si>
  <si>
    <t>JEREZ</t>
  </si>
  <si>
    <t>DANIELA YOSEVETT</t>
  </si>
  <si>
    <t xml:space="preserve">CARO </t>
  </si>
  <si>
    <t>DANIEL IGNACIO</t>
  </si>
  <si>
    <t>MARIA VICTORIA</t>
  </si>
  <si>
    <t>BASTIAN ALFREDO</t>
  </si>
  <si>
    <t>PASATIEMPO</t>
  </si>
  <si>
    <t>ALUMNO EN PRACTICA</t>
  </si>
  <si>
    <t>MAESTRO MECANICO</t>
  </si>
  <si>
    <t>ENCARGADA RESSO</t>
  </si>
  <si>
    <t xml:space="preserve">SEXO </t>
  </si>
  <si>
    <t>H</t>
  </si>
  <si>
    <t>16295238-2</t>
  </si>
  <si>
    <t>1512426-5</t>
  </si>
  <si>
    <t>13099736-8</t>
  </si>
  <si>
    <t>14336983-8</t>
  </si>
  <si>
    <t>PINCHEIRA</t>
  </si>
  <si>
    <t>BENITO ANDRES</t>
  </si>
  <si>
    <t>RAUL PATRICIO</t>
  </si>
  <si>
    <t>EDUARDO CARLOS</t>
  </si>
  <si>
    <t>JEFE TERRENO DE SEGURIDAD</t>
  </si>
  <si>
    <t>OPERADOR EQUIPO LEBANTE- MIXER</t>
  </si>
  <si>
    <t>15122269-2</t>
  </si>
  <si>
    <t>16320969-1</t>
  </si>
  <si>
    <t>12366087-0</t>
  </si>
  <si>
    <t>16698817-9</t>
  </si>
  <si>
    <t>13719331-0</t>
  </si>
  <si>
    <t xml:space="preserve">FREDES </t>
  </si>
  <si>
    <t>SOTOMAYOR</t>
  </si>
  <si>
    <t>SEBASTIÁN EDUARDO</t>
  </si>
  <si>
    <t>VÍCTOR EDUARDO</t>
  </si>
  <si>
    <t>YOVANNY FRANCISCO</t>
  </si>
  <si>
    <t>RAÚL ALEJANDRO</t>
  </si>
  <si>
    <t>JOSÉ IGNACIO</t>
  </si>
  <si>
    <t>EXPEDITOR TÉCNICO MAQUINARIA</t>
  </si>
  <si>
    <t xml:space="preserve">MECÁNICO </t>
  </si>
  <si>
    <t>CAPATAZ MINERIA-OBRAS CIVILES</t>
  </si>
  <si>
    <t xml:space="preserve">ALARIFE AYUDANTE TOPOGRAFIA </t>
  </si>
  <si>
    <t>POR DEFINIR</t>
  </si>
  <si>
    <t>9-92576733</t>
  </si>
  <si>
    <t>9-56072361</t>
  </si>
  <si>
    <t>9-50027478</t>
  </si>
  <si>
    <t>9-96175798</t>
  </si>
  <si>
    <t xml:space="preserve">GERARDO SEBASTIAN </t>
  </si>
  <si>
    <t>9-99970438</t>
  </si>
  <si>
    <t>9-39093229</t>
  </si>
  <si>
    <t>17548769-7</t>
  </si>
  <si>
    <t>17139316-7</t>
  </si>
  <si>
    <t>15105633-4</t>
  </si>
  <si>
    <t>11353259-9</t>
  </si>
  <si>
    <t>18040070-2</t>
  </si>
  <si>
    <t>18042654-K</t>
  </si>
  <si>
    <t>17477078-6</t>
  </si>
  <si>
    <t>DIEGO ALONSO</t>
  </si>
  <si>
    <t>PATRICIO ANDRÉS</t>
  </si>
  <si>
    <t>FELIPE CRISTIAN</t>
  </si>
  <si>
    <t>ANDRÉS EDUARDO</t>
  </si>
  <si>
    <t>RENÉ ALFONSO</t>
  </si>
  <si>
    <t>FELIPE SEBASTIÁN</t>
  </si>
  <si>
    <t>LUENGO</t>
  </si>
  <si>
    <t>MEJIAS</t>
  </si>
  <si>
    <t>CRESPO</t>
  </si>
  <si>
    <t>31-06-2026</t>
  </si>
  <si>
    <t>COLLADO</t>
  </si>
  <si>
    <t>F</t>
  </si>
  <si>
    <t>9 8241 4589</t>
  </si>
  <si>
    <t>9 3866 4333</t>
  </si>
  <si>
    <t>9 3894 1779</t>
  </si>
  <si>
    <t>9 8531 3184</t>
  </si>
  <si>
    <t>9 7529 4011</t>
  </si>
  <si>
    <t>9 7723 4293</t>
  </si>
  <si>
    <t>9-96661143</t>
  </si>
  <si>
    <t>957995386 -  998740545</t>
  </si>
  <si>
    <t>9 2345 6789</t>
  </si>
  <si>
    <t>9 97542093</t>
  </si>
  <si>
    <t>9 32280870</t>
  </si>
  <si>
    <t xml:space="preserve"> 9 6767 1767</t>
  </si>
  <si>
    <t>PSG</t>
  </si>
  <si>
    <t>IMM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</si>
</sst>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_ ;\-0\ "/>
  </numFmts>
  <fonts count="1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9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AEAA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9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42" fontId="1" fillId="0" borderId="0" xfId="1" applyFont="1" applyAlignment="1">
      <alignment horizontal="center"/>
    </xf>
    <xf numFmtId="42" fontId="2" fillId="2" borderId="1" xfId="1" applyFont="1" applyFill="1" applyBorder="1" applyAlignment="1">
      <alignment horizontal="center" vertical="center"/>
    </xf>
    <xf numFmtId="42" fontId="2" fillId="2" borderId="1" xfId="1" applyFont="1" applyFill="1" applyBorder="1" applyAlignment="1">
      <alignment horizontal="center" vertical="center" wrapText="1"/>
    </xf>
    <xf numFmtId="42" fontId="1" fillId="3" borderId="1" xfId="1" applyFont="1" applyFill="1" applyBorder="1" applyAlignment="1">
      <alignment horizontal="center"/>
    </xf>
    <xf numFmtId="14" fontId="1" fillId="0" borderId="0" xfId="1" applyNumberFormat="1" applyFont="1" applyAlignment="1">
      <alignment horizontal="center"/>
    </xf>
    <xf numFmtId="14" fontId="2" fillId="2" borderId="1" xfId="1" applyNumberFormat="1" applyFont="1" applyFill="1" applyBorder="1" applyAlignment="1">
      <alignment horizontal="center" vertical="center" wrapText="1"/>
    </xf>
    <xf numFmtId="14" fontId="1" fillId="3" borderId="1" xfId="1" applyNumberFormat="1" applyFont="1" applyFill="1" applyBorder="1" applyAlignment="1">
      <alignment horizontal="center"/>
    </xf>
    <xf numFmtId="42" fontId="1" fillId="0" borderId="1" xfId="1" applyFont="1" applyBorder="1" applyAlignment="1">
      <alignment horizontal="center"/>
    </xf>
    <xf numFmtId="14" fontId="1" fillId="0" borderId="1" xfId="1" applyNumberFormat="1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/>
    </xf>
  </cellXfs>
  <cellStyles count="2">
    <cellStyle name="Moneda [0]" xfId="1" builtinId="7"/>
    <cellStyle name="Normal" xfId="0" builtinId="0"/>
  </cellStyles>
  <dxfs count="63"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99805</xdr:colOff>
      <xdr:row>0</xdr:row>
      <xdr:rowOff>33131</xdr:rowOff>
    </xdr:from>
    <xdr:to>
      <xdr:col>4</xdr:col>
      <xdr:colOff>715119</xdr:colOff>
      <xdr:row>3</xdr:row>
      <xdr:rowOff>104042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F63F59-6782-F189-FC49-7EAA1B074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970" y="33131"/>
          <a:ext cx="2968487" cy="524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015A-026D-4D05-A794-A8716BD66FFA}">
  <dimension ref="A5:DV434"/>
  <sheetViews>
    <sheetView showGridLines="0" tabSelected="1" topLeftCell="G394" zoomScale="110" zoomScaleNormal="110" workbookViewId="0">
      <selection activeCell="S102" sqref="S102"/>
    </sheetView>
  </sheetViews>
  <sheetFormatPr baseColWidth="10" defaultColWidth="11.44140625" defaultRowHeight="12" x14ac:dyDescent="0.25"/>
  <cols>
    <col min="1" max="1" width="6.44140625" style="2" customWidth="1"/>
    <col min="2" max="2" width="9.33203125" style="2" customWidth="1"/>
    <col min="3" max="3" width="12.5546875" style="2" customWidth="1"/>
    <col min="4" max="4" width="12.44140625" style="2" customWidth="1"/>
    <col min="5" max="5" width="20.44140625" style="2" customWidth="1"/>
    <col min="6" max="6" width="23.21875" style="19" customWidth="1"/>
    <col min="7" max="7" width="13.109375" style="23" customWidth="1"/>
    <col min="8" max="8" width="12.33203125" style="23" customWidth="1"/>
    <col min="9" max="9" width="13.33203125" style="19" customWidth="1"/>
    <col min="10" max="10" width="18" style="19" customWidth="1"/>
    <col min="11" max="11" width="10.33203125" style="2" customWidth="1"/>
    <col min="12" max="13" width="17.109375" style="2" customWidth="1"/>
    <col min="14" max="14" width="12.6640625" style="2" customWidth="1"/>
    <col min="15" max="15" width="10.33203125" style="2" customWidth="1"/>
    <col min="16" max="24" width="6" style="2" customWidth="1"/>
    <col min="25" max="26" width="6.6640625" style="2" customWidth="1"/>
    <col min="27" max="45" width="3.33203125" style="2" customWidth="1"/>
    <col min="46" max="46" width="9" style="2" customWidth="1"/>
    <col min="47" max="47" width="8.109375" style="2" customWidth="1"/>
    <col min="48" max="48" width="8.33203125" style="2" customWidth="1"/>
    <col min="49" max="49" width="7.33203125" style="2" customWidth="1"/>
    <col min="50" max="50" width="8" style="2" customWidth="1"/>
    <col min="51" max="51" width="9.5546875" style="2" customWidth="1"/>
    <col min="52" max="52" width="7.5546875" style="2" customWidth="1"/>
    <col min="53" max="55" width="11.44140625" style="2"/>
    <col min="56" max="56" width="12.109375" style="2" customWidth="1"/>
    <col min="57" max="60" width="11.44140625" style="2"/>
    <col min="61" max="61" width="8.6640625" style="2" customWidth="1"/>
    <col min="62" max="16384" width="11.44140625" style="2"/>
  </cols>
  <sheetData>
    <row r="5" spans="1:62" x14ac:dyDescent="0.25">
      <c r="P5" s="15" t="s">
        <v>1</v>
      </c>
      <c r="Q5" s="5" t="s">
        <v>2</v>
      </c>
      <c r="R5" s="15" t="s">
        <v>3</v>
      </c>
      <c r="S5" s="10" t="s">
        <v>4</v>
      </c>
      <c r="T5" s="10" t="s">
        <v>5</v>
      </c>
      <c r="U5" s="5" t="s">
        <v>0</v>
      </c>
      <c r="V5" s="15" t="s">
        <v>1</v>
      </c>
      <c r="W5" s="15" t="s">
        <v>1</v>
      </c>
      <c r="X5" s="5" t="s">
        <v>2</v>
      </c>
      <c r="Y5" s="15" t="s">
        <v>3</v>
      </c>
      <c r="Z5" s="10" t="s">
        <v>4</v>
      </c>
      <c r="AA5" s="10" t="s">
        <v>5</v>
      </c>
      <c r="AB5" s="5" t="s">
        <v>0</v>
      </c>
      <c r="AC5" s="15" t="s">
        <v>1</v>
      </c>
      <c r="AD5" s="15" t="s">
        <v>1</v>
      </c>
      <c r="AE5" s="5" t="s">
        <v>2</v>
      </c>
      <c r="AF5" s="5" t="s">
        <v>3</v>
      </c>
      <c r="AG5" s="10" t="s">
        <v>4</v>
      </c>
      <c r="AH5" s="10" t="s">
        <v>5</v>
      </c>
      <c r="AI5" s="5" t="s">
        <v>0</v>
      </c>
      <c r="AJ5" s="15" t="s">
        <v>1</v>
      </c>
      <c r="AK5" s="15" t="s">
        <v>1</v>
      </c>
      <c r="AL5" s="5" t="s">
        <v>2</v>
      </c>
      <c r="AM5" s="5" t="s">
        <v>3</v>
      </c>
      <c r="AN5" s="10" t="s">
        <v>4</v>
      </c>
      <c r="AO5" s="10" t="s">
        <v>5</v>
      </c>
      <c r="AP5" s="5" t="s">
        <v>0</v>
      </c>
      <c r="AQ5" s="15" t="s">
        <v>1</v>
      </c>
      <c r="AR5" s="15" t="s">
        <v>1</v>
      </c>
      <c r="AS5" s="5" t="s">
        <v>2</v>
      </c>
    </row>
    <row r="6" spans="1:62" s="6" customFormat="1" ht="35.549999999999997" customHeight="1" x14ac:dyDescent="0.3">
      <c r="A6" s="7" t="s">
        <v>6</v>
      </c>
      <c r="B6" s="7" t="s">
        <v>7</v>
      </c>
      <c r="C6" s="8" t="s">
        <v>8</v>
      </c>
      <c r="D6" s="8" t="s">
        <v>9</v>
      </c>
      <c r="E6" s="7" t="s">
        <v>10</v>
      </c>
      <c r="F6" s="20" t="s">
        <v>11</v>
      </c>
      <c r="G6" s="24" t="s">
        <v>12</v>
      </c>
      <c r="H6" s="24" t="s">
        <v>13</v>
      </c>
      <c r="I6" s="21" t="s">
        <v>14</v>
      </c>
      <c r="J6" s="21" t="s">
        <v>1356</v>
      </c>
      <c r="K6" s="7" t="s">
        <v>15</v>
      </c>
      <c r="L6" s="7" t="s">
        <v>16</v>
      </c>
      <c r="M6" s="7" t="s">
        <v>1620</v>
      </c>
      <c r="N6" s="7" t="s">
        <v>17</v>
      </c>
      <c r="O6" s="9" t="s">
        <v>18</v>
      </c>
      <c r="P6" s="15">
        <v>1</v>
      </c>
      <c r="Q6" s="5">
        <v>2</v>
      </c>
      <c r="R6" s="15">
        <v>3</v>
      </c>
      <c r="S6" s="10">
        <v>4</v>
      </c>
      <c r="T6" s="10">
        <v>5</v>
      </c>
      <c r="U6" s="15">
        <v>6</v>
      </c>
      <c r="V6" s="15">
        <v>7</v>
      </c>
      <c r="W6" s="15">
        <v>8</v>
      </c>
      <c r="X6" s="15">
        <v>9</v>
      </c>
      <c r="Y6" s="15">
        <v>10</v>
      </c>
      <c r="Z6" s="10">
        <v>11</v>
      </c>
      <c r="AA6" s="10">
        <v>12</v>
      </c>
      <c r="AB6" s="15">
        <v>13</v>
      </c>
      <c r="AC6" s="15">
        <v>14</v>
      </c>
      <c r="AD6" s="15">
        <v>15</v>
      </c>
      <c r="AE6" s="5">
        <v>16</v>
      </c>
      <c r="AF6" s="5">
        <v>17</v>
      </c>
      <c r="AG6" s="10">
        <v>18</v>
      </c>
      <c r="AH6" s="10">
        <v>19</v>
      </c>
      <c r="AI6" s="15">
        <v>20</v>
      </c>
      <c r="AJ6" s="15">
        <v>21</v>
      </c>
      <c r="AK6" s="15">
        <v>22</v>
      </c>
      <c r="AL6" s="5">
        <v>23</v>
      </c>
      <c r="AM6" s="5">
        <v>24</v>
      </c>
      <c r="AN6" s="10">
        <v>25</v>
      </c>
      <c r="AO6" s="10">
        <v>26</v>
      </c>
      <c r="AP6" s="5">
        <v>27</v>
      </c>
      <c r="AQ6" s="15">
        <v>28</v>
      </c>
      <c r="AR6" s="15">
        <v>29</v>
      </c>
      <c r="AS6" s="15">
        <v>30</v>
      </c>
      <c r="AT6" s="11" t="s">
        <v>1357</v>
      </c>
      <c r="AU6" s="11" t="s">
        <v>1358</v>
      </c>
      <c r="AV6" s="11" t="s">
        <v>1359</v>
      </c>
      <c r="AW6" s="11" t="s">
        <v>1360</v>
      </c>
      <c r="AX6" s="11" t="s">
        <v>1361</v>
      </c>
      <c r="AY6" s="11" t="s">
        <v>1362</v>
      </c>
      <c r="AZ6" s="11" t="s">
        <v>1363</v>
      </c>
      <c r="BA6" s="11" t="s">
        <v>1364</v>
      </c>
      <c r="BB6" s="11" t="s">
        <v>1365</v>
      </c>
      <c r="BC6" s="11" t="s">
        <v>1366</v>
      </c>
      <c r="BD6" s="11" t="s">
        <v>1367</v>
      </c>
      <c r="BE6" s="11" t="s">
        <v>1368</v>
      </c>
      <c r="BF6" s="11" t="s">
        <v>1369</v>
      </c>
      <c r="BG6" s="11" t="s">
        <v>1370</v>
      </c>
      <c r="BH6" s="11" t="s">
        <v>1371</v>
      </c>
      <c r="BI6" s="11" t="s">
        <v>1372</v>
      </c>
      <c r="BJ6" s="12"/>
    </row>
    <row r="7" spans="1:62" x14ac:dyDescent="0.25">
      <c r="A7" s="29">
        <v>1</v>
      </c>
      <c r="B7" s="3" t="s">
        <v>462</v>
      </c>
      <c r="C7" s="13" t="s">
        <v>463</v>
      </c>
      <c r="D7" s="13" t="s">
        <v>129</v>
      </c>
      <c r="E7" s="13" t="s">
        <v>464</v>
      </c>
      <c r="F7" s="22" t="s">
        <v>465</v>
      </c>
      <c r="G7" s="25">
        <v>44774</v>
      </c>
      <c r="H7" s="25" t="s">
        <v>35</v>
      </c>
      <c r="I7" s="22" t="s">
        <v>131</v>
      </c>
      <c r="J7" s="22" t="s">
        <v>132</v>
      </c>
      <c r="K7" s="13" t="s">
        <v>84</v>
      </c>
      <c r="L7" s="13" t="s">
        <v>220</v>
      </c>
      <c r="M7" s="13" t="s">
        <v>1621</v>
      </c>
      <c r="N7" s="4" t="s">
        <v>466</v>
      </c>
      <c r="O7" s="4" t="s">
        <v>84</v>
      </c>
      <c r="P7" s="1" t="s">
        <v>39</v>
      </c>
      <c r="Q7" s="1" t="s">
        <v>39</v>
      </c>
      <c r="R7" s="1" t="s">
        <v>5</v>
      </c>
      <c r="S7" s="1" t="s">
        <v>5</v>
      </c>
      <c r="T7" s="1" t="s">
        <v>5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3">
        <f t="shared" ref="AT7:AT70" si="0">+COUNTIF(P7:AS7,"A")</f>
        <v>2</v>
      </c>
      <c r="AU7" s="3">
        <f t="shared" ref="AU7:AU70" si="1">+COUNTIF(P7:AS7,"B")</f>
        <v>0</v>
      </c>
      <c r="AV7" s="3">
        <f t="shared" ref="AV7:AV70" si="2">+COUNTIF(P7:AS7,"ES")</f>
        <v>0</v>
      </c>
      <c r="AW7" s="3">
        <f t="shared" ref="AW7:AW70" si="3">+COUNTIF(P7:AS7,"T")</f>
        <v>0</v>
      </c>
      <c r="AX7" s="3">
        <f t="shared" ref="AX7:AX70" si="4">+COUNTIF(P7:AS7,"EC")</f>
        <v>0</v>
      </c>
      <c r="AY7" s="3">
        <f t="shared" ref="AY7:AY70" si="5">+COUNTIF(P7:AS7,"D")</f>
        <v>3</v>
      </c>
      <c r="AZ7" s="3">
        <f t="shared" ref="AZ7:AZ70" si="6">+COUNTIF(P7:AS7,"F")</f>
        <v>0</v>
      </c>
      <c r="BA7" s="3">
        <f t="shared" ref="BA7:BA70" si="7">+COUNTIF(P7:AS7,"LM")</f>
        <v>0</v>
      </c>
      <c r="BB7" s="3">
        <f t="shared" ref="BB7:BB70" si="8">+COUNTIF(P7:AS7,"PSG")</f>
        <v>0</v>
      </c>
      <c r="BC7" s="3">
        <f t="shared" ref="BC7:BC70" si="9">+COUNTIF(P7:AS7,"PS")</f>
        <v>0</v>
      </c>
      <c r="BD7" s="3">
        <f t="shared" ref="BD7:BD70" si="10">+COUNTIF(P7:AS7,"AD")</f>
        <v>0</v>
      </c>
      <c r="BE7" s="3">
        <f t="shared" ref="BE7:BE70" si="11">+COUNTIF(P7:AS7,"V")</f>
        <v>0</v>
      </c>
      <c r="BF7" s="3">
        <f t="shared" ref="BF7:BF70" si="12">+COUNTIF(P7:AS7,"IMM")</f>
        <v>0</v>
      </c>
      <c r="BG7" s="3">
        <f t="shared" ref="BG7:BG70" si="13">+COUNTIF(P7:AS7,"PCG")</f>
        <v>0</v>
      </c>
      <c r="BH7" s="3">
        <f t="shared" ref="BH7:BH70" si="14">+COUNTIF(P7:AS7,"AC")</f>
        <v>0</v>
      </c>
      <c r="BI7" s="3">
        <f t="shared" ref="BI7:BI70" si="15">AT7+AU7+AV7+AW7+AX7+AY7+BC7+BD7+BE7+BF7+BG7+BH7</f>
        <v>5</v>
      </c>
    </row>
    <row r="8" spans="1:62" x14ac:dyDescent="0.25">
      <c r="A8" s="29">
        <v>2</v>
      </c>
      <c r="B8" s="3" t="s">
        <v>1002</v>
      </c>
      <c r="C8" s="13" t="s">
        <v>559</v>
      </c>
      <c r="D8" s="13" t="s">
        <v>1003</v>
      </c>
      <c r="E8" s="13" t="s">
        <v>1004</v>
      </c>
      <c r="F8" s="22" t="s">
        <v>188</v>
      </c>
      <c r="G8" s="25">
        <v>45383</v>
      </c>
      <c r="H8" s="25" t="s">
        <v>35</v>
      </c>
      <c r="I8" s="22" t="s">
        <v>131</v>
      </c>
      <c r="J8" s="22" t="s">
        <v>132</v>
      </c>
      <c r="K8" s="13" t="s">
        <v>84</v>
      </c>
      <c r="L8" s="13" t="s">
        <v>1459</v>
      </c>
      <c r="M8" s="13" t="s">
        <v>1</v>
      </c>
      <c r="N8" s="4" t="s">
        <v>1005</v>
      </c>
      <c r="O8" s="4" t="s">
        <v>84</v>
      </c>
      <c r="P8" s="1" t="s">
        <v>39</v>
      </c>
      <c r="Q8" s="1" t="s">
        <v>39</v>
      </c>
      <c r="R8" s="1" t="s">
        <v>5</v>
      </c>
      <c r="S8" s="1" t="s">
        <v>5</v>
      </c>
      <c r="T8" s="1" t="s">
        <v>5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3">
        <f t="shared" si="0"/>
        <v>2</v>
      </c>
      <c r="AU8" s="3">
        <f t="shared" si="1"/>
        <v>0</v>
      </c>
      <c r="AV8" s="3">
        <f t="shared" si="2"/>
        <v>0</v>
      </c>
      <c r="AW8" s="3">
        <f t="shared" si="3"/>
        <v>0</v>
      </c>
      <c r="AX8" s="3">
        <f t="shared" si="4"/>
        <v>0</v>
      </c>
      <c r="AY8" s="3">
        <f t="shared" si="5"/>
        <v>3</v>
      </c>
      <c r="AZ8" s="3">
        <f t="shared" si="6"/>
        <v>0</v>
      </c>
      <c r="BA8" s="3">
        <f t="shared" si="7"/>
        <v>0</v>
      </c>
      <c r="BB8" s="3">
        <f t="shared" si="8"/>
        <v>0</v>
      </c>
      <c r="BC8" s="3">
        <f t="shared" si="9"/>
        <v>0</v>
      </c>
      <c r="BD8" s="3">
        <f t="shared" si="10"/>
        <v>0</v>
      </c>
      <c r="BE8" s="3">
        <f t="shared" si="11"/>
        <v>0</v>
      </c>
      <c r="BF8" s="3">
        <f t="shared" si="12"/>
        <v>0</v>
      </c>
      <c r="BG8" s="3">
        <f t="shared" si="13"/>
        <v>0</v>
      </c>
      <c r="BH8" s="3">
        <f t="shared" si="14"/>
        <v>0</v>
      </c>
      <c r="BI8" s="3">
        <f t="shared" si="15"/>
        <v>5</v>
      </c>
    </row>
    <row r="9" spans="1:62" x14ac:dyDescent="0.25">
      <c r="A9" s="29">
        <v>3</v>
      </c>
      <c r="B9" s="3" t="s">
        <v>1235</v>
      </c>
      <c r="C9" s="13" t="s">
        <v>1236</v>
      </c>
      <c r="D9" s="13" t="s">
        <v>1237</v>
      </c>
      <c r="E9" s="13" t="s">
        <v>1238</v>
      </c>
      <c r="F9" s="22" t="s">
        <v>1563</v>
      </c>
      <c r="G9" s="25">
        <v>45685</v>
      </c>
      <c r="H9" s="25" t="s">
        <v>35</v>
      </c>
      <c r="I9" s="22" t="s">
        <v>23</v>
      </c>
      <c r="J9" s="22" t="s">
        <v>24</v>
      </c>
      <c r="K9" s="13" t="s">
        <v>84</v>
      </c>
      <c r="L9" s="13" t="s">
        <v>372</v>
      </c>
      <c r="M9" s="13" t="s">
        <v>1</v>
      </c>
      <c r="N9" s="4" t="s">
        <v>1239</v>
      </c>
      <c r="O9" s="4" t="s">
        <v>221</v>
      </c>
      <c r="P9" s="1" t="s">
        <v>39</v>
      </c>
      <c r="Q9" s="1" t="s">
        <v>39</v>
      </c>
      <c r="R9" s="1" t="s">
        <v>5</v>
      </c>
      <c r="S9" s="1" t="s">
        <v>5</v>
      </c>
      <c r="T9" s="1" t="s">
        <v>5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3">
        <f t="shared" si="0"/>
        <v>2</v>
      </c>
      <c r="AU9" s="3">
        <f t="shared" si="1"/>
        <v>0</v>
      </c>
      <c r="AV9" s="3">
        <f t="shared" si="2"/>
        <v>0</v>
      </c>
      <c r="AW9" s="3">
        <f t="shared" si="3"/>
        <v>0</v>
      </c>
      <c r="AX9" s="3">
        <f t="shared" si="4"/>
        <v>0</v>
      </c>
      <c r="AY9" s="3">
        <f t="shared" si="5"/>
        <v>3</v>
      </c>
      <c r="AZ9" s="3">
        <f t="shared" si="6"/>
        <v>0</v>
      </c>
      <c r="BA9" s="3">
        <f t="shared" si="7"/>
        <v>0</v>
      </c>
      <c r="BB9" s="3">
        <f t="shared" si="8"/>
        <v>0</v>
      </c>
      <c r="BC9" s="3">
        <f t="shared" si="9"/>
        <v>0</v>
      </c>
      <c r="BD9" s="3">
        <f t="shared" si="10"/>
        <v>0</v>
      </c>
      <c r="BE9" s="3">
        <f t="shared" si="11"/>
        <v>0</v>
      </c>
      <c r="BF9" s="3">
        <f t="shared" si="12"/>
        <v>0</v>
      </c>
      <c r="BG9" s="3">
        <f t="shared" si="13"/>
        <v>0</v>
      </c>
      <c r="BH9" s="3">
        <f t="shared" si="14"/>
        <v>0</v>
      </c>
      <c r="BI9" s="3">
        <f t="shared" si="15"/>
        <v>5</v>
      </c>
    </row>
    <row r="10" spans="1:62" x14ac:dyDescent="0.25">
      <c r="A10" s="29">
        <v>4</v>
      </c>
      <c r="B10" s="3" t="s">
        <v>549</v>
      </c>
      <c r="C10" s="13" t="s">
        <v>550</v>
      </c>
      <c r="D10" s="13" t="s">
        <v>551</v>
      </c>
      <c r="E10" s="13" t="s">
        <v>552</v>
      </c>
      <c r="F10" s="18" t="s">
        <v>371</v>
      </c>
      <c r="G10" s="18">
        <v>45691</v>
      </c>
      <c r="H10" s="18" t="s">
        <v>35</v>
      </c>
      <c r="I10" s="13" t="s">
        <v>23</v>
      </c>
      <c r="J10" s="13" t="s">
        <v>24</v>
      </c>
      <c r="K10" s="13" t="s">
        <v>56</v>
      </c>
      <c r="L10" s="13" t="s">
        <v>372</v>
      </c>
      <c r="M10" s="13" t="s">
        <v>1621</v>
      </c>
      <c r="N10" s="4" t="s">
        <v>553</v>
      </c>
      <c r="O10" s="4" t="s">
        <v>28</v>
      </c>
      <c r="P10" s="1" t="s">
        <v>92</v>
      </c>
      <c r="Q10" s="1" t="s">
        <v>92</v>
      </c>
      <c r="R10" s="1" t="s">
        <v>92</v>
      </c>
      <c r="S10" s="1" t="s">
        <v>92</v>
      </c>
      <c r="T10" s="1" t="s">
        <v>92</v>
      </c>
      <c r="U10" s="1" t="s">
        <v>92</v>
      </c>
      <c r="V10" s="1" t="s">
        <v>92</v>
      </c>
      <c r="W10" s="1" t="s">
        <v>92</v>
      </c>
      <c r="X10" s="1" t="s">
        <v>92</v>
      </c>
      <c r="Y10" s="1" t="s">
        <v>92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3">
        <f t="shared" si="0"/>
        <v>0</v>
      </c>
      <c r="AU10" s="3">
        <f t="shared" si="1"/>
        <v>0</v>
      </c>
      <c r="AV10" s="3">
        <f t="shared" si="2"/>
        <v>0</v>
      </c>
      <c r="AW10" s="3">
        <f t="shared" si="3"/>
        <v>0</v>
      </c>
      <c r="AX10" s="3">
        <f t="shared" si="4"/>
        <v>0</v>
      </c>
      <c r="AY10" s="3">
        <f t="shared" si="5"/>
        <v>0</v>
      </c>
      <c r="AZ10" s="3">
        <f t="shared" si="6"/>
        <v>0</v>
      </c>
      <c r="BA10" s="3">
        <f t="shared" si="7"/>
        <v>10</v>
      </c>
      <c r="BB10" s="3">
        <f t="shared" si="8"/>
        <v>0</v>
      </c>
      <c r="BC10" s="3">
        <f t="shared" si="9"/>
        <v>0</v>
      </c>
      <c r="BD10" s="3">
        <f t="shared" si="10"/>
        <v>0</v>
      </c>
      <c r="BE10" s="3">
        <f t="shared" si="11"/>
        <v>0</v>
      </c>
      <c r="BF10" s="3">
        <f t="shared" si="12"/>
        <v>0</v>
      </c>
      <c r="BG10" s="3">
        <f t="shared" si="13"/>
        <v>0</v>
      </c>
      <c r="BH10" s="3">
        <f t="shared" si="14"/>
        <v>0</v>
      </c>
      <c r="BI10" s="3">
        <f t="shared" si="15"/>
        <v>0</v>
      </c>
    </row>
    <row r="11" spans="1:62" ht="12.6" customHeight="1" x14ac:dyDescent="0.25">
      <c r="A11" s="29">
        <v>5</v>
      </c>
      <c r="B11" s="3" t="s">
        <v>889</v>
      </c>
      <c r="C11" s="13" t="s">
        <v>890</v>
      </c>
      <c r="D11" s="13" t="s">
        <v>891</v>
      </c>
      <c r="E11" s="13" t="s">
        <v>62</v>
      </c>
      <c r="F11" s="18" t="s">
        <v>215</v>
      </c>
      <c r="G11" s="18">
        <v>45698</v>
      </c>
      <c r="H11" s="18" t="s">
        <v>35</v>
      </c>
      <c r="I11" s="13" t="s">
        <v>23</v>
      </c>
      <c r="J11" s="13" t="s">
        <v>24</v>
      </c>
      <c r="K11" s="13" t="s">
        <v>36</v>
      </c>
      <c r="L11" s="13" t="s">
        <v>292</v>
      </c>
      <c r="M11" s="13" t="s">
        <v>1621</v>
      </c>
      <c r="N11" s="4" t="s">
        <v>892</v>
      </c>
      <c r="O11" s="4" t="s">
        <v>28</v>
      </c>
      <c r="P11" s="1" t="s">
        <v>5</v>
      </c>
      <c r="Q11" s="1" t="s">
        <v>29</v>
      </c>
      <c r="R11" s="1"/>
      <c r="S11" s="1"/>
      <c r="T11" s="1"/>
      <c r="U11" s="1"/>
      <c r="V11" s="1"/>
      <c r="W11" s="14"/>
      <c r="X11" s="14"/>
      <c r="Y11" s="14"/>
      <c r="Z11" s="14"/>
      <c r="AA11" s="1"/>
      <c r="AB11" s="14"/>
      <c r="AC11" s="14"/>
      <c r="AD11" s="1"/>
      <c r="AE11" s="3"/>
      <c r="AF11" s="3"/>
      <c r="AG11" s="3"/>
      <c r="AH11" s="3"/>
      <c r="AI11" s="3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3">
        <f t="shared" si="0"/>
        <v>0</v>
      </c>
      <c r="AU11" s="3">
        <f t="shared" si="1"/>
        <v>1</v>
      </c>
      <c r="AV11" s="3">
        <f t="shared" si="2"/>
        <v>0</v>
      </c>
      <c r="AW11" s="3">
        <f t="shared" si="3"/>
        <v>0</v>
      </c>
      <c r="AX11" s="3">
        <f t="shared" si="4"/>
        <v>0</v>
      </c>
      <c r="AY11" s="3">
        <f t="shared" si="5"/>
        <v>1</v>
      </c>
      <c r="AZ11" s="3">
        <f t="shared" si="6"/>
        <v>0</v>
      </c>
      <c r="BA11" s="3">
        <f t="shared" si="7"/>
        <v>0</v>
      </c>
      <c r="BB11" s="3">
        <f t="shared" si="8"/>
        <v>0</v>
      </c>
      <c r="BC11" s="3">
        <f t="shared" si="9"/>
        <v>0</v>
      </c>
      <c r="BD11" s="3">
        <f t="shared" si="10"/>
        <v>0</v>
      </c>
      <c r="BE11" s="3">
        <f t="shared" si="11"/>
        <v>0</v>
      </c>
      <c r="BF11" s="3">
        <f t="shared" si="12"/>
        <v>0</v>
      </c>
      <c r="BG11" s="3">
        <f t="shared" si="13"/>
        <v>0</v>
      </c>
      <c r="BH11" s="3">
        <f t="shared" si="14"/>
        <v>0</v>
      </c>
      <c r="BI11" s="3">
        <f t="shared" si="15"/>
        <v>2</v>
      </c>
    </row>
    <row r="12" spans="1:62" ht="12.6" customHeight="1" x14ac:dyDescent="0.25">
      <c r="A12" s="29">
        <v>6</v>
      </c>
      <c r="B12" s="3" t="s">
        <v>673</v>
      </c>
      <c r="C12" s="13" t="s">
        <v>674</v>
      </c>
      <c r="D12" s="13" t="s">
        <v>244</v>
      </c>
      <c r="E12" s="13" t="s">
        <v>675</v>
      </c>
      <c r="F12" s="18" t="s">
        <v>676</v>
      </c>
      <c r="G12" s="18">
        <v>45698</v>
      </c>
      <c r="H12" s="18" t="s">
        <v>35</v>
      </c>
      <c r="I12" s="13" t="s">
        <v>23</v>
      </c>
      <c r="J12" s="13" t="s">
        <v>24</v>
      </c>
      <c r="K12" s="13" t="s">
        <v>56</v>
      </c>
      <c r="L12" s="13" t="s">
        <v>57</v>
      </c>
      <c r="M12" s="13" t="s">
        <v>1621</v>
      </c>
      <c r="N12" s="3" t="s">
        <v>677</v>
      </c>
      <c r="O12" s="3" t="s">
        <v>28</v>
      </c>
      <c r="P12" s="1" t="s">
        <v>39</v>
      </c>
      <c r="Q12" s="1" t="s">
        <v>5</v>
      </c>
      <c r="R12" s="1" t="s">
        <v>5</v>
      </c>
      <c r="S12" s="1" t="s">
        <v>5</v>
      </c>
      <c r="T12" s="1" t="s">
        <v>5</v>
      </c>
      <c r="U12" s="1" t="s">
        <v>5</v>
      </c>
      <c r="V12" s="1" t="s">
        <v>5</v>
      </c>
      <c r="W12" s="1" t="s">
        <v>5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3">
        <f t="shared" si="0"/>
        <v>1</v>
      </c>
      <c r="AU12" s="3">
        <f t="shared" si="1"/>
        <v>0</v>
      </c>
      <c r="AV12" s="3">
        <f t="shared" si="2"/>
        <v>0</v>
      </c>
      <c r="AW12" s="3">
        <f t="shared" si="3"/>
        <v>0</v>
      </c>
      <c r="AX12" s="3">
        <f t="shared" si="4"/>
        <v>0</v>
      </c>
      <c r="AY12" s="3">
        <f t="shared" si="5"/>
        <v>7</v>
      </c>
      <c r="AZ12" s="3">
        <f t="shared" si="6"/>
        <v>0</v>
      </c>
      <c r="BA12" s="3">
        <f t="shared" si="7"/>
        <v>0</v>
      </c>
      <c r="BB12" s="3">
        <f t="shared" si="8"/>
        <v>0</v>
      </c>
      <c r="BC12" s="3">
        <f t="shared" si="9"/>
        <v>0</v>
      </c>
      <c r="BD12" s="3">
        <f t="shared" si="10"/>
        <v>0</v>
      </c>
      <c r="BE12" s="3">
        <f t="shared" si="11"/>
        <v>0</v>
      </c>
      <c r="BF12" s="3">
        <f t="shared" si="12"/>
        <v>0</v>
      </c>
      <c r="BG12" s="3">
        <f t="shared" si="13"/>
        <v>0</v>
      </c>
      <c r="BH12" s="3">
        <f t="shared" si="14"/>
        <v>0</v>
      </c>
      <c r="BI12" s="3">
        <f t="shared" si="15"/>
        <v>8</v>
      </c>
    </row>
    <row r="13" spans="1:62" ht="12.6" customHeight="1" x14ac:dyDescent="0.25">
      <c r="A13" s="29">
        <v>8</v>
      </c>
      <c r="B13" s="3" t="s">
        <v>580</v>
      </c>
      <c r="C13" s="13" t="s">
        <v>472</v>
      </c>
      <c r="D13" s="13" t="s">
        <v>157</v>
      </c>
      <c r="E13" s="13" t="s">
        <v>581</v>
      </c>
      <c r="F13" s="18" t="s">
        <v>215</v>
      </c>
      <c r="G13" s="18">
        <v>45698</v>
      </c>
      <c r="H13" s="18" t="s">
        <v>35</v>
      </c>
      <c r="I13" s="13" t="s">
        <v>23</v>
      </c>
      <c r="J13" s="13" t="s">
        <v>24</v>
      </c>
      <c r="K13" s="13" t="s">
        <v>25</v>
      </c>
      <c r="L13" s="13" t="s">
        <v>292</v>
      </c>
      <c r="M13" s="13" t="s">
        <v>1621</v>
      </c>
      <c r="N13" s="3" t="s">
        <v>582</v>
      </c>
      <c r="O13" s="3" t="s">
        <v>28</v>
      </c>
      <c r="P13" s="1" t="s">
        <v>5</v>
      </c>
      <c r="Q13" s="1" t="s">
        <v>39</v>
      </c>
      <c r="R13" s="1" t="s">
        <v>39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3">
        <f t="shared" si="0"/>
        <v>2</v>
      </c>
      <c r="AU13" s="3">
        <f t="shared" si="1"/>
        <v>0</v>
      </c>
      <c r="AV13" s="3">
        <f t="shared" si="2"/>
        <v>0</v>
      </c>
      <c r="AW13" s="3">
        <f t="shared" si="3"/>
        <v>0</v>
      </c>
      <c r="AX13" s="3">
        <f t="shared" si="4"/>
        <v>0</v>
      </c>
      <c r="AY13" s="3">
        <f t="shared" si="5"/>
        <v>1</v>
      </c>
      <c r="AZ13" s="3">
        <f t="shared" si="6"/>
        <v>0</v>
      </c>
      <c r="BA13" s="3">
        <f t="shared" si="7"/>
        <v>0</v>
      </c>
      <c r="BB13" s="3">
        <f t="shared" si="8"/>
        <v>0</v>
      </c>
      <c r="BC13" s="3">
        <f t="shared" si="9"/>
        <v>0</v>
      </c>
      <c r="BD13" s="3">
        <f t="shared" si="10"/>
        <v>0</v>
      </c>
      <c r="BE13" s="3">
        <f t="shared" si="11"/>
        <v>0</v>
      </c>
      <c r="BF13" s="3">
        <f t="shared" si="12"/>
        <v>0</v>
      </c>
      <c r="BG13" s="3">
        <f t="shared" si="13"/>
        <v>0</v>
      </c>
      <c r="BH13" s="3">
        <f t="shared" si="14"/>
        <v>0</v>
      </c>
      <c r="BI13" s="3">
        <f t="shared" si="15"/>
        <v>3</v>
      </c>
    </row>
    <row r="14" spans="1:62" ht="12.6" customHeight="1" x14ac:dyDescent="0.25">
      <c r="A14" s="29">
        <v>7</v>
      </c>
      <c r="B14" s="3" t="s">
        <v>739</v>
      </c>
      <c r="C14" s="13" t="s">
        <v>81</v>
      </c>
      <c r="D14" s="13" t="s">
        <v>740</v>
      </c>
      <c r="E14" s="13" t="s">
        <v>741</v>
      </c>
      <c r="F14" s="18" t="s">
        <v>215</v>
      </c>
      <c r="G14" s="18">
        <v>45698</v>
      </c>
      <c r="H14" s="18" t="s">
        <v>35</v>
      </c>
      <c r="I14" s="13" t="s">
        <v>23</v>
      </c>
      <c r="J14" s="13" t="s">
        <v>24</v>
      </c>
      <c r="K14" s="13" t="s">
        <v>43</v>
      </c>
      <c r="L14" s="13" t="s">
        <v>57</v>
      </c>
      <c r="M14" s="13" t="s">
        <v>1621</v>
      </c>
      <c r="N14" s="3" t="s">
        <v>742</v>
      </c>
      <c r="O14" s="3" t="s">
        <v>28</v>
      </c>
      <c r="P14" s="1" t="s">
        <v>92</v>
      </c>
      <c r="Q14" s="1" t="s">
        <v>92</v>
      </c>
      <c r="R14" s="1" t="s">
        <v>92</v>
      </c>
      <c r="S14" s="1" t="s">
        <v>92</v>
      </c>
      <c r="T14" s="1" t="s">
        <v>92</v>
      </c>
      <c r="U14" s="1" t="s">
        <v>92</v>
      </c>
      <c r="V14" s="1" t="s">
        <v>92</v>
      </c>
      <c r="W14" s="1" t="s">
        <v>92</v>
      </c>
      <c r="X14" s="1" t="s">
        <v>92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3">
        <f t="shared" si="0"/>
        <v>0</v>
      </c>
      <c r="AU14" s="3">
        <f t="shared" si="1"/>
        <v>0</v>
      </c>
      <c r="AV14" s="3">
        <f t="shared" si="2"/>
        <v>0</v>
      </c>
      <c r="AW14" s="3">
        <f t="shared" si="3"/>
        <v>0</v>
      </c>
      <c r="AX14" s="3">
        <f t="shared" si="4"/>
        <v>0</v>
      </c>
      <c r="AY14" s="3">
        <f t="shared" si="5"/>
        <v>0</v>
      </c>
      <c r="AZ14" s="3">
        <f t="shared" si="6"/>
        <v>0</v>
      </c>
      <c r="BA14" s="3">
        <f t="shared" si="7"/>
        <v>9</v>
      </c>
      <c r="BB14" s="3">
        <f t="shared" si="8"/>
        <v>0</v>
      </c>
      <c r="BC14" s="3">
        <f t="shared" si="9"/>
        <v>0</v>
      </c>
      <c r="BD14" s="3">
        <f t="shared" si="10"/>
        <v>0</v>
      </c>
      <c r="BE14" s="3">
        <f t="shared" si="11"/>
        <v>0</v>
      </c>
      <c r="BF14" s="3">
        <f t="shared" si="12"/>
        <v>0</v>
      </c>
      <c r="BG14" s="3">
        <f t="shared" si="13"/>
        <v>0</v>
      </c>
      <c r="BH14" s="3">
        <f t="shared" si="14"/>
        <v>0</v>
      </c>
      <c r="BI14" s="3">
        <f t="shared" si="15"/>
        <v>0</v>
      </c>
    </row>
    <row r="15" spans="1:62" ht="12.6" customHeight="1" x14ac:dyDescent="0.25">
      <c r="A15" s="29">
        <v>9</v>
      </c>
      <c r="B15" s="3" t="s">
        <v>1282</v>
      </c>
      <c r="C15" s="13" t="s">
        <v>1218</v>
      </c>
      <c r="D15" s="13" t="s">
        <v>1169</v>
      </c>
      <c r="E15" s="13" t="s">
        <v>1283</v>
      </c>
      <c r="F15" s="22" t="s">
        <v>1565</v>
      </c>
      <c r="G15" s="25">
        <v>45699</v>
      </c>
      <c r="H15" s="25" t="s">
        <v>35</v>
      </c>
      <c r="I15" s="22" t="s">
        <v>23</v>
      </c>
      <c r="J15" s="22" t="s">
        <v>24</v>
      </c>
      <c r="K15" s="13" t="s">
        <v>84</v>
      </c>
      <c r="L15" s="13" t="s">
        <v>372</v>
      </c>
      <c r="M15" s="13" t="s">
        <v>1</v>
      </c>
      <c r="N15" s="3" t="s">
        <v>1284</v>
      </c>
      <c r="O15" s="3" t="s">
        <v>84</v>
      </c>
      <c r="P15" s="1" t="s">
        <v>510</v>
      </c>
      <c r="Q15" s="1" t="s">
        <v>39</v>
      </c>
      <c r="R15" s="1" t="s">
        <v>5</v>
      </c>
      <c r="S15" s="1" t="s">
        <v>5</v>
      </c>
      <c r="T15" s="1" t="s">
        <v>5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3">
        <f t="shared" si="0"/>
        <v>1</v>
      </c>
      <c r="AU15" s="3">
        <f t="shared" si="1"/>
        <v>0</v>
      </c>
      <c r="AV15" s="3">
        <f t="shared" si="2"/>
        <v>0</v>
      </c>
      <c r="AW15" s="3">
        <f t="shared" si="3"/>
        <v>1</v>
      </c>
      <c r="AX15" s="3">
        <f t="shared" si="4"/>
        <v>0</v>
      </c>
      <c r="AY15" s="3">
        <f t="shared" si="5"/>
        <v>3</v>
      </c>
      <c r="AZ15" s="3">
        <f t="shared" si="6"/>
        <v>0</v>
      </c>
      <c r="BA15" s="3">
        <f t="shared" si="7"/>
        <v>0</v>
      </c>
      <c r="BB15" s="3">
        <f t="shared" si="8"/>
        <v>0</v>
      </c>
      <c r="BC15" s="3">
        <f t="shared" si="9"/>
        <v>0</v>
      </c>
      <c r="BD15" s="3">
        <f t="shared" si="10"/>
        <v>0</v>
      </c>
      <c r="BE15" s="3">
        <f t="shared" si="11"/>
        <v>0</v>
      </c>
      <c r="BF15" s="3">
        <f t="shared" si="12"/>
        <v>0</v>
      </c>
      <c r="BG15" s="3">
        <f t="shared" si="13"/>
        <v>0</v>
      </c>
      <c r="BH15" s="3">
        <f t="shared" si="14"/>
        <v>0</v>
      </c>
      <c r="BI15" s="3">
        <f t="shared" si="15"/>
        <v>5</v>
      </c>
    </row>
    <row r="16" spans="1:62" x14ac:dyDescent="0.25">
      <c r="A16" s="29">
        <v>10</v>
      </c>
      <c r="B16" s="3" t="s">
        <v>720</v>
      </c>
      <c r="C16" s="13" t="s">
        <v>330</v>
      </c>
      <c r="D16" s="13" t="s">
        <v>721</v>
      </c>
      <c r="E16" s="13" t="s">
        <v>722</v>
      </c>
      <c r="F16" s="22" t="s">
        <v>1553</v>
      </c>
      <c r="G16" s="25">
        <v>45705</v>
      </c>
      <c r="H16" s="25" t="s">
        <v>35</v>
      </c>
      <c r="I16" s="22" t="s">
        <v>23</v>
      </c>
      <c r="J16" s="22" t="s">
        <v>24</v>
      </c>
      <c r="K16" s="13" t="s">
        <v>84</v>
      </c>
      <c r="L16" s="13" t="s">
        <v>220</v>
      </c>
      <c r="M16" s="13" t="s">
        <v>1</v>
      </c>
      <c r="N16" s="4" t="s">
        <v>723</v>
      </c>
      <c r="O16" s="4" t="s">
        <v>84</v>
      </c>
      <c r="P16" s="1" t="s">
        <v>39</v>
      </c>
      <c r="Q16" s="1" t="s">
        <v>39</v>
      </c>
      <c r="R16" s="1" t="s">
        <v>5</v>
      </c>
      <c r="S16" s="1" t="s">
        <v>5</v>
      </c>
      <c r="T16" s="1" t="s">
        <v>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3">
        <f t="shared" si="0"/>
        <v>2</v>
      </c>
      <c r="AU16" s="3">
        <f t="shared" si="1"/>
        <v>0</v>
      </c>
      <c r="AV16" s="3">
        <f t="shared" si="2"/>
        <v>0</v>
      </c>
      <c r="AW16" s="3">
        <f t="shared" si="3"/>
        <v>0</v>
      </c>
      <c r="AX16" s="3">
        <f t="shared" si="4"/>
        <v>0</v>
      </c>
      <c r="AY16" s="3">
        <f t="shared" si="5"/>
        <v>3</v>
      </c>
      <c r="AZ16" s="3">
        <f t="shared" si="6"/>
        <v>0</v>
      </c>
      <c r="BA16" s="3">
        <f t="shared" si="7"/>
        <v>0</v>
      </c>
      <c r="BB16" s="3">
        <f t="shared" si="8"/>
        <v>0</v>
      </c>
      <c r="BC16" s="3">
        <f t="shared" si="9"/>
        <v>0</v>
      </c>
      <c r="BD16" s="3">
        <f t="shared" si="10"/>
        <v>0</v>
      </c>
      <c r="BE16" s="3">
        <f t="shared" si="11"/>
        <v>0</v>
      </c>
      <c r="BF16" s="3">
        <f t="shared" si="12"/>
        <v>0</v>
      </c>
      <c r="BG16" s="3">
        <f t="shared" si="13"/>
        <v>0</v>
      </c>
      <c r="BH16" s="3">
        <f t="shared" si="14"/>
        <v>0</v>
      </c>
      <c r="BI16" s="3">
        <f t="shared" si="15"/>
        <v>5</v>
      </c>
    </row>
    <row r="17" spans="1:61" x14ac:dyDescent="0.25">
      <c r="A17" s="29">
        <v>11</v>
      </c>
      <c r="B17" s="3" t="s">
        <v>880</v>
      </c>
      <c r="C17" s="13" t="s">
        <v>881</v>
      </c>
      <c r="D17" s="13" t="s">
        <v>291</v>
      </c>
      <c r="E17" s="13" t="s">
        <v>882</v>
      </c>
      <c r="F17" s="18" t="s">
        <v>1525</v>
      </c>
      <c r="G17" s="18">
        <v>45706</v>
      </c>
      <c r="H17" s="18" t="s">
        <v>35</v>
      </c>
      <c r="I17" s="13" t="s">
        <v>23</v>
      </c>
      <c r="J17" s="13" t="s">
        <v>24</v>
      </c>
      <c r="K17" s="13" t="s">
        <v>25</v>
      </c>
      <c r="L17" s="13" t="s">
        <v>26</v>
      </c>
      <c r="M17" s="13" t="s">
        <v>1621</v>
      </c>
      <c r="N17" s="4" t="s">
        <v>883</v>
      </c>
      <c r="O17" s="4" t="s">
        <v>28</v>
      </c>
      <c r="P17" s="1" t="s">
        <v>5</v>
      </c>
      <c r="Q17" s="1" t="s">
        <v>39</v>
      </c>
      <c r="R17" s="1" t="s">
        <v>39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3"/>
      <c r="AI17" s="3"/>
      <c r="AJ17" s="3"/>
      <c r="AK17" s="3"/>
      <c r="AL17" s="3"/>
      <c r="AM17" s="3"/>
      <c r="AN17" s="1"/>
      <c r="AO17" s="1"/>
      <c r="AP17" s="1"/>
      <c r="AQ17" s="1"/>
      <c r="AR17" s="1"/>
      <c r="AS17" s="1"/>
      <c r="AT17" s="3">
        <f t="shared" si="0"/>
        <v>2</v>
      </c>
      <c r="AU17" s="3">
        <f t="shared" si="1"/>
        <v>0</v>
      </c>
      <c r="AV17" s="3">
        <f t="shared" si="2"/>
        <v>0</v>
      </c>
      <c r="AW17" s="3">
        <f t="shared" si="3"/>
        <v>0</v>
      </c>
      <c r="AX17" s="3">
        <f t="shared" si="4"/>
        <v>0</v>
      </c>
      <c r="AY17" s="3">
        <f t="shared" si="5"/>
        <v>1</v>
      </c>
      <c r="AZ17" s="3">
        <f t="shared" si="6"/>
        <v>0</v>
      </c>
      <c r="BA17" s="3">
        <f t="shared" si="7"/>
        <v>0</v>
      </c>
      <c r="BB17" s="3">
        <f t="shared" si="8"/>
        <v>0</v>
      </c>
      <c r="BC17" s="3">
        <f t="shared" si="9"/>
        <v>0</v>
      </c>
      <c r="BD17" s="3">
        <f t="shared" si="10"/>
        <v>0</v>
      </c>
      <c r="BE17" s="3">
        <f t="shared" si="11"/>
        <v>0</v>
      </c>
      <c r="BF17" s="3">
        <f t="shared" si="12"/>
        <v>0</v>
      </c>
      <c r="BG17" s="3">
        <f t="shared" si="13"/>
        <v>0</v>
      </c>
      <c r="BH17" s="3">
        <f t="shared" si="14"/>
        <v>0</v>
      </c>
      <c r="BI17" s="3">
        <f t="shared" si="15"/>
        <v>3</v>
      </c>
    </row>
    <row r="18" spans="1:61" x14ac:dyDescent="0.25">
      <c r="A18" s="29">
        <v>12</v>
      </c>
      <c r="B18" s="3" t="s">
        <v>1009</v>
      </c>
      <c r="C18" s="13" t="s">
        <v>1010</v>
      </c>
      <c r="D18" s="13" t="s">
        <v>1011</v>
      </c>
      <c r="E18" s="13" t="s">
        <v>1012</v>
      </c>
      <c r="F18" s="18" t="s">
        <v>55</v>
      </c>
      <c r="G18" s="18">
        <v>45706</v>
      </c>
      <c r="H18" s="18" t="s">
        <v>35</v>
      </c>
      <c r="I18" s="13" t="s">
        <v>23</v>
      </c>
      <c r="J18" s="13" t="s">
        <v>24</v>
      </c>
      <c r="K18" s="13" t="s">
        <v>405</v>
      </c>
      <c r="L18" s="13" t="s">
        <v>1568</v>
      </c>
      <c r="M18" s="13" t="s">
        <v>1621</v>
      </c>
      <c r="N18" s="4" t="s">
        <v>1013</v>
      </c>
      <c r="O18" s="4" t="s">
        <v>994</v>
      </c>
      <c r="P18" s="1" t="s">
        <v>5</v>
      </c>
      <c r="Q18" s="1" t="s">
        <v>39</v>
      </c>
      <c r="R18" s="1" t="s">
        <v>39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3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3">
        <f t="shared" si="0"/>
        <v>2</v>
      </c>
      <c r="AU18" s="3">
        <f t="shared" si="1"/>
        <v>0</v>
      </c>
      <c r="AV18" s="3">
        <f t="shared" si="2"/>
        <v>0</v>
      </c>
      <c r="AW18" s="3">
        <f t="shared" si="3"/>
        <v>0</v>
      </c>
      <c r="AX18" s="3">
        <f t="shared" si="4"/>
        <v>0</v>
      </c>
      <c r="AY18" s="3">
        <f t="shared" si="5"/>
        <v>1</v>
      </c>
      <c r="AZ18" s="3">
        <f t="shared" si="6"/>
        <v>0</v>
      </c>
      <c r="BA18" s="3">
        <f t="shared" si="7"/>
        <v>0</v>
      </c>
      <c r="BB18" s="3">
        <f t="shared" si="8"/>
        <v>0</v>
      </c>
      <c r="BC18" s="3">
        <f t="shared" si="9"/>
        <v>0</v>
      </c>
      <c r="BD18" s="3">
        <f t="shared" si="10"/>
        <v>0</v>
      </c>
      <c r="BE18" s="3">
        <f t="shared" si="11"/>
        <v>0</v>
      </c>
      <c r="BF18" s="3">
        <f t="shared" si="12"/>
        <v>0</v>
      </c>
      <c r="BG18" s="3">
        <f t="shared" si="13"/>
        <v>0</v>
      </c>
      <c r="BH18" s="3">
        <f t="shared" si="14"/>
        <v>0</v>
      </c>
      <c r="BI18" s="3">
        <f t="shared" si="15"/>
        <v>3</v>
      </c>
    </row>
    <row r="19" spans="1:61" x14ac:dyDescent="0.25">
      <c r="A19" s="29">
        <v>13</v>
      </c>
      <c r="B19" s="3" t="s">
        <v>973</v>
      </c>
      <c r="C19" s="13" t="s">
        <v>229</v>
      </c>
      <c r="D19" s="13" t="s">
        <v>974</v>
      </c>
      <c r="E19" s="13" t="s">
        <v>975</v>
      </c>
      <c r="F19" s="18" t="s">
        <v>1525</v>
      </c>
      <c r="G19" s="18">
        <v>45706</v>
      </c>
      <c r="H19" s="18" t="s">
        <v>35</v>
      </c>
      <c r="I19" s="13" t="s">
        <v>23</v>
      </c>
      <c r="J19" s="13" t="s">
        <v>24</v>
      </c>
      <c r="K19" s="13" t="s">
        <v>25</v>
      </c>
      <c r="L19" s="13" t="s">
        <v>26</v>
      </c>
      <c r="M19" s="13" t="s">
        <v>1621</v>
      </c>
      <c r="N19" s="4" t="s">
        <v>976</v>
      </c>
      <c r="O19" s="4" t="s">
        <v>28</v>
      </c>
      <c r="P19" s="1" t="s">
        <v>5</v>
      </c>
      <c r="Q19" s="1" t="s">
        <v>39</v>
      </c>
      <c r="R19" s="1" t="s">
        <v>39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3">
        <f t="shared" si="0"/>
        <v>2</v>
      </c>
      <c r="AU19" s="3">
        <f t="shared" si="1"/>
        <v>0</v>
      </c>
      <c r="AV19" s="3">
        <f t="shared" si="2"/>
        <v>0</v>
      </c>
      <c r="AW19" s="3">
        <f t="shared" si="3"/>
        <v>0</v>
      </c>
      <c r="AX19" s="3">
        <f t="shared" si="4"/>
        <v>0</v>
      </c>
      <c r="AY19" s="3">
        <f t="shared" si="5"/>
        <v>1</v>
      </c>
      <c r="AZ19" s="3">
        <f t="shared" si="6"/>
        <v>0</v>
      </c>
      <c r="BA19" s="3">
        <f t="shared" si="7"/>
        <v>0</v>
      </c>
      <c r="BB19" s="3">
        <f t="shared" si="8"/>
        <v>0</v>
      </c>
      <c r="BC19" s="3">
        <f t="shared" si="9"/>
        <v>0</v>
      </c>
      <c r="BD19" s="3">
        <f t="shared" si="10"/>
        <v>0</v>
      </c>
      <c r="BE19" s="3">
        <f t="shared" si="11"/>
        <v>0</v>
      </c>
      <c r="BF19" s="3">
        <f t="shared" si="12"/>
        <v>0</v>
      </c>
      <c r="BG19" s="3">
        <f t="shared" si="13"/>
        <v>0</v>
      </c>
      <c r="BH19" s="3">
        <f t="shared" si="14"/>
        <v>0</v>
      </c>
      <c r="BI19" s="3">
        <f t="shared" si="15"/>
        <v>3</v>
      </c>
    </row>
    <row r="20" spans="1:61" x14ac:dyDescent="0.25">
      <c r="A20" s="29">
        <v>14</v>
      </c>
      <c r="B20" s="3" t="s">
        <v>607</v>
      </c>
      <c r="C20" s="13" t="s">
        <v>608</v>
      </c>
      <c r="D20" s="13" t="s">
        <v>171</v>
      </c>
      <c r="E20" s="13" t="s">
        <v>609</v>
      </c>
      <c r="F20" s="22" t="s">
        <v>610</v>
      </c>
      <c r="G20" s="25">
        <v>45706</v>
      </c>
      <c r="H20" s="25" t="s">
        <v>35</v>
      </c>
      <c r="I20" s="22" t="s">
        <v>23</v>
      </c>
      <c r="J20" s="22" t="s">
        <v>24</v>
      </c>
      <c r="K20" s="13" t="s">
        <v>84</v>
      </c>
      <c r="L20" s="13" t="s">
        <v>611</v>
      </c>
      <c r="M20" s="13" t="s">
        <v>1621</v>
      </c>
      <c r="N20" s="4" t="s">
        <v>612</v>
      </c>
      <c r="O20" s="4" t="s">
        <v>221</v>
      </c>
      <c r="P20" s="1" t="s">
        <v>39</v>
      </c>
      <c r="Q20" s="1" t="s">
        <v>39</v>
      </c>
      <c r="R20" s="1" t="s">
        <v>5</v>
      </c>
      <c r="S20" s="1" t="s">
        <v>5</v>
      </c>
      <c r="T20" s="1" t="s">
        <v>5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3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3">
        <f t="shared" si="0"/>
        <v>2</v>
      </c>
      <c r="AU20" s="3">
        <f t="shared" si="1"/>
        <v>0</v>
      </c>
      <c r="AV20" s="3">
        <f t="shared" si="2"/>
        <v>0</v>
      </c>
      <c r="AW20" s="3">
        <f t="shared" si="3"/>
        <v>0</v>
      </c>
      <c r="AX20" s="3">
        <f t="shared" si="4"/>
        <v>0</v>
      </c>
      <c r="AY20" s="3">
        <f t="shared" si="5"/>
        <v>3</v>
      </c>
      <c r="AZ20" s="3">
        <f t="shared" si="6"/>
        <v>0</v>
      </c>
      <c r="BA20" s="3">
        <f t="shared" si="7"/>
        <v>0</v>
      </c>
      <c r="BB20" s="3">
        <f t="shared" si="8"/>
        <v>0</v>
      </c>
      <c r="BC20" s="3">
        <f t="shared" si="9"/>
        <v>0</v>
      </c>
      <c r="BD20" s="3">
        <f t="shared" si="10"/>
        <v>0</v>
      </c>
      <c r="BE20" s="3">
        <f t="shared" si="11"/>
        <v>0</v>
      </c>
      <c r="BF20" s="3">
        <f t="shared" si="12"/>
        <v>0</v>
      </c>
      <c r="BG20" s="3">
        <f t="shared" si="13"/>
        <v>0</v>
      </c>
      <c r="BH20" s="3">
        <f t="shared" si="14"/>
        <v>0</v>
      </c>
      <c r="BI20" s="3">
        <f t="shared" si="15"/>
        <v>5</v>
      </c>
    </row>
    <row r="21" spans="1:61" x14ac:dyDescent="0.25">
      <c r="A21" s="29">
        <v>15</v>
      </c>
      <c r="B21" s="3" t="s">
        <v>681</v>
      </c>
      <c r="C21" s="13" t="s">
        <v>682</v>
      </c>
      <c r="D21" s="13" t="s">
        <v>666</v>
      </c>
      <c r="E21" s="13" t="s">
        <v>683</v>
      </c>
      <c r="F21" s="18" t="s">
        <v>215</v>
      </c>
      <c r="G21" s="18">
        <v>45706</v>
      </c>
      <c r="H21" s="18" t="s">
        <v>35</v>
      </c>
      <c r="I21" s="13" t="s">
        <v>23</v>
      </c>
      <c r="J21" s="13" t="s">
        <v>24</v>
      </c>
      <c r="K21" s="13" t="s">
        <v>25</v>
      </c>
      <c r="L21" s="13" t="s">
        <v>26</v>
      </c>
      <c r="M21" s="13" t="s">
        <v>1621</v>
      </c>
      <c r="N21" s="4" t="s">
        <v>684</v>
      </c>
      <c r="O21" s="4" t="s">
        <v>28</v>
      </c>
      <c r="P21" s="1" t="s">
        <v>5</v>
      </c>
      <c r="Q21" s="1" t="s">
        <v>39</v>
      </c>
      <c r="R21" s="1" t="s">
        <v>39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3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3">
        <f t="shared" si="0"/>
        <v>2</v>
      </c>
      <c r="AU21" s="3">
        <f t="shared" si="1"/>
        <v>0</v>
      </c>
      <c r="AV21" s="3">
        <f t="shared" si="2"/>
        <v>0</v>
      </c>
      <c r="AW21" s="3">
        <f t="shared" si="3"/>
        <v>0</v>
      </c>
      <c r="AX21" s="3">
        <f t="shared" si="4"/>
        <v>0</v>
      </c>
      <c r="AY21" s="3">
        <f t="shared" si="5"/>
        <v>1</v>
      </c>
      <c r="AZ21" s="3">
        <f t="shared" si="6"/>
        <v>0</v>
      </c>
      <c r="BA21" s="3">
        <f t="shared" si="7"/>
        <v>0</v>
      </c>
      <c r="BB21" s="3">
        <f t="shared" si="8"/>
        <v>0</v>
      </c>
      <c r="BC21" s="3">
        <f t="shared" si="9"/>
        <v>0</v>
      </c>
      <c r="BD21" s="3">
        <f t="shared" si="10"/>
        <v>0</v>
      </c>
      <c r="BE21" s="3">
        <f t="shared" si="11"/>
        <v>0</v>
      </c>
      <c r="BF21" s="3">
        <f t="shared" si="12"/>
        <v>0</v>
      </c>
      <c r="BG21" s="3">
        <f t="shared" si="13"/>
        <v>0</v>
      </c>
      <c r="BH21" s="3">
        <f t="shared" si="14"/>
        <v>0</v>
      </c>
      <c r="BI21" s="3">
        <f t="shared" si="15"/>
        <v>3</v>
      </c>
    </row>
    <row r="22" spans="1:61" x14ac:dyDescent="0.25">
      <c r="A22" s="29">
        <v>16</v>
      </c>
      <c r="B22" s="3" t="s">
        <v>989</v>
      </c>
      <c r="C22" s="13" t="s">
        <v>990</v>
      </c>
      <c r="D22" s="13" t="s">
        <v>991</v>
      </c>
      <c r="E22" s="13" t="s">
        <v>992</v>
      </c>
      <c r="F22" s="18" t="s">
        <v>1533</v>
      </c>
      <c r="G22" s="18">
        <v>45707</v>
      </c>
      <c r="H22" s="18" t="s">
        <v>35</v>
      </c>
      <c r="I22" s="13" t="s">
        <v>23</v>
      </c>
      <c r="J22" s="13" t="s">
        <v>24</v>
      </c>
      <c r="K22" s="13" t="s">
        <v>25</v>
      </c>
      <c r="L22" s="13" t="s">
        <v>1568</v>
      </c>
      <c r="M22" s="13" t="s">
        <v>1621</v>
      </c>
      <c r="N22" s="4" t="s">
        <v>993</v>
      </c>
      <c r="O22" s="4" t="s">
        <v>994</v>
      </c>
      <c r="P22" s="1" t="s">
        <v>5</v>
      </c>
      <c r="Q22" s="1" t="s">
        <v>39</v>
      </c>
      <c r="R22" s="1" t="s">
        <v>39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3">
        <f t="shared" si="0"/>
        <v>2</v>
      </c>
      <c r="AU22" s="3">
        <f t="shared" si="1"/>
        <v>0</v>
      </c>
      <c r="AV22" s="3">
        <f t="shared" si="2"/>
        <v>0</v>
      </c>
      <c r="AW22" s="3">
        <f t="shared" si="3"/>
        <v>0</v>
      </c>
      <c r="AX22" s="3">
        <f t="shared" si="4"/>
        <v>0</v>
      </c>
      <c r="AY22" s="3">
        <f t="shared" si="5"/>
        <v>1</v>
      </c>
      <c r="AZ22" s="3">
        <f t="shared" si="6"/>
        <v>0</v>
      </c>
      <c r="BA22" s="3">
        <f t="shared" si="7"/>
        <v>0</v>
      </c>
      <c r="BB22" s="3">
        <f t="shared" si="8"/>
        <v>0</v>
      </c>
      <c r="BC22" s="3">
        <f t="shared" si="9"/>
        <v>0</v>
      </c>
      <c r="BD22" s="3">
        <f t="shared" si="10"/>
        <v>0</v>
      </c>
      <c r="BE22" s="3">
        <f t="shared" si="11"/>
        <v>0</v>
      </c>
      <c r="BF22" s="3">
        <f t="shared" si="12"/>
        <v>0</v>
      </c>
      <c r="BG22" s="3">
        <f t="shared" si="13"/>
        <v>0</v>
      </c>
      <c r="BH22" s="3">
        <f t="shared" si="14"/>
        <v>0</v>
      </c>
      <c r="BI22" s="3">
        <f t="shared" si="15"/>
        <v>3</v>
      </c>
    </row>
    <row r="23" spans="1:61" x14ac:dyDescent="0.25">
      <c r="A23" s="29">
        <v>17</v>
      </c>
      <c r="B23" s="3" t="s">
        <v>46</v>
      </c>
      <c r="C23" s="13" t="s">
        <v>47</v>
      </c>
      <c r="D23" s="13" t="s">
        <v>48</v>
      </c>
      <c r="E23" s="13" t="s">
        <v>49</v>
      </c>
      <c r="F23" s="18" t="s">
        <v>1528</v>
      </c>
      <c r="G23" s="18">
        <v>45710</v>
      </c>
      <c r="H23" s="18" t="s">
        <v>35</v>
      </c>
      <c r="I23" s="13" t="s">
        <v>23</v>
      </c>
      <c r="J23" s="13" t="s">
        <v>24</v>
      </c>
      <c r="K23" s="13" t="s">
        <v>56</v>
      </c>
      <c r="L23" s="13" t="s">
        <v>37</v>
      </c>
      <c r="M23" s="13" t="s">
        <v>1621</v>
      </c>
      <c r="N23" s="4" t="s">
        <v>51</v>
      </c>
      <c r="O23" s="4" t="s">
        <v>28</v>
      </c>
      <c r="P23" s="1" t="s">
        <v>39</v>
      </c>
      <c r="Q23" s="1" t="s">
        <v>5</v>
      </c>
      <c r="R23" s="1" t="s">
        <v>5</v>
      </c>
      <c r="S23" s="1" t="s">
        <v>5</v>
      </c>
      <c r="T23" s="1" t="s">
        <v>5</v>
      </c>
      <c r="U23" s="1" t="s">
        <v>5</v>
      </c>
      <c r="V23" s="1" t="s">
        <v>5</v>
      </c>
      <c r="W23" s="1" t="s">
        <v>5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3">
        <f t="shared" si="0"/>
        <v>1</v>
      </c>
      <c r="AU23" s="3">
        <f t="shared" si="1"/>
        <v>0</v>
      </c>
      <c r="AV23" s="3">
        <f t="shared" si="2"/>
        <v>0</v>
      </c>
      <c r="AW23" s="3">
        <f t="shared" si="3"/>
        <v>0</v>
      </c>
      <c r="AX23" s="3">
        <f t="shared" si="4"/>
        <v>0</v>
      </c>
      <c r="AY23" s="3">
        <f t="shared" si="5"/>
        <v>7</v>
      </c>
      <c r="AZ23" s="3">
        <f t="shared" si="6"/>
        <v>0</v>
      </c>
      <c r="BA23" s="3">
        <f t="shared" si="7"/>
        <v>0</v>
      </c>
      <c r="BB23" s="3">
        <f t="shared" si="8"/>
        <v>0</v>
      </c>
      <c r="BC23" s="3">
        <f t="shared" si="9"/>
        <v>0</v>
      </c>
      <c r="BD23" s="3">
        <f t="shared" si="10"/>
        <v>0</v>
      </c>
      <c r="BE23" s="3">
        <f t="shared" si="11"/>
        <v>0</v>
      </c>
      <c r="BF23" s="3">
        <f t="shared" si="12"/>
        <v>0</v>
      </c>
      <c r="BG23" s="3">
        <f t="shared" si="13"/>
        <v>0</v>
      </c>
      <c r="BH23" s="3">
        <f t="shared" si="14"/>
        <v>0</v>
      </c>
      <c r="BI23" s="3">
        <f t="shared" si="15"/>
        <v>8</v>
      </c>
    </row>
    <row r="24" spans="1:61" x14ac:dyDescent="0.25">
      <c r="A24" s="29">
        <v>19</v>
      </c>
      <c r="B24" s="3" t="s">
        <v>944</v>
      </c>
      <c r="C24" s="13" t="s">
        <v>507</v>
      </c>
      <c r="D24" s="13" t="s">
        <v>825</v>
      </c>
      <c r="E24" s="13" t="s">
        <v>945</v>
      </c>
      <c r="F24" s="18" t="s">
        <v>1525</v>
      </c>
      <c r="G24" s="18">
        <v>45710</v>
      </c>
      <c r="H24" s="18" t="s">
        <v>35</v>
      </c>
      <c r="I24" s="13" t="s">
        <v>23</v>
      </c>
      <c r="J24" s="13" t="s">
        <v>24</v>
      </c>
      <c r="K24" s="13" t="s">
        <v>36</v>
      </c>
      <c r="L24" s="13" t="s">
        <v>37</v>
      </c>
      <c r="M24" s="13" t="s">
        <v>1621</v>
      </c>
      <c r="N24" s="4" t="s">
        <v>946</v>
      </c>
      <c r="O24" s="4" t="s">
        <v>28</v>
      </c>
      <c r="P24" s="1" t="s">
        <v>5</v>
      </c>
      <c r="Q24" s="1" t="s">
        <v>29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3">
        <f t="shared" si="0"/>
        <v>0</v>
      </c>
      <c r="AU24" s="3">
        <f t="shared" si="1"/>
        <v>1</v>
      </c>
      <c r="AV24" s="3">
        <f t="shared" si="2"/>
        <v>0</v>
      </c>
      <c r="AW24" s="3">
        <f t="shared" si="3"/>
        <v>0</v>
      </c>
      <c r="AX24" s="3">
        <f t="shared" si="4"/>
        <v>0</v>
      </c>
      <c r="AY24" s="3">
        <f t="shared" si="5"/>
        <v>1</v>
      </c>
      <c r="AZ24" s="3">
        <f t="shared" si="6"/>
        <v>0</v>
      </c>
      <c r="BA24" s="3">
        <f t="shared" si="7"/>
        <v>0</v>
      </c>
      <c r="BB24" s="3">
        <f t="shared" si="8"/>
        <v>0</v>
      </c>
      <c r="BC24" s="3">
        <f t="shared" si="9"/>
        <v>0</v>
      </c>
      <c r="BD24" s="3">
        <f t="shared" si="10"/>
        <v>0</v>
      </c>
      <c r="BE24" s="3">
        <f t="shared" si="11"/>
        <v>0</v>
      </c>
      <c r="BF24" s="3">
        <f t="shared" si="12"/>
        <v>0</v>
      </c>
      <c r="BG24" s="3">
        <f t="shared" si="13"/>
        <v>0</v>
      </c>
      <c r="BH24" s="3">
        <f t="shared" si="14"/>
        <v>0</v>
      </c>
      <c r="BI24" s="3">
        <f t="shared" si="15"/>
        <v>2</v>
      </c>
    </row>
    <row r="25" spans="1:61" x14ac:dyDescent="0.25">
      <c r="A25" s="29">
        <v>18</v>
      </c>
      <c r="B25" s="3" t="s">
        <v>430</v>
      </c>
      <c r="C25" s="13" t="s">
        <v>431</v>
      </c>
      <c r="D25" s="13" t="s">
        <v>432</v>
      </c>
      <c r="E25" s="13" t="s">
        <v>433</v>
      </c>
      <c r="F25" s="18" t="s">
        <v>149</v>
      </c>
      <c r="G25" s="18">
        <v>45710</v>
      </c>
      <c r="H25" s="18" t="s">
        <v>35</v>
      </c>
      <c r="I25" s="13" t="s">
        <v>23</v>
      </c>
      <c r="J25" s="13" t="s">
        <v>24</v>
      </c>
      <c r="K25" s="13" t="s">
        <v>56</v>
      </c>
      <c r="L25" s="13" t="s">
        <v>150</v>
      </c>
      <c r="M25" s="13" t="s">
        <v>1621</v>
      </c>
      <c r="N25" s="4" t="s">
        <v>434</v>
      </c>
      <c r="O25" s="4" t="s">
        <v>28</v>
      </c>
      <c r="P25" s="1" t="s">
        <v>39</v>
      </c>
      <c r="Q25" s="1" t="s">
        <v>5</v>
      </c>
      <c r="R25" s="1" t="s">
        <v>5</v>
      </c>
      <c r="S25" s="1" t="s">
        <v>5</v>
      </c>
      <c r="T25" s="1" t="s">
        <v>5</v>
      </c>
      <c r="U25" s="1" t="s">
        <v>5</v>
      </c>
      <c r="V25" s="1" t="s">
        <v>5</v>
      </c>
      <c r="W25" s="1" t="s">
        <v>5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3">
        <f t="shared" si="0"/>
        <v>1</v>
      </c>
      <c r="AU25" s="3">
        <f t="shared" si="1"/>
        <v>0</v>
      </c>
      <c r="AV25" s="3">
        <f t="shared" si="2"/>
        <v>0</v>
      </c>
      <c r="AW25" s="3">
        <f t="shared" si="3"/>
        <v>0</v>
      </c>
      <c r="AX25" s="3">
        <f t="shared" si="4"/>
        <v>0</v>
      </c>
      <c r="AY25" s="3">
        <f t="shared" si="5"/>
        <v>7</v>
      </c>
      <c r="AZ25" s="3">
        <f t="shared" si="6"/>
        <v>0</v>
      </c>
      <c r="BA25" s="3">
        <f t="shared" si="7"/>
        <v>0</v>
      </c>
      <c r="BB25" s="3">
        <f t="shared" si="8"/>
        <v>0</v>
      </c>
      <c r="BC25" s="3">
        <f t="shared" si="9"/>
        <v>0</v>
      </c>
      <c r="BD25" s="3">
        <f t="shared" si="10"/>
        <v>0</v>
      </c>
      <c r="BE25" s="3">
        <f t="shared" si="11"/>
        <v>0</v>
      </c>
      <c r="BF25" s="3">
        <f t="shared" si="12"/>
        <v>0</v>
      </c>
      <c r="BG25" s="3">
        <f t="shared" si="13"/>
        <v>0</v>
      </c>
      <c r="BH25" s="3">
        <f t="shared" si="14"/>
        <v>0</v>
      </c>
      <c r="BI25" s="3">
        <f t="shared" si="15"/>
        <v>8</v>
      </c>
    </row>
    <row r="26" spans="1:61" x14ac:dyDescent="0.25">
      <c r="A26" s="29">
        <v>20</v>
      </c>
      <c r="B26" s="3" t="s">
        <v>511</v>
      </c>
      <c r="C26" s="13" t="s">
        <v>234</v>
      </c>
      <c r="D26" s="13" t="s">
        <v>512</v>
      </c>
      <c r="E26" s="13" t="s">
        <v>513</v>
      </c>
      <c r="F26" s="18" t="s">
        <v>1530</v>
      </c>
      <c r="G26" s="18">
        <v>45710</v>
      </c>
      <c r="H26" s="18" t="s">
        <v>35</v>
      </c>
      <c r="I26" s="13" t="s">
        <v>23</v>
      </c>
      <c r="J26" s="13" t="s">
        <v>24</v>
      </c>
      <c r="K26" s="13" t="s">
        <v>25</v>
      </c>
      <c r="L26" s="13" t="s">
        <v>26</v>
      </c>
      <c r="M26" s="13" t="s">
        <v>1621</v>
      </c>
      <c r="N26" s="4" t="s">
        <v>514</v>
      </c>
      <c r="O26" s="4" t="s">
        <v>28</v>
      </c>
      <c r="P26" s="1" t="s">
        <v>5</v>
      </c>
      <c r="Q26" s="1" t="s">
        <v>39</v>
      </c>
      <c r="R26" s="1" t="s">
        <v>39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3">
        <f t="shared" si="0"/>
        <v>2</v>
      </c>
      <c r="AU26" s="3">
        <f t="shared" si="1"/>
        <v>0</v>
      </c>
      <c r="AV26" s="3">
        <f t="shared" si="2"/>
        <v>0</v>
      </c>
      <c r="AW26" s="3">
        <f t="shared" si="3"/>
        <v>0</v>
      </c>
      <c r="AX26" s="3">
        <f t="shared" si="4"/>
        <v>0</v>
      </c>
      <c r="AY26" s="3">
        <f t="shared" si="5"/>
        <v>1</v>
      </c>
      <c r="AZ26" s="3">
        <f t="shared" si="6"/>
        <v>0</v>
      </c>
      <c r="BA26" s="3">
        <f t="shared" si="7"/>
        <v>0</v>
      </c>
      <c r="BB26" s="3">
        <f t="shared" si="8"/>
        <v>0</v>
      </c>
      <c r="BC26" s="3">
        <f t="shared" si="9"/>
        <v>0</v>
      </c>
      <c r="BD26" s="3">
        <f t="shared" si="10"/>
        <v>0</v>
      </c>
      <c r="BE26" s="3">
        <f t="shared" si="11"/>
        <v>0</v>
      </c>
      <c r="BF26" s="3">
        <f t="shared" si="12"/>
        <v>0</v>
      </c>
      <c r="BG26" s="3">
        <f t="shared" si="13"/>
        <v>0</v>
      </c>
      <c r="BH26" s="3">
        <f t="shared" si="14"/>
        <v>0</v>
      </c>
      <c r="BI26" s="3">
        <f t="shared" si="15"/>
        <v>3</v>
      </c>
    </row>
    <row r="27" spans="1:61" x14ac:dyDescent="0.25">
      <c r="A27" s="29">
        <v>21</v>
      </c>
      <c r="B27" s="3" t="s">
        <v>884</v>
      </c>
      <c r="C27" s="13" t="s">
        <v>88</v>
      </c>
      <c r="D27" s="13" t="s">
        <v>291</v>
      </c>
      <c r="E27" s="13" t="s">
        <v>885</v>
      </c>
      <c r="F27" s="18" t="s">
        <v>1532</v>
      </c>
      <c r="G27" s="18">
        <v>45710</v>
      </c>
      <c r="H27" s="18" t="s">
        <v>35</v>
      </c>
      <c r="I27" s="13" t="s">
        <v>23</v>
      </c>
      <c r="J27" s="13" t="s">
        <v>24</v>
      </c>
      <c r="K27" s="13" t="s">
        <v>25</v>
      </c>
      <c r="L27" s="13" t="s">
        <v>26</v>
      </c>
      <c r="M27" s="13" t="s">
        <v>1621</v>
      </c>
      <c r="N27" s="4" t="s">
        <v>886</v>
      </c>
      <c r="O27" s="4" t="s">
        <v>28</v>
      </c>
      <c r="P27" s="1" t="s">
        <v>5</v>
      </c>
      <c r="Q27" s="1" t="s">
        <v>39</v>
      </c>
      <c r="R27" s="1" t="s">
        <v>39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3">
        <f t="shared" si="0"/>
        <v>2</v>
      </c>
      <c r="AU27" s="3">
        <f t="shared" si="1"/>
        <v>0</v>
      </c>
      <c r="AV27" s="3">
        <f t="shared" si="2"/>
        <v>0</v>
      </c>
      <c r="AW27" s="3">
        <f t="shared" si="3"/>
        <v>0</v>
      </c>
      <c r="AX27" s="3">
        <f t="shared" si="4"/>
        <v>0</v>
      </c>
      <c r="AY27" s="3">
        <f t="shared" si="5"/>
        <v>1</v>
      </c>
      <c r="AZ27" s="3">
        <f t="shared" si="6"/>
        <v>0</v>
      </c>
      <c r="BA27" s="3">
        <f t="shared" si="7"/>
        <v>0</v>
      </c>
      <c r="BB27" s="3">
        <f t="shared" si="8"/>
        <v>0</v>
      </c>
      <c r="BC27" s="3">
        <f t="shared" si="9"/>
        <v>0</v>
      </c>
      <c r="BD27" s="3">
        <f t="shared" si="10"/>
        <v>0</v>
      </c>
      <c r="BE27" s="3">
        <f t="shared" si="11"/>
        <v>0</v>
      </c>
      <c r="BF27" s="3">
        <f t="shared" si="12"/>
        <v>0</v>
      </c>
      <c r="BG27" s="3">
        <f t="shared" si="13"/>
        <v>0</v>
      </c>
      <c r="BH27" s="3">
        <f t="shared" si="14"/>
        <v>0</v>
      </c>
      <c r="BI27" s="3">
        <f t="shared" si="15"/>
        <v>3</v>
      </c>
    </row>
    <row r="28" spans="1:61" x14ac:dyDescent="0.25">
      <c r="A28" s="29">
        <v>22</v>
      </c>
      <c r="B28" s="3" t="s">
        <v>598</v>
      </c>
      <c r="C28" s="13" t="s">
        <v>135</v>
      </c>
      <c r="D28" s="13" t="s">
        <v>498</v>
      </c>
      <c r="E28" s="13" t="s">
        <v>599</v>
      </c>
      <c r="F28" s="18" t="s">
        <v>1544</v>
      </c>
      <c r="G28" s="18">
        <v>45710</v>
      </c>
      <c r="H28" s="18" t="s">
        <v>35</v>
      </c>
      <c r="I28" s="13" t="s">
        <v>23</v>
      </c>
      <c r="J28" s="13" t="s">
        <v>24</v>
      </c>
      <c r="K28" s="13" t="s">
        <v>25</v>
      </c>
      <c r="L28" s="13" t="s">
        <v>26</v>
      </c>
      <c r="M28" s="13" t="s">
        <v>1621</v>
      </c>
      <c r="N28" s="4" t="s">
        <v>600</v>
      </c>
      <c r="O28" s="4" t="s">
        <v>28</v>
      </c>
      <c r="P28" s="1" t="s">
        <v>5</v>
      </c>
      <c r="Q28" s="1" t="s">
        <v>39</v>
      </c>
      <c r="R28" s="1" t="s">
        <v>39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3">
        <f t="shared" si="0"/>
        <v>2</v>
      </c>
      <c r="AU28" s="3">
        <f t="shared" si="1"/>
        <v>0</v>
      </c>
      <c r="AV28" s="3">
        <f t="shared" si="2"/>
        <v>0</v>
      </c>
      <c r="AW28" s="3">
        <f t="shared" si="3"/>
        <v>0</v>
      </c>
      <c r="AX28" s="3">
        <f t="shared" si="4"/>
        <v>0</v>
      </c>
      <c r="AY28" s="3">
        <f t="shared" si="5"/>
        <v>1</v>
      </c>
      <c r="AZ28" s="3">
        <f t="shared" si="6"/>
        <v>0</v>
      </c>
      <c r="BA28" s="3">
        <f t="shared" si="7"/>
        <v>0</v>
      </c>
      <c r="BB28" s="3">
        <f t="shared" si="8"/>
        <v>0</v>
      </c>
      <c r="BC28" s="3">
        <f t="shared" si="9"/>
        <v>0</v>
      </c>
      <c r="BD28" s="3">
        <f t="shared" si="10"/>
        <v>0</v>
      </c>
      <c r="BE28" s="3">
        <f t="shared" si="11"/>
        <v>0</v>
      </c>
      <c r="BF28" s="3">
        <f t="shared" si="12"/>
        <v>0</v>
      </c>
      <c r="BG28" s="3">
        <f t="shared" si="13"/>
        <v>0</v>
      </c>
      <c r="BH28" s="3">
        <f t="shared" si="14"/>
        <v>0</v>
      </c>
      <c r="BI28" s="3">
        <f t="shared" si="15"/>
        <v>3</v>
      </c>
    </row>
    <row r="29" spans="1:61" x14ac:dyDescent="0.25">
      <c r="A29" s="29">
        <v>23</v>
      </c>
      <c r="B29" s="3" t="s">
        <v>932</v>
      </c>
      <c r="C29" s="13" t="s">
        <v>776</v>
      </c>
      <c r="D29" s="13" t="s">
        <v>380</v>
      </c>
      <c r="E29" s="13" t="s">
        <v>933</v>
      </c>
      <c r="F29" s="18" t="s">
        <v>34</v>
      </c>
      <c r="G29" s="18">
        <v>45710</v>
      </c>
      <c r="H29" s="18" t="s">
        <v>35</v>
      </c>
      <c r="I29" s="13" t="s">
        <v>23</v>
      </c>
      <c r="J29" s="13" t="s">
        <v>24</v>
      </c>
      <c r="K29" s="13" t="s">
        <v>25</v>
      </c>
      <c r="L29" s="13" t="s">
        <v>26</v>
      </c>
      <c r="M29" s="13" t="s">
        <v>1621</v>
      </c>
      <c r="N29" s="4" t="s">
        <v>934</v>
      </c>
      <c r="O29" s="4" t="s">
        <v>28</v>
      </c>
      <c r="P29" s="1" t="s">
        <v>5</v>
      </c>
      <c r="Q29" s="1" t="s">
        <v>39</v>
      </c>
      <c r="R29" s="1" t="s">
        <v>39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3">
        <f t="shared" si="0"/>
        <v>2</v>
      </c>
      <c r="AU29" s="3">
        <f t="shared" si="1"/>
        <v>0</v>
      </c>
      <c r="AV29" s="3">
        <f t="shared" si="2"/>
        <v>0</v>
      </c>
      <c r="AW29" s="3">
        <f t="shared" si="3"/>
        <v>0</v>
      </c>
      <c r="AX29" s="3">
        <f t="shared" si="4"/>
        <v>0</v>
      </c>
      <c r="AY29" s="3">
        <f t="shared" si="5"/>
        <v>1</v>
      </c>
      <c r="AZ29" s="3">
        <f t="shared" si="6"/>
        <v>0</v>
      </c>
      <c r="BA29" s="3">
        <f t="shared" si="7"/>
        <v>0</v>
      </c>
      <c r="BB29" s="3">
        <f t="shared" si="8"/>
        <v>0</v>
      </c>
      <c r="BC29" s="3">
        <f t="shared" si="9"/>
        <v>0</v>
      </c>
      <c r="BD29" s="3">
        <f t="shared" si="10"/>
        <v>0</v>
      </c>
      <c r="BE29" s="3">
        <f t="shared" si="11"/>
        <v>0</v>
      </c>
      <c r="BF29" s="3">
        <f t="shared" si="12"/>
        <v>0</v>
      </c>
      <c r="BG29" s="3">
        <f t="shared" si="13"/>
        <v>0</v>
      </c>
      <c r="BH29" s="3">
        <f t="shared" si="14"/>
        <v>0</v>
      </c>
      <c r="BI29" s="3">
        <f t="shared" si="15"/>
        <v>3</v>
      </c>
    </row>
    <row r="30" spans="1:61" x14ac:dyDescent="0.25">
      <c r="A30" s="29">
        <v>24</v>
      </c>
      <c r="B30" s="3" t="s">
        <v>1097</v>
      </c>
      <c r="C30" s="13" t="s">
        <v>658</v>
      </c>
      <c r="D30" s="13" t="s">
        <v>918</v>
      </c>
      <c r="E30" s="13" t="s">
        <v>1098</v>
      </c>
      <c r="F30" s="18" t="s">
        <v>1529</v>
      </c>
      <c r="G30" s="18">
        <v>45710</v>
      </c>
      <c r="H30" s="18" t="s">
        <v>35</v>
      </c>
      <c r="I30" s="13" t="s">
        <v>23</v>
      </c>
      <c r="J30" s="13" t="s">
        <v>24</v>
      </c>
      <c r="K30" s="13" t="s">
        <v>25</v>
      </c>
      <c r="L30" s="13" t="s">
        <v>37</v>
      </c>
      <c r="M30" s="13" t="s">
        <v>1621</v>
      </c>
      <c r="N30" s="4" t="s">
        <v>1099</v>
      </c>
      <c r="O30" s="4" t="s">
        <v>28</v>
      </c>
      <c r="P30" s="1" t="s">
        <v>92</v>
      </c>
      <c r="Q30" s="1" t="s">
        <v>92</v>
      </c>
      <c r="R30" s="1" t="s">
        <v>92</v>
      </c>
      <c r="S30" s="1" t="s">
        <v>92</v>
      </c>
      <c r="T30" s="1" t="s">
        <v>92</v>
      </c>
      <c r="U30" s="1" t="s">
        <v>92</v>
      </c>
      <c r="V30" s="1" t="s">
        <v>92</v>
      </c>
      <c r="W30" s="1" t="s">
        <v>92</v>
      </c>
      <c r="X30" s="1" t="s">
        <v>92</v>
      </c>
      <c r="Y30" s="1" t="s">
        <v>92</v>
      </c>
      <c r="Z30" s="1" t="s">
        <v>92</v>
      </c>
      <c r="AA30" s="1" t="s">
        <v>92</v>
      </c>
      <c r="AB30" s="1" t="s">
        <v>92</v>
      </c>
      <c r="AC30" s="1" t="s">
        <v>92</v>
      </c>
      <c r="AD30" s="1" t="s">
        <v>92</v>
      </c>
      <c r="AE30" s="1" t="s">
        <v>92</v>
      </c>
      <c r="AF30" s="1" t="s">
        <v>92</v>
      </c>
      <c r="AG30" s="1" t="s">
        <v>92</v>
      </c>
      <c r="AH30" s="1" t="s">
        <v>92</v>
      </c>
      <c r="AI30" s="1" t="s">
        <v>92</v>
      </c>
      <c r="AJ30" s="1" t="s">
        <v>92</v>
      </c>
      <c r="AK30" s="1" t="s">
        <v>92</v>
      </c>
      <c r="AL30" s="1" t="s">
        <v>92</v>
      </c>
      <c r="AM30" s="1"/>
      <c r="AN30" s="1"/>
      <c r="AO30" s="1"/>
      <c r="AP30" s="1"/>
      <c r="AQ30" s="1"/>
      <c r="AR30" s="1"/>
      <c r="AS30" s="1"/>
      <c r="AT30" s="3">
        <f t="shared" si="0"/>
        <v>0</v>
      </c>
      <c r="AU30" s="3">
        <f t="shared" si="1"/>
        <v>0</v>
      </c>
      <c r="AV30" s="3">
        <f t="shared" si="2"/>
        <v>0</v>
      </c>
      <c r="AW30" s="3">
        <f t="shared" si="3"/>
        <v>0</v>
      </c>
      <c r="AX30" s="3">
        <f t="shared" si="4"/>
        <v>0</v>
      </c>
      <c r="AY30" s="3">
        <f t="shared" si="5"/>
        <v>0</v>
      </c>
      <c r="AZ30" s="3">
        <f t="shared" si="6"/>
        <v>0</v>
      </c>
      <c r="BA30" s="3">
        <f t="shared" si="7"/>
        <v>23</v>
      </c>
      <c r="BB30" s="3">
        <f t="shared" si="8"/>
        <v>0</v>
      </c>
      <c r="BC30" s="3">
        <f t="shared" si="9"/>
        <v>0</v>
      </c>
      <c r="BD30" s="3">
        <f t="shared" si="10"/>
        <v>0</v>
      </c>
      <c r="BE30" s="3">
        <f t="shared" si="11"/>
        <v>0</v>
      </c>
      <c r="BF30" s="3">
        <f t="shared" si="12"/>
        <v>0</v>
      </c>
      <c r="BG30" s="3">
        <f t="shared" si="13"/>
        <v>0</v>
      </c>
      <c r="BH30" s="3">
        <f t="shared" si="14"/>
        <v>0</v>
      </c>
      <c r="BI30" s="3">
        <f t="shared" si="15"/>
        <v>0</v>
      </c>
    </row>
    <row r="31" spans="1:61" x14ac:dyDescent="0.25">
      <c r="A31" s="29">
        <v>27</v>
      </c>
      <c r="B31" s="3" t="s">
        <v>1100</v>
      </c>
      <c r="C31" s="13" t="s">
        <v>157</v>
      </c>
      <c r="D31" s="13" t="s">
        <v>918</v>
      </c>
      <c r="E31" s="13" t="s">
        <v>197</v>
      </c>
      <c r="F31" s="18" t="s">
        <v>1537</v>
      </c>
      <c r="G31" s="18">
        <v>45710</v>
      </c>
      <c r="H31" s="18" t="s">
        <v>35</v>
      </c>
      <c r="I31" s="13" t="s">
        <v>23</v>
      </c>
      <c r="J31" s="13" t="s">
        <v>24</v>
      </c>
      <c r="K31" s="13" t="s">
        <v>25</v>
      </c>
      <c r="L31" s="13" t="s">
        <v>26</v>
      </c>
      <c r="M31" s="13" t="s">
        <v>1621</v>
      </c>
      <c r="N31" s="4" t="s">
        <v>1101</v>
      </c>
      <c r="O31" s="4" t="s">
        <v>28</v>
      </c>
      <c r="P31" s="1" t="s">
        <v>5</v>
      </c>
      <c r="Q31" s="1" t="s">
        <v>39</v>
      </c>
      <c r="R31" s="1" t="s">
        <v>39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3">
        <f t="shared" si="0"/>
        <v>2</v>
      </c>
      <c r="AU31" s="3">
        <f t="shared" si="1"/>
        <v>0</v>
      </c>
      <c r="AV31" s="3">
        <f t="shared" si="2"/>
        <v>0</v>
      </c>
      <c r="AW31" s="3">
        <f t="shared" si="3"/>
        <v>0</v>
      </c>
      <c r="AX31" s="3">
        <f t="shared" si="4"/>
        <v>0</v>
      </c>
      <c r="AY31" s="3">
        <f t="shared" si="5"/>
        <v>1</v>
      </c>
      <c r="AZ31" s="3">
        <f t="shared" si="6"/>
        <v>0</v>
      </c>
      <c r="BA31" s="3">
        <f t="shared" si="7"/>
        <v>0</v>
      </c>
      <c r="BB31" s="3">
        <f t="shared" si="8"/>
        <v>0</v>
      </c>
      <c r="BC31" s="3">
        <f t="shared" si="9"/>
        <v>0</v>
      </c>
      <c r="BD31" s="3">
        <f t="shared" si="10"/>
        <v>0</v>
      </c>
      <c r="BE31" s="3">
        <f t="shared" si="11"/>
        <v>0</v>
      </c>
      <c r="BF31" s="3">
        <f t="shared" si="12"/>
        <v>0</v>
      </c>
      <c r="BG31" s="3">
        <f t="shared" si="13"/>
        <v>0</v>
      </c>
      <c r="BH31" s="3">
        <f t="shared" si="14"/>
        <v>0</v>
      </c>
      <c r="BI31" s="3">
        <f t="shared" si="15"/>
        <v>3</v>
      </c>
    </row>
    <row r="32" spans="1:61" x14ac:dyDescent="0.25">
      <c r="A32" s="29">
        <v>28</v>
      </c>
      <c r="B32" s="3" t="s">
        <v>156</v>
      </c>
      <c r="C32" s="13" t="s">
        <v>157</v>
      </c>
      <c r="D32" s="13" t="s">
        <v>147</v>
      </c>
      <c r="E32" s="13" t="s">
        <v>158</v>
      </c>
      <c r="F32" s="18" t="s">
        <v>50</v>
      </c>
      <c r="G32" s="18">
        <v>45710</v>
      </c>
      <c r="H32" s="18" t="s">
        <v>35</v>
      </c>
      <c r="I32" s="13" t="s">
        <v>23</v>
      </c>
      <c r="J32" s="13" t="s">
        <v>24</v>
      </c>
      <c r="K32" s="13" t="s">
        <v>25</v>
      </c>
      <c r="L32" s="13" t="s">
        <v>26</v>
      </c>
      <c r="M32" s="13" t="s">
        <v>1621</v>
      </c>
      <c r="N32" s="4" t="s">
        <v>159</v>
      </c>
      <c r="O32" s="4" t="s">
        <v>28</v>
      </c>
      <c r="P32" s="1" t="s">
        <v>5</v>
      </c>
      <c r="Q32" s="1" t="s">
        <v>39</v>
      </c>
      <c r="R32" s="1" t="s">
        <v>39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3">
        <f t="shared" si="0"/>
        <v>2</v>
      </c>
      <c r="AU32" s="3">
        <f t="shared" si="1"/>
        <v>0</v>
      </c>
      <c r="AV32" s="3">
        <f t="shared" si="2"/>
        <v>0</v>
      </c>
      <c r="AW32" s="3">
        <f t="shared" si="3"/>
        <v>0</v>
      </c>
      <c r="AX32" s="3">
        <f t="shared" si="4"/>
        <v>0</v>
      </c>
      <c r="AY32" s="3">
        <f t="shared" si="5"/>
        <v>1</v>
      </c>
      <c r="AZ32" s="3">
        <f t="shared" si="6"/>
        <v>0</v>
      </c>
      <c r="BA32" s="3">
        <f t="shared" si="7"/>
        <v>0</v>
      </c>
      <c r="BB32" s="3">
        <f t="shared" si="8"/>
        <v>0</v>
      </c>
      <c r="BC32" s="3">
        <f t="shared" si="9"/>
        <v>0</v>
      </c>
      <c r="BD32" s="3">
        <f t="shared" si="10"/>
        <v>0</v>
      </c>
      <c r="BE32" s="3">
        <f t="shared" si="11"/>
        <v>0</v>
      </c>
      <c r="BF32" s="3">
        <f t="shared" si="12"/>
        <v>0</v>
      </c>
      <c r="BG32" s="3">
        <f t="shared" si="13"/>
        <v>0</v>
      </c>
      <c r="BH32" s="3">
        <f t="shared" si="14"/>
        <v>0</v>
      </c>
      <c r="BI32" s="3">
        <f t="shared" si="15"/>
        <v>3</v>
      </c>
    </row>
    <row r="33" spans="1:61" x14ac:dyDescent="0.25">
      <c r="A33" s="29">
        <v>30</v>
      </c>
      <c r="B33" s="3" t="s">
        <v>70</v>
      </c>
      <c r="C33" s="13" t="s">
        <v>41</v>
      </c>
      <c r="D33" s="13" t="s">
        <v>71</v>
      </c>
      <c r="E33" s="13" t="s">
        <v>72</v>
      </c>
      <c r="F33" s="18" t="s">
        <v>73</v>
      </c>
      <c r="G33" s="18">
        <v>45710</v>
      </c>
      <c r="H33" s="18" t="s">
        <v>35</v>
      </c>
      <c r="I33" s="13" t="s">
        <v>23</v>
      </c>
      <c r="J33" s="13" t="s">
        <v>24</v>
      </c>
      <c r="K33" s="13" t="s">
        <v>25</v>
      </c>
      <c r="L33" s="13" t="s">
        <v>26</v>
      </c>
      <c r="M33" s="13" t="s">
        <v>1621</v>
      </c>
      <c r="N33" s="4" t="s">
        <v>74</v>
      </c>
      <c r="O33" s="4" t="s">
        <v>28</v>
      </c>
      <c r="P33" s="1" t="s">
        <v>5</v>
      </c>
      <c r="Q33" s="1" t="s">
        <v>39</v>
      </c>
      <c r="R33" s="1" t="s">
        <v>39</v>
      </c>
      <c r="S33" s="1"/>
      <c r="T33" s="3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3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3">
        <f t="shared" si="0"/>
        <v>2</v>
      </c>
      <c r="AU33" s="3">
        <f t="shared" si="1"/>
        <v>0</v>
      </c>
      <c r="AV33" s="3">
        <f t="shared" si="2"/>
        <v>0</v>
      </c>
      <c r="AW33" s="3">
        <f t="shared" si="3"/>
        <v>0</v>
      </c>
      <c r="AX33" s="3">
        <f t="shared" si="4"/>
        <v>0</v>
      </c>
      <c r="AY33" s="3">
        <f t="shared" si="5"/>
        <v>1</v>
      </c>
      <c r="AZ33" s="3">
        <f t="shared" si="6"/>
        <v>0</v>
      </c>
      <c r="BA33" s="3">
        <f t="shared" si="7"/>
        <v>0</v>
      </c>
      <c r="BB33" s="3">
        <f t="shared" si="8"/>
        <v>0</v>
      </c>
      <c r="BC33" s="3">
        <f t="shared" si="9"/>
        <v>0</v>
      </c>
      <c r="BD33" s="3">
        <f t="shared" si="10"/>
        <v>0</v>
      </c>
      <c r="BE33" s="3">
        <f t="shared" si="11"/>
        <v>0</v>
      </c>
      <c r="BF33" s="3">
        <f t="shared" si="12"/>
        <v>0</v>
      </c>
      <c r="BG33" s="3">
        <f t="shared" si="13"/>
        <v>0</v>
      </c>
      <c r="BH33" s="3">
        <f t="shared" si="14"/>
        <v>0</v>
      </c>
      <c r="BI33" s="3">
        <f t="shared" si="15"/>
        <v>3</v>
      </c>
    </row>
    <row r="34" spans="1:61" x14ac:dyDescent="0.25">
      <c r="A34" s="29">
        <v>32</v>
      </c>
      <c r="B34" s="3" t="s">
        <v>223</v>
      </c>
      <c r="C34" s="13" t="s">
        <v>206</v>
      </c>
      <c r="D34" s="13" t="s">
        <v>224</v>
      </c>
      <c r="E34" s="13" t="s">
        <v>225</v>
      </c>
      <c r="F34" s="18" t="s">
        <v>1546</v>
      </c>
      <c r="G34" s="18">
        <v>45710</v>
      </c>
      <c r="H34" s="18" t="s">
        <v>35</v>
      </c>
      <c r="I34" s="13" t="s">
        <v>23</v>
      </c>
      <c r="J34" s="13" t="s">
        <v>24</v>
      </c>
      <c r="K34" s="13" t="s">
        <v>1420</v>
      </c>
      <c r="L34" s="13" t="s">
        <v>150</v>
      </c>
      <c r="M34" s="13" t="s">
        <v>1621</v>
      </c>
      <c r="N34" s="4" t="s">
        <v>227</v>
      </c>
      <c r="O34" s="4" t="s">
        <v>28</v>
      </c>
      <c r="P34" s="1" t="s">
        <v>5</v>
      </c>
      <c r="Q34" s="1" t="s">
        <v>39</v>
      </c>
      <c r="R34" s="1" t="s">
        <v>39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3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3">
        <f t="shared" si="0"/>
        <v>2</v>
      </c>
      <c r="AU34" s="3">
        <f t="shared" si="1"/>
        <v>0</v>
      </c>
      <c r="AV34" s="3">
        <f t="shared" si="2"/>
        <v>0</v>
      </c>
      <c r="AW34" s="3">
        <f t="shared" si="3"/>
        <v>0</v>
      </c>
      <c r="AX34" s="3">
        <f t="shared" si="4"/>
        <v>0</v>
      </c>
      <c r="AY34" s="3">
        <f t="shared" si="5"/>
        <v>1</v>
      </c>
      <c r="AZ34" s="3">
        <f t="shared" si="6"/>
        <v>0</v>
      </c>
      <c r="BA34" s="3">
        <f t="shared" si="7"/>
        <v>0</v>
      </c>
      <c r="BB34" s="3">
        <f t="shared" si="8"/>
        <v>0</v>
      </c>
      <c r="BC34" s="3">
        <f t="shared" si="9"/>
        <v>0</v>
      </c>
      <c r="BD34" s="3">
        <f t="shared" si="10"/>
        <v>0</v>
      </c>
      <c r="BE34" s="3">
        <f t="shared" si="11"/>
        <v>0</v>
      </c>
      <c r="BF34" s="3">
        <f t="shared" si="12"/>
        <v>0</v>
      </c>
      <c r="BG34" s="3">
        <f t="shared" si="13"/>
        <v>0</v>
      </c>
      <c r="BH34" s="3">
        <f t="shared" si="14"/>
        <v>0</v>
      </c>
      <c r="BI34" s="3">
        <f t="shared" si="15"/>
        <v>3</v>
      </c>
    </row>
    <row r="35" spans="1:61" x14ac:dyDescent="0.25">
      <c r="A35" s="29">
        <v>25</v>
      </c>
      <c r="B35" s="3" t="s">
        <v>601</v>
      </c>
      <c r="C35" s="13" t="s">
        <v>602</v>
      </c>
      <c r="D35" s="13" t="s">
        <v>498</v>
      </c>
      <c r="E35" s="13" t="s">
        <v>603</v>
      </c>
      <c r="F35" s="18" t="s">
        <v>1549</v>
      </c>
      <c r="G35" s="18">
        <v>45710</v>
      </c>
      <c r="H35" s="18" t="s">
        <v>35</v>
      </c>
      <c r="I35" s="13" t="s">
        <v>23</v>
      </c>
      <c r="J35" s="13" t="s">
        <v>24</v>
      </c>
      <c r="K35" s="13" t="s">
        <v>36</v>
      </c>
      <c r="L35" s="13" t="s">
        <v>37</v>
      </c>
      <c r="M35" s="13" t="s">
        <v>1621</v>
      </c>
      <c r="N35" s="4" t="s">
        <v>604</v>
      </c>
      <c r="O35" s="4" t="s">
        <v>28</v>
      </c>
      <c r="P35" s="1" t="s">
        <v>5</v>
      </c>
      <c r="Q35" s="1" t="s">
        <v>29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3">
        <f t="shared" si="0"/>
        <v>0</v>
      </c>
      <c r="AU35" s="3">
        <f t="shared" si="1"/>
        <v>1</v>
      </c>
      <c r="AV35" s="3">
        <f t="shared" si="2"/>
        <v>0</v>
      </c>
      <c r="AW35" s="3">
        <f t="shared" si="3"/>
        <v>0</v>
      </c>
      <c r="AX35" s="3">
        <f t="shared" si="4"/>
        <v>0</v>
      </c>
      <c r="AY35" s="3">
        <f t="shared" si="5"/>
        <v>1</v>
      </c>
      <c r="AZ35" s="3">
        <f t="shared" si="6"/>
        <v>0</v>
      </c>
      <c r="BA35" s="3">
        <f t="shared" si="7"/>
        <v>0</v>
      </c>
      <c r="BB35" s="3">
        <f t="shared" si="8"/>
        <v>0</v>
      </c>
      <c r="BC35" s="3">
        <f t="shared" si="9"/>
        <v>0</v>
      </c>
      <c r="BD35" s="3">
        <f t="shared" si="10"/>
        <v>0</v>
      </c>
      <c r="BE35" s="3">
        <f t="shared" si="11"/>
        <v>0</v>
      </c>
      <c r="BF35" s="3">
        <f t="shared" si="12"/>
        <v>0</v>
      </c>
      <c r="BG35" s="3">
        <f t="shared" si="13"/>
        <v>0</v>
      </c>
      <c r="BH35" s="3">
        <f t="shared" si="14"/>
        <v>0</v>
      </c>
      <c r="BI35" s="3">
        <f t="shared" si="15"/>
        <v>2</v>
      </c>
    </row>
    <row r="36" spans="1:61" x14ac:dyDescent="0.25">
      <c r="A36" s="29">
        <v>26</v>
      </c>
      <c r="B36" s="3" t="s">
        <v>1006</v>
      </c>
      <c r="C36" s="13" t="s">
        <v>343</v>
      </c>
      <c r="D36" s="13" t="s">
        <v>319</v>
      </c>
      <c r="E36" s="13" t="s">
        <v>1007</v>
      </c>
      <c r="F36" s="18" t="s">
        <v>215</v>
      </c>
      <c r="G36" s="18">
        <v>45710</v>
      </c>
      <c r="H36" s="18" t="s">
        <v>35</v>
      </c>
      <c r="I36" s="13" t="s">
        <v>23</v>
      </c>
      <c r="J36" s="13" t="s">
        <v>24</v>
      </c>
      <c r="K36" s="13" t="s">
        <v>36</v>
      </c>
      <c r="L36" s="13" t="s">
        <v>37</v>
      </c>
      <c r="M36" s="13" t="s">
        <v>1621</v>
      </c>
      <c r="N36" s="4" t="s">
        <v>1008</v>
      </c>
      <c r="O36" s="4" t="s">
        <v>28</v>
      </c>
      <c r="P36" s="1" t="s">
        <v>5</v>
      </c>
      <c r="Q36" s="1" t="s">
        <v>29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3">
        <f t="shared" si="0"/>
        <v>0</v>
      </c>
      <c r="AU36" s="3">
        <f t="shared" si="1"/>
        <v>1</v>
      </c>
      <c r="AV36" s="3">
        <f t="shared" si="2"/>
        <v>0</v>
      </c>
      <c r="AW36" s="3">
        <f t="shared" si="3"/>
        <v>0</v>
      </c>
      <c r="AX36" s="3">
        <f t="shared" si="4"/>
        <v>0</v>
      </c>
      <c r="AY36" s="3">
        <f t="shared" si="5"/>
        <v>1</v>
      </c>
      <c r="AZ36" s="3">
        <f t="shared" si="6"/>
        <v>0</v>
      </c>
      <c r="BA36" s="3">
        <f t="shared" si="7"/>
        <v>0</v>
      </c>
      <c r="BB36" s="3">
        <f t="shared" si="8"/>
        <v>0</v>
      </c>
      <c r="BC36" s="3">
        <f t="shared" si="9"/>
        <v>0</v>
      </c>
      <c r="BD36" s="3">
        <f t="shared" si="10"/>
        <v>0</v>
      </c>
      <c r="BE36" s="3">
        <f t="shared" si="11"/>
        <v>0</v>
      </c>
      <c r="BF36" s="3">
        <f t="shared" si="12"/>
        <v>0</v>
      </c>
      <c r="BG36" s="3">
        <f t="shared" si="13"/>
        <v>0</v>
      </c>
      <c r="BH36" s="3">
        <f t="shared" si="14"/>
        <v>0</v>
      </c>
      <c r="BI36" s="3">
        <f t="shared" si="15"/>
        <v>2</v>
      </c>
    </row>
    <row r="37" spans="1:61" x14ac:dyDescent="0.25">
      <c r="A37" s="29">
        <v>29</v>
      </c>
      <c r="B37" s="3" t="s">
        <v>1141</v>
      </c>
      <c r="C37" s="13" t="s">
        <v>157</v>
      </c>
      <c r="D37" s="13" t="s">
        <v>775</v>
      </c>
      <c r="E37" s="13" t="s">
        <v>1142</v>
      </c>
      <c r="F37" s="18" t="s">
        <v>163</v>
      </c>
      <c r="G37" s="18">
        <v>45710</v>
      </c>
      <c r="H37" s="18" t="s">
        <v>35</v>
      </c>
      <c r="I37" s="13" t="s">
        <v>23</v>
      </c>
      <c r="J37" s="13" t="s">
        <v>24</v>
      </c>
      <c r="K37" s="13" t="s">
        <v>36</v>
      </c>
      <c r="L37" s="13" t="s">
        <v>37</v>
      </c>
      <c r="M37" s="13" t="s">
        <v>1621</v>
      </c>
      <c r="N37" s="4" t="s">
        <v>1143</v>
      </c>
      <c r="O37" s="4" t="s">
        <v>28</v>
      </c>
      <c r="P37" s="1" t="s">
        <v>5</v>
      </c>
      <c r="Q37" s="1" t="s">
        <v>29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3">
        <f t="shared" si="0"/>
        <v>0</v>
      </c>
      <c r="AU37" s="3">
        <f t="shared" si="1"/>
        <v>1</v>
      </c>
      <c r="AV37" s="3">
        <f t="shared" si="2"/>
        <v>0</v>
      </c>
      <c r="AW37" s="3">
        <f t="shared" si="3"/>
        <v>0</v>
      </c>
      <c r="AX37" s="3">
        <f t="shared" si="4"/>
        <v>0</v>
      </c>
      <c r="AY37" s="3">
        <f t="shared" si="5"/>
        <v>1</v>
      </c>
      <c r="AZ37" s="3">
        <f t="shared" si="6"/>
        <v>0</v>
      </c>
      <c r="BA37" s="3">
        <f t="shared" si="7"/>
        <v>0</v>
      </c>
      <c r="BB37" s="3">
        <f t="shared" si="8"/>
        <v>0</v>
      </c>
      <c r="BC37" s="3">
        <f t="shared" si="9"/>
        <v>0</v>
      </c>
      <c r="BD37" s="3">
        <f t="shared" si="10"/>
        <v>0</v>
      </c>
      <c r="BE37" s="3">
        <f t="shared" si="11"/>
        <v>0</v>
      </c>
      <c r="BF37" s="3">
        <f t="shared" si="12"/>
        <v>0</v>
      </c>
      <c r="BG37" s="3">
        <f t="shared" si="13"/>
        <v>0</v>
      </c>
      <c r="BH37" s="3">
        <f t="shared" si="14"/>
        <v>0</v>
      </c>
      <c r="BI37" s="3">
        <f t="shared" si="15"/>
        <v>2</v>
      </c>
    </row>
    <row r="38" spans="1:61" x14ac:dyDescent="0.25">
      <c r="A38" s="29">
        <v>31</v>
      </c>
      <c r="B38" s="13" t="s">
        <v>326</v>
      </c>
      <c r="C38" s="13" t="s">
        <v>327</v>
      </c>
      <c r="D38" s="13" t="s">
        <v>327</v>
      </c>
      <c r="E38" s="13" t="s">
        <v>328</v>
      </c>
      <c r="F38" s="18" t="s">
        <v>1525</v>
      </c>
      <c r="G38" s="18">
        <v>45710</v>
      </c>
      <c r="H38" s="18" t="s">
        <v>35</v>
      </c>
      <c r="I38" s="13" t="s">
        <v>23</v>
      </c>
      <c r="J38" s="13" t="s">
        <v>24</v>
      </c>
      <c r="K38" s="13" t="s">
        <v>36</v>
      </c>
      <c r="L38" s="13" t="s">
        <v>37</v>
      </c>
      <c r="M38" s="13" t="s">
        <v>1621</v>
      </c>
      <c r="N38" s="4" t="s">
        <v>329</v>
      </c>
      <c r="O38" s="4" t="s">
        <v>28</v>
      </c>
      <c r="P38" s="1" t="s">
        <v>5</v>
      </c>
      <c r="Q38" s="1" t="s">
        <v>29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3">
        <f t="shared" si="0"/>
        <v>0</v>
      </c>
      <c r="AU38" s="3">
        <f t="shared" si="1"/>
        <v>1</v>
      </c>
      <c r="AV38" s="3">
        <f t="shared" si="2"/>
        <v>0</v>
      </c>
      <c r="AW38" s="3">
        <f t="shared" si="3"/>
        <v>0</v>
      </c>
      <c r="AX38" s="3">
        <f t="shared" si="4"/>
        <v>0</v>
      </c>
      <c r="AY38" s="3">
        <f t="shared" si="5"/>
        <v>1</v>
      </c>
      <c r="AZ38" s="3">
        <f t="shared" si="6"/>
        <v>0</v>
      </c>
      <c r="BA38" s="3">
        <f t="shared" si="7"/>
        <v>0</v>
      </c>
      <c r="BB38" s="3">
        <f t="shared" si="8"/>
        <v>0</v>
      </c>
      <c r="BC38" s="3">
        <f t="shared" si="9"/>
        <v>0</v>
      </c>
      <c r="BD38" s="3">
        <f t="shared" si="10"/>
        <v>0</v>
      </c>
      <c r="BE38" s="3">
        <f t="shared" si="11"/>
        <v>0</v>
      </c>
      <c r="BF38" s="3">
        <f t="shared" si="12"/>
        <v>0</v>
      </c>
      <c r="BG38" s="3">
        <f t="shared" si="13"/>
        <v>0</v>
      </c>
      <c r="BH38" s="3">
        <f t="shared" si="14"/>
        <v>0</v>
      </c>
      <c r="BI38" s="3">
        <f t="shared" si="15"/>
        <v>2</v>
      </c>
    </row>
    <row r="39" spans="1:61" x14ac:dyDescent="0.25">
      <c r="A39" s="29">
        <v>33</v>
      </c>
      <c r="B39" s="3" t="s">
        <v>1018</v>
      </c>
      <c r="C39" s="13" t="s">
        <v>1019</v>
      </c>
      <c r="D39" s="13" t="s">
        <v>1020</v>
      </c>
      <c r="E39" s="13" t="s">
        <v>1021</v>
      </c>
      <c r="F39" s="18" t="s">
        <v>1530</v>
      </c>
      <c r="G39" s="18">
        <v>45710</v>
      </c>
      <c r="H39" s="18" t="s">
        <v>35</v>
      </c>
      <c r="I39" s="13" t="s">
        <v>23</v>
      </c>
      <c r="J39" s="13" t="s">
        <v>24</v>
      </c>
      <c r="K39" s="13" t="s">
        <v>36</v>
      </c>
      <c r="L39" s="13" t="s">
        <v>37</v>
      </c>
      <c r="M39" s="13" t="s">
        <v>1621</v>
      </c>
      <c r="N39" s="4" t="s">
        <v>1022</v>
      </c>
      <c r="O39" s="4" t="s">
        <v>28</v>
      </c>
      <c r="P39" s="1" t="s">
        <v>5</v>
      </c>
      <c r="Q39" s="1" t="s">
        <v>29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3">
        <f t="shared" si="0"/>
        <v>0</v>
      </c>
      <c r="AU39" s="3">
        <f t="shared" si="1"/>
        <v>1</v>
      </c>
      <c r="AV39" s="3">
        <f t="shared" si="2"/>
        <v>0</v>
      </c>
      <c r="AW39" s="3">
        <f t="shared" si="3"/>
        <v>0</v>
      </c>
      <c r="AX39" s="3">
        <f t="shared" si="4"/>
        <v>0</v>
      </c>
      <c r="AY39" s="3">
        <f t="shared" si="5"/>
        <v>1</v>
      </c>
      <c r="AZ39" s="3">
        <f t="shared" si="6"/>
        <v>0</v>
      </c>
      <c r="BA39" s="3">
        <f t="shared" si="7"/>
        <v>0</v>
      </c>
      <c r="BB39" s="3">
        <f t="shared" si="8"/>
        <v>0</v>
      </c>
      <c r="BC39" s="3">
        <f t="shared" si="9"/>
        <v>0</v>
      </c>
      <c r="BD39" s="3">
        <f t="shared" si="10"/>
        <v>0</v>
      </c>
      <c r="BE39" s="3">
        <f t="shared" si="11"/>
        <v>0</v>
      </c>
      <c r="BF39" s="3">
        <f t="shared" si="12"/>
        <v>0</v>
      </c>
      <c r="BG39" s="3">
        <f t="shared" si="13"/>
        <v>0</v>
      </c>
      <c r="BH39" s="3">
        <f t="shared" si="14"/>
        <v>0</v>
      </c>
      <c r="BI39" s="3">
        <f t="shared" si="15"/>
        <v>2</v>
      </c>
    </row>
    <row r="40" spans="1:61" x14ac:dyDescent="0.25">
      <c r="A40" s="29">
        <v>34</v>
      </c>
      <c r="B40" s="3" t="s">
        <v>1155</v>
      </c>
      <c r="C40" s="13" t="s">
        <v>1156</v>
      </c>
      <c r="D40" s="13" t="s">
        <v>449</v>
      </c>
      <c r="E40" s="13" t="s">
        <v>1157</v>
      </c>
      <c r="F40" s="18" t="s">
        <v>1522</v>
      </c>
      <c r="G40" s="18">
        <v>45710</v>
      </c>
      <c r="H40" s="18" t="s">
        <v>35</v>
      </c>
      <c r="I40" s="13" t="s">
        <v>23</v>
      </c>
      <c r="J40" s="13" t="s">
        <v>24</v>
      </c>
      <c r="K40" s="13" t="s">
        <v>36</v>
      </c>
      <c r="L40" s="13" t="s">
        <v>37</v>
      </c>
      <c r="M40" s="13" t="s">
        <v>1621</v>
      </c>
      <c r="N40" s="4" t="s">
        <v>1158</v>
      </c>
      <c r="O40" s="4" t="s">
        <v>28</v>
      </c>
      <c r="P40" s="1" t="s">
        <v>5</v>
      </c>
      <c r="Q40" s="1" t="s">
        <v>29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3">
        <f t="shared" si="0"/>
        <v>0</v>
      </c>
      <c r="AU40" s="3">
        <f t="shared" si="1"/>
        <v>1</v>
      </c>
      <c r="AV40" s="3">
        <f t="shared" si="2"/>
        <v>0</v>
      </c>
      <c r="AW40" s="3">
        <f t="shared" si="3"/>
        <v>0</v>
      </c>
      <c r="AX40" s="3">
        <f t="shared" si="4"/>
        <v>0</v>
      </c>
      <c r="AY40" s="3">
        <f t="shared" si="5"/>
        <v>1</v>
      </c>
      <c r="AZ40" s="3">
        <f t="shared" si="6"/>
        <v>0</v>
      </c>
      <c r="BA40" s="3">
        <f t="shared" si="7"/>
        <v>0</v>
      </c>
      <c r="BB40" s="3">
        <f t="shared" si="8"/>
        <v>0</v>
      </c>
      <c r="BC40" s="3">
        <f t="shared" si="9"/>
        <v>0</v>
      </c>
      <c r="BD40" s="3">
        <f t="shared" si="10"/>
        <v>0</v>
      </c>
      <c r="BE40" s="3">
        <f t="shared" si="11"/>
        <v>0</v>
      </c>
      <c r="BF40" s="3">
        <f t="shared" si="12"/>
        <v>0</v>
      </c>
      <c r="BG40" s="3">
        <f t="shared" si="13"/>
        <v>0</v>
      </c>
      <c r="BH40" s="3">
        <f t="shared" si="14"/>
        <v>0</v>
      </c>
      <c r="BI40" s="3">
        <f t="shared" si="15"/>
        <v>2</v>
      </c>
    </row>
    <row r="41" spans="1:61" x14ac:dyDescent="0.25">
      <c r="A41" s="29">
        <v>35</v>
      </c>
      <c r="B41" s="3" t="s">
        <v>351</v>
      </c>
      <c r="C41" s="13" t="s">
        <v>110</v>
      </c>
      <c r="D41" s="13" t="s">
        <v>352</v>
      </c>
      <c r="E41" s="13" t="s">
        <v>353</v>
      </c>
      <c r="F41" s="22" t="s">
        <v>1533</v>
      </c>
      <c r="G41" s="25">
        <v>45712</v>
      </c>
      <c r="H41" s="25" t="s">
        <v>35</v>
      </c>
      <c r="I41" s="22" t="s">
        <v>131</v>
      </c>
      <c r="J41" s="22" t="s">
        <v>1567</v>
      </c>
      <c r="K41" s="13" t="s">
        <v>84</v>
      </c>
      <c r="L41" s="13" t="s">
        <v>220</v>
      </c>
      <c r="M41" s="13" t="s">
        <v>1621</v>
      </c>
      <c r="N41" s="4" t="s">
        <v>354</v>
      </c>
      <c r="O41" s="4" t="s">
        <v>221</v>
      </c>
      <c r="P41" s="1" t="s">
        <v>39</v>
      </c>
      <c r="Q41" s="1" t="s">
        <v>39</v>
      </c>
      <c r="R41" s="1" t="s">
        <v>5</v>
      </c>
      <c r="S41" s="1" t="s">
        <v>5</v>
      </c>
      <c r="T41" s="1" t="s">
        <v>5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3">
        <f t="shared" si="0"/>
        <v>2</v>
      </c>
      <c r="AU41" s="3">
        <f t="shared" si="1"/>
        <v>0</v>
      </c>
      <c r="AV41" s="3">
        <f t="shared" si="2"/>
        <v>0</v>
      </c>
      <c r="AW41" s="3">
        <f t="shared" si="3"/>
        <v>0</v>
      </c>
      <c r="AX41" s="3">
        <f t="shared" si="4"/>
        <v>0</v>
      </c>
      <c r="AY41" s="3">
        <f t="shared" si="5"/>
        <v>3</v>
      </c>
      <c r="AZ41" s="3">
        <f t="shared" si="6"/>
        <v>0</v>
      </c>
      <c r="BA41" s="3">
        <f t="shared" si="7"/>
        <v>0</v>
      </c>
      <c r="BB41" s="3">
        <f t="shared" si="8"/>
        <v>0</v>
      </c>
      <c r="BC41" s="3">
        <f t="shared" si="9"/>
        <v>0</v>
      </c>
      <c r="BD41" s="3">
        <f t="shared" si="10"/>
        <v>0</v>
      </c>
      <c r="BE41" s="3">
        <f t="shared" si="11"/>
        <v>0</v>
      </c>
      <c r="BF41" s="3">
        <f t="shared" si="12"/>
        <v>0</v>
      </c>
      <c r="BG41" s="3">
        <f t="shared" si="13"/>
        <v>0</v>
      </c>
      <c r="BH41" s="3">
        <f t="shared" si="14"/>
        <v>0</v>
      </c>
      <c r="BI41" s="3">
        <f t="shared" si="15"/>
        <v>5</v>
      </c>
    </row>
    <row r="42" spans="1:61" x14ac:dyDescent="0.25">
      <c r="A42" s="29">
        <v>36</v>
      </c>
      <c r="B42" s="3" t="s">
        <v>820</v>
      </c>
      <c r="C42" s="13" t="s">
        <v>821</v>
      </c>
      <c r="D42" s="13" t="s">
        <v>469</v>
      </c>
      <c r="E42" s="13" t="s">
        <v>822</v>
      </c>
      <c r="F42" s="22" t="s">
        <v>1554</v>
      </c>
      <c r="G42" s="25">
        <v>45712</v>
      </c>
      <c r="H42" s="25" t="s">
        <v>35</v>
      </c>
      <c r="I42" s="22" t="s">
        <v>23</v>
      </c>
      <c r="J42" s="22" t="s">
        <v>24</v>
      </c>
      <c r="K42" s="13" t="s">
        <v>84</v>
      </c>
      <c r="L42" s="13" t="s">
        <v>372</v>
      </c>
      <c r="M42" s="13" t="s">
        <v>1621</v>
      </c>
      <c r="N42" s="4" t="s">
        <v>823</v>
      </c>
      <c r="O42" s="4" t="s">
        <v>84</v>
      </c>
      <c r="P42" s="1" t="s">
        <v>92</v>
      </c>
      <c r="Q42" s="1" t="s">
        <v>92</v>
      </c>
      <c r="R42" s="1" t="s">
        <v>92</v>
      </c>
      <c r="S42" s="1" t="s">
        <v>92</v>
      </c>
      <c r="T42" s="1" t="s">
        <v>92</v>
      </c>
      <c r="U42" s="1" t="s">
        <v>92</v>
      </c>
      <c r="V42" s="1" t="s">
        <v>92</v>
      </c>
      <c r="W42" s="1" t="s">
        <v>92</v>
      </c>
      <c r="X42" s="1" t="s">
        <v>92</v>
      </c>
      <c r="Y42" s="1" t="s">
        <v>92</v>
      </c>
      <c r="Z42" s="1" t="s">
        <v>92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3">
        <f t="shared" si="0"/>
        <v>0</v>
      </c>
      <c r="AU42" s="3">
        <f t="shared" si="1"/>
        <v>0</v>
      </c>
      <c r="AV42" s="3">
        <f t="shared" si="2"/>
        <v>0</v>
      </c>
      <c r="AW42" s="3">
        <f t="shared" si="3"/>
        <v>0</v>
      </c>
      <c r="AX42" s="3">
        <f t="shared" si="4"/>
        <v>0</v>
      </c>
      <c r="AY42" s="3">
        <f t="shared" si="5"/>
        <v>0</v>
      </c>
      <c r="AZ42" s="3">
        <f t="shared" si="6"/>
        <v>0</v>
      </c>
      <c r="BA42" s="3">
        <f t="shared" si="7"/>
        <v>11</v>
      </c>
      <c r="BB42" s="3">
        <f t="shared" si="8"/>
        <v>0</v>
      </c>
      <c r="BC42" s="3">
        <f t="shared" si="9"/>
        <v>0</v>
      </c>
      <c r="BD42" s="3">
        <f t="shared" si="10"/>
        <v>0</v>
      </c>
      <c r="BE42" s="3">
        <f t="shared" si="11"/>
        <v>0</v>
      </c>
      <c r="BF42" s="3">
        <f t="shared" si="12"/>
        <v>0</v>
      </c>
      <c r="BG42" s="3">
        <f t="shared" si="13"/>
        <v>0</v>
      </c>
      <c r="BH42" s="3">
        <f t="shared" si="14"/>
        <v>0</v>
      </c>
      <c r="BI42" s="3">
        <f t="shared" si="15"/>
        <v>0</v>
      </c>
    </row>
    <row r="43" spans="1:61" x14ac:dyDescent="0.25">
      <c r="A43" s="29">
        <v>37</v>
      </c>
      <c r="B43" s="3" t="s">
        <v>285</v>
      </c>
      <c r="C43" s="13" t="s">
        <v>286</v>
      </c>
      <c r="D43" s="13" t="s">
        <v>287</v>
      </c>
      <c r="E43" s="13" t="s">
        <v>288</v>
      </c>
      <c r="F43" s="18" t="s">
        <v>73</v>
      </c>
      <c r="G43" s="18">
        <v>45715</v>
      </c>
      <c r="H43" s="18" t="s">
        <v>35</v>
      </c>
      <c r="I43" s="13" t="s">
        <v>23</v>
      </c>
      <c r="J43" s="13" t="s">
        <v>24</v>
      </c>
      <c r="K43" s="13" t="s">
        <v>56</v>
      </c>
      <c r="L43" s="13" t="s">
        <v>57</v>
      </c>
      <c r="M43" s="13" t="s">
        <v>1621</v>
      </c>
      <c r="N43" s="4" t="s">
        <v>289</v>
      </c>
      <c r="O43" s="4" t="s">
        <v>28</v>
      </c>
      <c r="P43" s="1" t="s">
        <v>39</v>
      </c>
      <c r="Q43" s="1" t="s">
        <v>5</v>
      </c>
      <c r="R43" s="1" t="s">
        <v>5</v>
      </c>
      <c r="S43" s="1" t="s">
        <v>5</v>
      </c>
      <c r="T43" s="1" t="s">
        <v>5</v>
      </c>
      <c r="U43" s="1" t="s">
        <v>5</v>
      </c>
      <c r="V43" s="1" t="s">
        <v>5</v>
      </c>
      <c r="W43" s="1" t="s">
        <v>5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3">
        <f t="shared" si="0"/>
        <v>1</v>
      </c>
      <c r="AU43" s="3">
        <f t="shared" si="1"/>
        <v>0</v>
      </c>
      <c r="AV43" s="3">
        <f t="shared" si="2"/>
        <v>0</v>
      </c>
      <c r="AW43" s="3">
        <f t="shared" si="3"/>
        <v>0</v>
      </c>
      <c r="AX43" s="3">
        <f t="shared" si="4"/>
        <v>0</v>
      </c>
      <c r="AY43" s="3">
        <f t="shared" si="5"/>
        <v>7</v>
      </c>
      <c r="AZ43" s="3">
        <f t="shared" si="6"/>
        <v>0</v>
      </c>
      <c r="BA43" s="3">
        <f t="shared" si="7"/>
        <v>0</v>
      </c>
      <c r="BB43" s="3">
        <f t="shared" si="8"/>
        <v>0</v>
      </c>
      <c r="BC43" s="3">
        <f t="shared" si="9"/>
        <v>0</v>
      </c>
      <c r="BD43" s="3">
        <f t="shared" si="10"/>
        <v>0</v>
      </c>
      <c r="BE43" s="3">
        <f t="shared" si="11"/>
        <v>0</v>
      </c>
      <c r="BF43" s="3">
        <f t="shared" si="12"/>
        <v>0</v>
      </c>
      <c r="BG43" s="3">
        <f t="shared" si="13"/>
        <v>0</v>
      </c>
      <c r="BH43" s="3">
        <f t="shared" si="14"/>
        <v>0</v>
      </c>
      <c r="BI43" s="3">
        <f t="shared" si="15"/>
        <v>8</v>
      </c>
    </row>
    <row r="44" spans="1:61" x14ac:dyDescent="0.25">
      <c r="A44" s="29">
        <v>38</v>
      </c>
      <c r="B44" s="3" t="s">
        <v>104</v>
      </c>
      <c r="C44" s="13" t="s">
        <v>105</v>
      </c>
      <c r="D44" s="13" t="s">
        <v>106</v>
      </c>
      <c r="E44" s="13" t="s">
        <v>107</v>
      </c>
      <c r="F44" s="18" t="s">
        <v>1525</v>
      </c>
      <c r="G44" s="18">
        <v>45715</v>
      </c>
      <c r="H44" s="18" t="s">
        <v>35</v>
      </c>
      <c r="I44" s="13" t="s">
        <v>23</v>
      </c>
      <c r="J44" s="13" t="s">
        <v>24</v>
      </c>
      <c r="K44" s="13" t="s">
        <v>56</v>
      </c>
      <c r="L44" s="13" t="s">
        <v>57</v>
      </c>
      <c r="M44" s="13" t="s">
        <v>1621</v>
      </c>
      <c r="N44" s="4" t="s">
        <v>108</v>
      </c>
      <c r="O44" s="4" t="s">
        <v>28</v>
      </c>
      <c r="P44" s="1" t="s">
        <v>39</v>
      </c>
      <c r="Q44" s="1" t="s">
        <v>5</v>
      </c>
      <c r="R44" s="1" t="s">
        <v>5</v>
      </c>
      <c r="S44" s="1" t="s">
        <v>5</v>
      </c>
      <c r="T44" s="1" t="s">
        <v>5</v>
      </c>
      <c r="U44" s="1" t="s">
        <v>5</v>
      </c>
      <c r="V44" s="1" t="s">
        <v>5</v>
      </c>
      <c r="W44" s="1" t="s">
        <v>5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3">
        <f t="shared" si="0"/>
        <v>1</v>
      </c>
      <c r="AU44" s="3">
        <f t="shared" si="1"/>
        <v>0</v>
      </c>
      <c r="AV44" s="3">
        <f t="shared" si="2"/>
        <v>0</v>
      </c>
      <c r="AW44" s="3">
        <f t="shared" si="3"/>
        <v>0</v>
      </c>
      <c r="AX44" s="3">
        <f t="shared" si="4"/>
        <v>0</v>
      </c>
      <c r="AY44" s="3">
        <f t="shared" si="5"/>
        <v>7</v>
      </c>
      <c r="AZ44" s="3">
        <f t="shared" si="6"/>
        <v>0</v>
      </c>
      <c r="BA44" s="3">
        <f t="shared" si="7"/>
        <v>0</v>
      </c>
      <c r="BB44" s="3">
        <f t="shared" si="8"/>
        <v>0</v>
      </c>
      <c r="BC44" s="3">
        <f t="shared" si="9"/>
        <v>0</v>
      </c>
      <c r="BD44" s="3">
        <f t="shared" si="10"/>
        <v>0</v>
      </c>
      <c r="BE44" s="3">
        <f t="shared" si="11"/>
        <v>0</v>
      </c>
      <c r="BF44" s="3">
        <f t="shared" si="12"/>
        <v>0</v>
      </c>
      <c r="BG44" s="3">
        <f t="shared" si="13"/>
        <v>0</v>
      </c>
      <c r="BH44" s="3">
        <f t="shared" si="14"/>
        <v>0</v>
      </c>
      <c r="BI44" s="3">
        <f t="shared" si="15"/>
        <v>8</v>
      </c>
    </row>
    <row r="45" spans="1:61" x14ac:dyDescent="0.25">
      <c r="A45" s="29">
        <v>40</v>
      </c>
      <c r="B45" s="3" t="s">
        <v>1110</v>
      </c>
      <c r="C45" s="13" t="s">
        <v>733</v>
      </c>
      <c r="D45" s="13" t="s">
        <v>1111</v>
      </c>
      <c r="E45" s="13" t="s">
        <v>1112</v>
      </c>
      <c r="F45" s="18" t="s">
        <v>1525</v>
      </c>
      <c r="G45" s="18">
        <v>45715</v>
      </c>
      <c r="H45" s="18" t="s">
        <v>35</v>
      </c>
      <c r="I45" s="13" t="s">
        <v>23</v>
      </c>
      <c r="J45" s="13" t="s">
        <v>24</v>
      </c>
      <c r="K45" s="13" t="s">
        <v>43</v>
      </c>
      <c r="L45" s="13" t="s">
        <v>44</v>
      </c>
      <c r="M45" s="13" t="s">
        <v>1621</v>
      </c>
      <c r="N45" s="4" t="s">
        <v>1113</v>
      </c>
      <c r="O45" s="4" t="s">
        <v>28</v>
      </c>
      <c r="P45" s="1" t="s">
        <v>29</v>
      </c>
      <c r="Q45" s="1" t="s">
        <v>5</v>
      </c>
      <c r="R45" s="1" t="s">
        <v>5</v>
      </c>
      <c r="S45" s="1" t="s">
        <v>5</v>
      </c>
      <c r="T45" s="1" t="s">
        <v>5</v>
      </c>
      <c r="U45" s="1" t="s">
        <v>5</v>
      </c>
      <c r="V45" s="1" t="s">
        <v>5</v>
      </c>
      <c r="W45" s="1" t="s">
        <v>5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3">
        <f t="shared" si="0"/>
        <v>0</v>
      </c>
      <c r="AU45" s="3">
        <f t="shared" si="1"/>
        <v>1</v>
      </c>
      <c r="AV45" s="3">
        <f t="shared" si="2"/>
        <v>0</v>
      </c>
      <c r="AW45" s="3">
        <f t="shared" si="3"/>
        <v>0</v>
      </c>
      <c r="AX45" s="3">
        <f t="shared" si="4"/>
        <v>0</v>
      </c>
      <c r="AY45" s="3">
        <f t="shared" si="5"/>
        <v>7</v>
      </c>
      <c r="AZ45" s="3">
        <f t="shared" si="6"/>
        <v>0</v>
      </c>
      <c r="BA45" s="3">
        <f t="shared" si="7"/>
        <v>0</v>
      </c>
      <c r="BB45" s="3">
        <f t="shared" si="8"/>
        <v>0</v>
      </c>
      <c r="BC45" s="3">
        <f t="shared" si="9"/>
        <v>0</v>
      </c>
      <c r="BD45" s="3">
        <f t="shared" si="10"/>
        <v>0</v>
      </c>
      <c r="BE45" s="3">
        <f t="shared" si="11"/>
        <v>0</v>
      </c>
      <c r="BF45" s="3">
        <f t="shared" si="12"/>
        <v>0</v>
      </c>
      <c r="BG45" s="3">
        <f t="shared" si="13"/>
        <v>0</v>
      </c>
      <c r="BH45" s="3">
        <f t="shared" si="14"/>
        <v>0</v>
      </c>
      <c r="BI45" s="3">
        <f t="shared" si="15"/>
        <v>8</v>
      </c>
    </row>
    <row r="46" spans="1:61" x14ac:dyDescent="0.25">
      <c r="A46" s="29">
        <v>41</v>
      </c>
      <c r="B46" s="3" t="s">
        <v>622</v>
      </c>
      <c r="C46" s="13" t="s">
        <v>135</v>
      </c>
      <c r="D46" s="13" t="s">
        <v>623</v>
      </c>
      <c r="E46" s="13" t="s">
        <v>624</v>
      </c>
      <c r="F46" s="18" t="s">
        <v>1525</v>
      </c>
      <c r="G46" s="18">
        <v>45715</v>
      </c>
      <c r="H46" s="18" t="s">
        <v>35</v>
      </c>
      <c r="I46" s="13" t="s">
        <v>23</v>
      </c>
      <c r="J46" s="13" t="s">
        <v>24</v>
      </c>
      <c r="K46" s="13" t="s">
        <v>43</v>
      </c>
      <c r="L46" s="13" t="s">
        <v>44</v>
      </c>
      <c r="M46" s="13" t="s">
        <v>1621</v>
      </c>
      <c r="N46" s="4" t="s">
        <v>625</v>
      </c>
      <c r="O46" s="4" t="s">
        <v>28</v>
      </c>
      <c r="P46" s="1" t="s">
        <v>29</v>
      </c>
      <c r="Q46" s="1" t="s">
        <v>5</v>
      </c>
      <c r="R46" s="1" t="s">
        <v>5</v>
      </c>
      <c r="S46" s="1" t="s">
        <v>5</v>
      </c>
      <c r="T46" s="1" t="s">
        <v>5</v>
      </c>
      <c r="U46" s="1" t="s">
        <v>5</v>
      </c>
      <c r="V46" s="1" t="s">
        <v>5</v>
      </c>
      <c r="W46" s="1" t="s">
        <v>5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3">
        <f t="shared" si="0"/>
        <v>0</v>
      </c>
      <c r="AU46" s="3">
        <f t="shared" si="1"/>
        <v>1</v>
      </c>
      <c r="AV46" s="3">
        <f t="shared" si="2"/>
        <v>0</v>
      </c>
      <c r="AW46" s="3">
        <f t="shared" si="3"/>
        <v>0</v>
      </c>
      <c r="AX46" s="3">
        <f t="shared" si="4"/>
        <v>0</v>
      </c>
      <c r="AY46" s="3">
        <f t="shared" si="5"/>
        <v>7</v>
      </c>
      <c r="AZ46" s="3">
        <f t="shared" si="6"/>
        <v>0</v>
      </c>
      <c r="BA46" s="3">
        <f t="shared" si="7"/>
        <v>0</v>
      </c>
      <c r="BB46" s="3">
        <f t="shared" si="8"/>
        <v>0</v>
      </c>
      <c r="BC46" s="3">
        <f t="shared" si="9"/>
        <v>0</v>
      </c>
      <c r="BD46" s="3">
        <f t="shared" si="10"/>
        <v>0</v>
      </c>
      <c r="BE46" s="3">
        <f t="shared" si="11"/>
        <v>0</v>
      </c>
      <c r="BF46" s="3">
        <f t="shared" si="12"/>
        <v>0</v>
      </c>
      <c r="BG46" s="3">
        <f t="shared" si="13"/>
        <v>0</v>
      </c>
      <c r="BH46" s="3">
        <f t="shared" si="14"/>
        <v>0</v>
      </c>
      <c r="BI46" s="3">
        <f t="shared" si="15"/>
        <v>8</v>
      </c>
    </row>
    <row r="47" spans="1:61" x14ac:dyDescent="0.25">
      <c r="A47" s="29">
        <v>39</v>
      </c>
      <c r="B47" s="3" t="s">
        <v>258</v>
      </c>
      <c r="C47" s="13" t="s">
        <v>259</v>
      </c>
      <c r="D47" s="13" t="s">
        <v>260</v>
      </c>
      <c r="E47" s="13" t="s">
        <v>261</v>
      </c>
      <c r="F47" s="18" t="s">
        <v>1532</v>
      </c>
      <c r="G47" s="18">
        <v>45715</v>
      </c>
      <c r="H47" s="18" t="s">
        <v>35</v>
      </c>
      <c r="I47" s="13" t="s">
        <v>23</v>
      </c>
      <c r="J47" s="13" t="s">
        <v>24</v>
      </c>
      <c r="K47" s="13" t="s">
        <v>56</v>
      </c>
      <c r="L47" s="13" t="s">
        <v>57</v>
      </c>
      <c r="M47" s="13" t="s">
        <v>1621</v>
      </c>
      <c r="N47" s="4" t="s">
        <v>262</v>
      </c>
      <c r="O47" s="4" t="s">
        <v>28</v>
      </c>
      <c r="P47" s="1" t="s">
        <v>39</v>
      </c>
      <c r="Q47" s="1" t="s">
        <v>5</v>
      </c>
      <c r="R47" s="1" t="s">
        <v>5</v>
      </c>
      <c r="S47" s="1" t="s">
        <v>5</v>
      </c>
      <c r="T47" s="1" t="s">
        <v>5</v>
      </c>
      <c r="U47" s="1" t="s">
        <v>5</v>
      </c>
      <c r="V47" s="1" t="s">
        <v>5</v>
      </c>
      <c r="W47" s="1" t="s">
        <v>5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3">
        <f t="shared" si="0"/>
        <v>1</v>
      </c>
      <c r="AU47" s="3">
        <f t="shared" si="1"/>
        <v>0</v>
      </c>
      <c r="AV47" s="3">
        <f t="shared" si="2"/>
        <v>0</v>
      </c>
      <c r="AW47" s="3">
        <f t="shared" si="3"/>
        <v>0</v>
      </c>
      <c r="AX47" s="3">
        <f t="shared" si="4"/>
        <v>0</v>
      </c>
      <c r="AY47" s="3">
        <f t="shared" si="5"/>
        <v>7</v>
      </c>
      <c r="AZ47" s="3">
        <f t="shared" si="6"/>
        <v>0</v>
      </c>
      <c r="BA47" s="3">
        <f t="shared" si="7"/>
        <v>0</v>
      </c>
      <c r="BB47" s="3">
        <f t="shared" si="8"/>
        <v>0</v>
      </c>
      <c r="BC47" s="3">
        <f t="shared" si="9"/>
        <v>0</v>
      </c>
      <c r="BD47" s="3">
        <f t="shared" si="10"/>
        <v>0</v>
      </c>
      <c r="BE47" s="3">
        <f t="shared" si="11"/>
        <v>0</v>
      </c>
      <c r="BF47" s="3">
        <f t="shared" si="12"/>
        <v>0</v>
      </c>
      <c r="BG47" s="3">
        <f t="shared" si="13"/>
        <v>0</v>
      </c>
      <c r="BH47" s="3">
        <f t="shared" si="14"/>
        <v>0</v>
      </c>
      <c r="BI47" s="3">
        <f t="shared" si="15"/>
        <v>8</v>
      </c>
    </row>
    <row r="48" spans="1:61" x14ac:dyDescent="0.25">
      <c r="A48" s="29">
        <v>42</v>
      </c>
      <c r="B48" s="3" t="s">
        <v>735</v>
      </c>
      <c r="C48" s="13" t="s">
        <v>725</v>
      </c>
      <c r="D48" s="13" t="s">
        <v>736</v>
      </c>
      <c r="E48" s="13" t="s">
        <v>737</v>
      </c>
      <c r="F48" s="18" t="s">
        <v>1532</v>
      </c>
      <c r="G48" s="18">
        <v>45715</v>
      </c>
      <c r="H48" s="18" t="s">
        <v>35</v>
      </c>
      <c r="I48" s="13" t="s">
        <v>23</v>
      </c>
      <c r="J48" s="13" t="s">
        <v>24</v>
      </c>
      <c r="K48" s="13" t="s">
        <v>43</v>
      </c>
      <c r="L48" s="13" t="s">
        <v>44</v>
      </c>
      <c r="M48" s="13" t="s">
        <v>1621</v>
      </c>
      <c r="N48" s="4" t="s">
        <v>738</v>
      </c>
      <c r="O48" s="4" t="s">
        <v>28</v>
      </c>
      <c r="P48" s="1" t="s">
        <v>29</v>
      </c>
      <c r="Q48" s="1" t="s">
        <v>5</v>
      </c>
      <c r="R48" s="1" t="s">
        <v>5</v>
      </c>
      <c r="S48" s="1" t="s">
        <v>5</v>
      </c>
      <c r="T48" s="1" t="s">
        <v>5</v>
      </c>
      <c r="U48" s="1" t="s">
        <v>5</v>
      </c>
      <c r="V48" s="1" t="s">
        <v>5</v>
      </c>
      <c r="W48" s="1" t="s">
        <v>5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3">
        <f t="shared" si="0"/>
        <v>0</v>
      </c>
      <c r="AU48" s="3">
        <f t="shared" si="1"/>
        <v>1</v>
      </c>
      <c r="AV48" s="3">
        <f t="shared" si="2"/>
        <v>0</v>
      </c>
      <c r="AW48" s="3">
        <f t="shared" si="3"/>
        <v>0</v>
      </c>
      <c r="AX48" s="3">
        <f t="shared" si="4"/>
        <v>0</v>
      </c>
      <c r="AY48" s="3">
        <f t="shared" si="5"/>
        <v>7</v>
      </c>
      <c r="AZ48" s="3">
        <f t="shared" si="6"/>
        <v>0</v>
      </c>
      <c r="BA48" s="3">
        <f t="shared" si="7"/>
        <v>0</v>
      </c>
      <c r="BB48" s="3">
        <f t="shared" si="8"/>
        <v>0</v>
      </c>
      <c r="BC48" s="3">
        <f t="shared" si="9"/>
        <v>0</v>
      </c>
      <c r="BD48" s="3">
        <f t="shared" si="10"/>
        <v>0</v>
      </c>
      <c r="BE48" s="3">
        <f t="shared" si="11"/>
        <v>0</v>
      </c>
      <c r="BF48" s="3">
        <f t="shared" si="12"/>
        <v>0</v>
      </c>
      <c r="BG48" s="3">
        <f t="shared" si="13"/>
        <v>0</v>
      </c>
      <c r="BH48" s="3">
        <f t="shared" si="14"/>
        <v>0</v>
      </c>
      <c r="BI48" s="3">
        <f t="shared" si="15"/>
        <v>8</v>
      </c>
    </row>
    <row r="49" spans="1:61" x14ac:dyDescent="0.25">
      <c r="A49" s="29">
        <v>44</v>
      </c>
      <c r="B49" s="3" t="s">
        <v>40</v>
      </c>
      <c r="C49" s="13" t="s">
        <v>41</v>
      </c>
      <c r="D49" s="13" t="s">
        <v>32</v>
      </c>
      <c r="E49" s="13" t="s">
        <v>42</v>
      </c>
      <c r="F49" s="18" t="s">
        <v>1532</v>
      </c>
      <c r="G49" s="18">
        <v>45715</v>
      </c>
      <c r="H49" s="18" t="s">
        <v>35</v>
      </c>
      <c r="I49" s="13" t="s">
        <v>23</v>
      </c>
      <c r="J49" s="13" t="s">
        <v>24</v>
      </c>
      <c r="K49" s="13" t="s">
        <v>43</v>
      </c>
      <c r="L49" s="13" t="s">
        <v>44</v>
      </c>
      <c r="M49" s="13" t="s">
        <v>1621</v>
      </c>
      <c r="N49" s="4" t="s">
        <v>45</v>
      </c>
      <c r="O49" s="4" t="s">
        <v>28</v>
      </c>
      <c r="P49" s="1" t="s">
        <v>29</v>
      </c>
      <c r="Q49" s="1" t="s">
        <v>5</v>
      </c>
      <c r="R49" s="1" t="s">
        <v>5</v>
      </c>
      <c r="S49" s="1" t="s">
        <v>5</v>
      </c>
      <c r="T49" s="1" t="s">
        <v>5</v>
      </c>
      <c r="U49" s="1" t="s">
        <v>5</v>
      </c>
      <c r="V49" s="1" t="s">
        <v>5</v>
      </c>
      <c r="W49" s="1" t="s">
        <v>5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3">
        <f t="shared" si="0"/>
        <v>0</v>
      </c>
      <c r="AU49" s="3">
        <f t="shared" si="1"/>
        <v>1</v>
      </c>
      <c r="AV49" s="3">
        <f t="shared" si="2"/>
        <v>0</v>
      </c>
      <c r="AW49" s="3">
        <f t="shared" si="3"/>
        <v>0</v>
      </c>
      <c r="AX49" s="3">
        <f t="shared" si="4"/>
        <v>0</v>
      </c>
      <c r="AY49" s="3">
        <f t="shared" si="5"/>
        <v>7</v>
      </c>
      <c r="AZ49" s="3">
        <f t="shared" si="6"/>
        <v>0</v>
      </c>
      <c r="BA49" s="3">
        <f t="shared" si="7"/>
        <v>0</v>
      </c>
      <c r="BB49" s="3">
        <f t="shared" si="8"/>
        <v>0</v>
      </c>
      <c r="BC49" s="3">
        <f t="shared" si="9"/>
        <v>0</v>
      </c>
      <c r="BD49" s="3">
        <f t="shared" si="10"/>
        <v>0</v>
      </c>
      <c r="BE49" s="3">
        <f t="shared" si="11"/>
        <v>0</v>
      </c>
      <c r="BF49" s="3">
        <f t="shared" si="12"/>
        <v>0</v>
      </c>
      <c r="BG49" s="3">
        <f t="shared" si="13"/>
        <v>0</v>
      </c>
      <c r="BH49" s="3">
        <f t="shared" si="14"/>
        <v>0</v>
      </c>
      <c r="BI49" s="3">
        <f t="shared" si="15"/>
        <v>8</v>
      </c>
    </row>
    <row r="50" spans="1:61" x14ac:dyDescent="0.25">
      <c r="A50" s="29">
        <v>43</v>
      </c>
      <c r="B50" s="3" t="s">
        <v>457</v>
      </c>
      <c r="C50" s="13" t="s">
        <v>458</v>
      </c>
      <c r="D50" s="13" t="s">
        <v>459</v>
      </c>
      <c r="E50" s="13" t="s">
        <v>460</v>
      </c>
      <c r="F50" s="18" t="s">
        <v>1532</v>
      </c>
      <c r="G50" s="18">
        <v>45715</v>
      </c>
      <c r="H50" s="18" t="s">
        <v>35</v>
      </c>
      <c r="I50" s="13" t="s">
        <v>23</v>
      </c>
      <c r="J50" s="13" t="s">
        <v>24</v>
      </c>
      <c r="K50" s="13" t="s">
        <v>56</v>
      </c>
      <c r="L50" s="13" t="s">
        <v>57</v>
      </c>
      <c r="M50" s="13" t="s">
        <v>1621</v>
      </c>
      <c r="N50" s="4" t="s">
        <v>461</v>
      </c>
      <c r="O50" s="4" t="s">
        <v>28</v>
      </c>
      <c r="P50" s="1" t="s">
        <v>39</v>
      </c>
      <c r="Q50" s="1" t="s">
        <v>5</v>
      </c>
      <c r="R50" s="1" t="s">
        <v>5</v>
      </c>
      <c r="S50" s="1" t="s">
        <v>5</v>
      </c>
      <c r="T50" s="1" t="s">
        <v>5</v>
      </c>
      <c r="U50" s="1" t="s">
        <v>5</v>
      </c>
      <c r="V50" s="1" t="s">
        <v>5</v>
      </c>
      <c r="W50" s="1" t="s">
        <v>5</v>
      </c>
      <c r="X50" s="1"/>
      <c r="Y50" s="1"/>
      <c r="Z50" s="1"/>
      <c r="AA50" s="1"/>
      <c r="AB50" s="1"/>
      <c r="AC50" s="1"/>
      <c r="AD50" s="1"/>
      <c r="AE50" s="1"/>
      <c r="AF50" s="1"/>
      <c r="AG50" s="3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3">
        <f t="shared" si="0"/>
        <v>1</v>
      </c>
      <c r="AU50" s="3">
        <f t="shared" si="1"/>
        <v>0</v>
      </c>
      <c r="AV50" s="3">
        <f t="shared" si="2"/>
        <v>0</v>
      </c>
      <c r="AW50" s="3">
        <f t="shared" si="3"/>
        <v>0</v>
      </c>
      <c r="AX50" s="3">
        <f t="shared" si="4"/>
        <v>0</v>
      </c>
      <c r="AY50" s="3">
        <f t="shared" si="5"/>
        <v>7</v>
      </c>
      <c r="AZ50" s="3">
        <f t="shared" si="6"/>
        <v>0</v>
      </c>
      <c r="BA50" s="3">
        <f t="shared" si="7"/>
        <v>0</v>
      </c>
      <c r="BB50" s="3">
        <f t="shared" si="8"/>
        <v>0</v>
      </c>
      <c r="BC50" s="3">
        <f t="shared" si="9"/>
        <v>0</v>
      </c>
      <c r="BD50" s="3">
        <f t="shared" si="10"/>
        <v>0</v>
      </c>
      <c r="BE50" s="3">
        <f t="shared" si="11"/>
        <v>0</v>
      </c>
      <c r="BF50" s="3">
        <f t="shared" si="12"/>
        <v>0</v>
      </c>
      <c r="BG50" s="3">
        <f t="shared" si="13"/>
        <v>0</v>
      </c>
      <c r="BH50" s="3">
        <f t="shared" si="14"/>
        <v>0</v>
      </c>
      <c r="BI50" s="3">
        <f t="shared" si="15"/>
        <v>8</v>
      </c>
    </row>
    <row r="51" spans="1:61" x14ac:dyDescent="0.25">
      <c r="A51" s="29">
        <v>45</v>
      </c>
      <c r="B51" s="3" t="s">
        <v>961</v>
      </c>
      <c r="C51" s="13" t="s">
        <v>129</v>
      </c>
      <c r="D51" s="13" t="s">
        <v>962</v>
      </c>
      <c r="E51" s="13" t="s">
        <v>154</v>
      </c>
      <c r="F51" s="18" t="s">
        <v>1530</v>
      </c>
      <c r="G51" s="18">
        <v>45715</v>
      </c>
      <c r="H51" s="18" t="s">
        <v>35</v>
      </c>
      <c r="I51" s="13" t="s">
        <v>23</v>
      </c>
      <c r="J51" s="13" t="s">
        <v>24</v>
      </c>
      <c r="K51" s="13" t="s">
        <v>43</v>
      </c>
      <c r="L51" s="13" t="s">
        <v>44</v>
      </c>
      <c r="M51" s="13" t="s">
        <v>1621</v>
      </c>
      <c r="N51" s="4" t="s">
        <v>963</v>
      </c>
      <c r="O51" s="4" t="s">
        <v>28</v>
      </c>
      <c r="P51" s="1" t="s">
        <v>29</v>
      </c>
      <c r="Q51" s="1" t="s">
        <v>5</v>
      </c>
      <c r="R51" s="1" t="s">
        <v>5</v>
      </c>
      <c r="S51" s="1" t="s">
        <v>5</v>
      </c>
      <c r="T51" s="1" t="s">
        <v>5</v>
      </c>
      <c r="U51" s="1" t="s">
        <v>5</v>
      </c>
      <c r="V51" s="1" t="s">
        <v>5</v>
      </c>
      <c r="W51" s="1" t="s">
        <v>5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3">
        <f t="shared" si="0"/>
        <v>0</v>
      </c>
      <c r="AU51" s="3">
        <f t="shared" si="1"/>
        <v>1</v>
      </c>
      <c r="AV51" s="3">
        <f t="shared" si="2"/>
        <v>0</v>
      </c>
      <c r="AW51" s="3">
        <f t="shared" si="3"/>
        <v>0</v>
      </c>
      <c r="AX51" s="3">
        <f t="shared" si="4"/>
        <v>0</v>
      </c>
      <c r="AY51" s="3">
        <f t="shared" si="5"/>
        <v>7</v>
      </c>
      <c r="AZ51" s="3">
        <f t="shared" si="6"/>
        <v>0</v>
      </c>
      <c r="BA51" s="3">
        <f t="shared" si="7"/>
        <v>0</v>
      </c>
      <c r="BB51" s="3">
        <f t="shared" si="8"/>
        <v>0</v>
      </c>
      <c r="BC51" s="3">
        <f t="shared" si="9"/>
        <v>0</v>
      </c>
      <c r="BD51" s="3">
        <f t="shared" si="10"/>
        <v>0</v>
      </c>
      <c r="BE51" s="3">
        <f t="shared" si="11"/>
        <v>0</v>
      </c>
      <c r="BF51" s="3">
        <f t="shared" si="12"/>
        <v>0</v>
      </c>
      <c r="BG51" s="3">
        <f t="shared" si="13"/>
        <v>0</v>
      </c>
      <c r="BH51" s="3">
        <f t="shared" si="14"/>
        <v>0</v>
      </c>
      <c r="BI51" s="3">
        <f t="shared" si="15"/>
        <v>8</v>
      </c>
    </row>
    <row r="52" spans="1:61" x14ac:dyDescent="0.25">
      <c r="A52" s="29">
        <v>46</v>
      </c>
      <c r="B52" s="3" t="s">
        <v>1033</v>
      </c>
      <c r="C52" s="13" t="s">
        <v>287</v>
      </c>
      <c r="D52" s="13" t="s">
        <v>507</v>
      </c>
      <c r="E52" s="13" t="s">
        <v>1034</v>
      </c>
      <c r="F52" s="18" t="s">
        <v>1522</v>
      </c>
      <c r="G52" s="18">
        <v>45715</v>
      </c>
      <c r="H52" s="18" t="s">
        <v>35</v>
      </c>
      <c r="I52" s="13" t="s">
        <v>23</v>
      </c>
      <c r="J52" s="13" t="s">
        <v>24</v>
      </c>
      <c r="K52" s="13" t="s">
        <v>56</v>
      </c>
      <c r="L52" s="13" t="s">
        <v>57</v>
      </c>
      <c r="M52" s="13" t="s">
        <v>1621</v>
      </c>
      <c r="N52" s="4" t="s">
        <v>1035</v>
      </c>
      <c r="O52" s="4" t="s">
        <v>28</v>
      </c>
      <c r="P52" s="1" t="s">
        <v>39</v>
      </c>
      <c r="Q52" s="3" t="s">
        <v>5</v>
      </c>
      <c r="R52" s="3" t="s">
        <v>5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1"/>
      <c r="Y52" s="1"/>
      <c r="Z52" s="1"/>
      <c r="AA52" s="1"/>
      <c r="AB52" s="3"/>
      <c r="AC52" s="3"/>
      <c r="AD52" s="3"/>
      <c r="AE52" s="3"/>
      <c r="AF52" s="3"/>
      <c r="AG52" s="3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3">
        <f t="shared" si="0"/>
        <v>1</v>
      </c>
      <c r="AU52" s="3">
        <f t="shared" si="1"/>
        <v>0</v>
      </c>
      <c r="AV52" s="3">
        <f t="shared" si="2"/>
        <v>0</v>
      </c>
      <c r="AW52" s="3">
        <f t="shared" si="3"/>
        <v>0</v>
      </c>
      <c r="AX52" s="3">
        <f t="shared" si="4"/>
        <v>0</v>
      </c>
      <c r="AY52" s="3">
        <f t="shared" si="5"/>
        <v>7</v>
      </c>
      <c r="AZ52" s="3">
        <f t="shared" si="6"/>
        <v>0</v>
      </c>
      <c r="BA52" s="3">
        <f t="shared" si="7"/>
        <v>0</v>
      </c>
      <c r="BB52" s="3">
        <f t="shared" si="8"/>
        <v>0</v>
      </c>
      <c r="BC52" s="3">
        <f t="shared" si="9"/>
        <v>0</v>
      </c>
      <c r="BD52" s="3">
        <f t="shared" si="10"/>
        <v>0</v>
      </c>
      <c r="BE52" s="3">
        <f t="shared" si="11"/>
        <v>0</v>
      </c>
      <c r="BF52" s="3">
        <f t="shared" si="12"/>
        <v>0</v>
      </c>
      <c r="BG52" s="3">
        <f t="shared" si="13"/>
        <v>0</v>
      </c>
      <c r="BH52" s="3">
        <f t="shared" si="14"/>
        <v>0</v>
      </c>
      <c r="BI52" s="3">
        <f t="shared" si="15"/>
        <v>8</v>
      </c>
    </row>
    <row r="53" spans="1:61" x14ac:dyDescent="0.25">
      <c r="A53" s="29">
        <v>47</v>
      </c>
      <c r="B53" s="3" t="s">
        <v>967</v>
      </c>
      <c r="C53" s="13" t="s">
        <v>898</v>
      </c>
      <c r="D53" s="13" t="s">
        <v>962</v>
      </c>
      <c r="E53" s="13" t="s">
        <v>968</v>
      </c>
      <c r="F53" s="18" t="s">
        <v>149</v>
      </c>
      <c r="G53" s="18">
        <v>45715</v>
      </c>
      <c r="H53" s="18" t="s">
        <v>35</v>
      </c>
      <c r="I53" s="13" t="s">
        <v>23</v>
      </c>
      <c r="J53" s="13" t="s">
        <v>24</v>
      </c>
      <c r="K53" s="13" t="s">
        <v>43</v>
      </c>
      <c r="L53" s="13" t="s">
        <v>150</v>
      </c>
      <c r="M53" s="13" t="s">
        <v>1621</v>
      </c>
      <c r="N53" s="4" t="s">
        <v>969</v>
      </c>
      <c r="O53" s="4" t="s">
        <v>28</v>
      </c>
      <c r="P53" s="1" t="s">
        <v>29</v>
      </c>
      <c r="Q53" s="1" t="s">
        <v>5</v>
      </c>
      <c r="R53" s="1" t="s">
        <v>5</v>
      </c>
      <c r="S53" s="1" t="s">
        <v>5</v>
      </c>
      <c r="T53" s="1" t="s">
        <v>5</v>
      </c>
      <c r="U53" s="1" t="s">
        <v>5</v>
      </c>
      <c r="V53" s="1" t="s">
        <v>5</v>
      </c>
      <c r="W53" s="1" t="s">
        <v>5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3">
        <f t="shared" si="0"/>
        <v>0</v>
      </c>
      <c r="AU53" s="3">
        <f t="shared" si="1"/>
        <v>1</v>
      </c>
      <c r="AV53" s="3">
        <f t="shared" si="2"/>
        <v>0</v>
      </c>
      <c r="AW53" s="3">
        <f t="shared" si="3"/>
        <v>0</v>
      </c>
      <c r="AX53" s="3">
        <f t="shared" si="4"/>
        <v>0</v>
      </c>
      <c r="AY53" s="3">
        <f t="shared" si="5"/>
        <v>7</v>
      </c>
      <c r="AZ53" s="3">
        <f t="shared" si="6"/>
        <v>0</v>
      </c>
      <c r="BA53" s="3">
        <f t="shared" si="7"/>
        <v>0</v>
      </c>
      <c r="BB53" s="3">
        <f t="shared" si="8"/>
        <v>0</v>
      </c>
      <c r="BC53" s="3">
        <f t="shared" si="9"/>
        <v>0</v>
      </c>
      <c r="BD53" s="3">
        <f t="shared" si="10"/>
        <v>0</v>
      </c>
      <c r="BE53" s="3">
        <f t="shared" si="11"/>
        <v>0</v>
      </c>
      <c r="BF53" s="3">
        <f t="shared" si="12"/>
        <v>0</v>
      </c>
      <c r="BG53" s="3">
        <f t="shared" si="13"/>
        <v>0</v>
      </c>
      <c r="BH53" s="3">
        <f t="shared" si="14"/>
        <v>0</v>
      </c>
      <c r="BI53" s="3">
        <f t="shared" si="15"/>
        <v>8</v>
      </c>
    </row>
    <row r="54" spans="1:61" x14ac:dyDescent="0.25">
      <c r="A54" s="29">
        <v>48</v>
      </c>
      <c r="B54" s="3" t="s">
        <v>921</v>
      </c>
      <c r="C54" s="13" t="s">
        <v>922</v>
      </c>
      <c r="D54" s="13" t="s">
        <v>923</v>
      </c>
      <c r="E54" s="13" t="s">
        <v>924</v>
      </c>
      <c r="F54" s="18" t="s">
        <v>1546</v>
      </c>
      <c r="G54" s="18">
        <v>45715</v>
      </c>
      <c r="H54" s="18" t="s">
        <v>35</v>
      </c>
      <c r="I54" s="13" t="s">
        <v>23</v>
      </c>
      <c r="J54" s="13" t="s">
        <v>24</v>
      </c>
      <c r="K54" s="13" t="s">
        <v>43</v>
      </c>
      <c r="L54" s="13" t="s">
        <v>150</v>
      </c>
      <c r="M54" s="13" t="s">
        <v>1621</v>
      </c>
      <c r="N54" s="4" t="s">
        <v>925</v>
      </c>
      <c r="O54" s="4" t="s">
        <v>28</v>
      </c>
      <c r="P54" s="1" t="s">
        <v>29</v>
      </c>
      <c r="Q54" s="1" t="s">
        <v>5</v>
      </c>
      <c r="R54" s="1" t="s">
        <v>5</v>
      </c>
      <c r="S54" s="1" t="s">
        <v>5</v>
      </c>
      <c r="T54" s="1" t="s">
        <v>5</v>
      </c>
      <c r="U54" s="1" t="s">
        <v>5</v>
      </c>
      <c r="V54" s="1" t="s">
        <v>5</v>
      </c>
      <c r="W54" s="1" t="s">
        <v>5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3">
        <f t="shared" si="0"/>
        <v>0</v>
      </c>
      <c r="AU54" s="3">
        <f t="shared" si="1"/>
        <v>1</v>
      </c>
      <c r="AV54" s="3">
        <f t="shared" si="2"/>
        <v>0</v>
      </c>
      <c r="AW54" s="3">
        <f t="shared" si="3"/>
        <v>0</v>
      </c>
      <c r="AX54" s="3">
        <f t="shared" si="4"/>
        <v>0</v>
      </c>
      <c r="AY54" s="3">
        <f t="shared" si="5"/>
        <v>7</v>
      </c>
      <c r="AZ54" s="3">
        <f t="shared" si="6"/>
        <v>0</v>
      </c>
      <c r="BA54" s="3">
        <f t="shared" si="7"/>
        <v>0</v>
      </c>
      <c r="BB54" s="3">
        <f t="shared" si="8"/>
        <v>0</v>
      </c>
      <c r="BC54" s="3">
        <f t="shared" si="9"/>
        <v>0</v>
      </c>
      <c r="BD54" s="3">
        <f t="shared" si="10"/>
        <v>0</v>
      </c>
      <c r="BE54" s="3">
        <f t="shared" si="11"/>
        <v>0</v>
      </c>
      <c r="BF54" s="3">
        <f t="shared" si="12"/>
        <v>0</v>
      </c>
      <c r="BG54" s="3">
        <f t="shared" si="13"/>
        <v>0</v>
      </c>
      <c r="BH54" s="3">
        <f t="shared" si="14"/>
        <v>0</v>
      </c>
      <c r="BI54" s="3">
        <f t="shared" si="15"/>
        <v>8</v>
      </c>
    </row>
    <row r="55" spans="1:61" x14ac:dyDescent="0.25">
      <c r="A55" s="29">
        <v>50</v>
      </c>
      <c r="B55" s="3" t="s">
        <v>180</v>
      </c>
      <c r="C55" s="13" t="s">
        <v>181</v>
      </c>
      <c r="D55" s="13" t="s">
        <v>182</v>
      </c>
      <c r="E55" s="13" t="s">
        <v>183</v>
      </c>
      <c r="F55" s="18" t="s">
        <v>50</v>
      </c>
      <c r="G55" s="18">
        <v>45715</v>
      </c>
      <c r="H55" s="18" t="s">
        <v>35</v>
      </c>
      <c r="I55" s="13" t="s">
        <v>23</v>
      </c>
      <c r="J55" s="13" t="s">
        <v>24</v>
      </c>
      <c r="K55" s="13" t="s">
        <v>43</v>
      </c>
      <c r="L55" s="13" t="s">
        <v>44</v>
      </c>
      <c r="M55" s="13" t="s">
        <v>1621</v>
      </c>
      <c r="N55" s="4" t="s">
        <v>184</v>
      </c>
      <c r="O55" s="4" t="s">
        <v>28</v>
      </c>
      <c r="P55" s="1" t="s">
        <v>29</v>
      </c>
      <c r="Q55" s="1" t="s">
        <v>5</v>
      </c>
      <c r="R55" s="1" t="s">
        <v>5</v>
      </c>
      <c r="S55" s="1" t="s">
        <v>5</v>
      </c>
      <c r="T55" s="1" t="s">
        <v>5</v>
      </c>
      <c r="U55" s="1" t="s">
        <v>5</v>
      </c>
      <c r="V55" s="1" t="s">
        <v>5</v>
      </c>
      <c r="W55" s="1" t="s">
        <v>5</v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3">
        <f t="shared" si="0"/>
        <v>0</v>
      </c>
      <c r="AU55" s="3">
        <f t="shared" si="1"/>
        <v>1</v>
      </c>
      <c r="AV55" s="3">
        <f t="shared" si="2"/>
        <v>0</v>
      </c>
      <c r="AW55" s="3">
        <f t="shared" si="3"/>
        <v>0</v>
      </c>
      <c r="AX55" s="3">
        <f t="shared" si="4"/>
        <v>0</v>
      </c>
      <c r="AY55" s="3">
        <f t="shared" si="5"/>
        <v>7</v>
      </c>
      <c r="AZ55" s="3">
        <f t="shared" si="6"/>
        <v>0</v>
      </c>
      <c r="BA55" s="3">
        <f t="shared" si="7"/>
        <v>0</v>
      </c>
      <c r="BB55" s="3">
        <f t="shared" si="8"/>
        <v>0</v>
      </c>
      <c r="BC55" s="3">
        <f t="shared" si="9"/>
        <v>0</v>
      </c>
      <c r="BD55" s="3">
        <f t="shared" si="10"/>
        <v>0</v>
      </c>
      <c r="BE55" s="3">
        <f t="shared" si="11"/>
        <v>0</v>
      </c>
      <c r="BF55" s="3">
        <f t="shared" si="12"/>
        <v>0</v>
      </c>
      <c r="BG55" s="3">
        <f t="shared" si="13"/>
        <v>0</v>
      </c>
      <c r="BH55" s="3">
        <f t="shared" si="14"/>
        <v>0</v>
      </c>
      <c r="BI55" s="3">
        <f t="shared" si="15"/>
        <v>8</v>
      </c>
    </row>
    <row r="56" spans="1:61" x14ac:dyDescent="0.25">
      <c r="A56" s="29">
        <v>49</v>
      </c>
      <c r="B56" s="3" t="s">
        <v>1023</v>
      </c>
      <c r="C56" s="13" t="s">
        <v>419</v>
      </c>
      <c r="D56" s="13" t="s">
        <v>1024</v>
      </c>
      <c r="E56" s="13" t="s">
        <v>1025</v>
      </c>
      <c r="F56" s="18" t="s">
        <v>1525</v>
      </c>
      <c r="G56" s="18">
        <v>45715</v>
      </c>
      <c r="H56" s="18" t="s">
        <v>35</v>
      </c>
      <c r="I56" s="13" t="s">
        <v>23</v>
      </c>
      <c r="J56" s="13" t="s">
        <v>24</v>
      </c>
      <c r="K56" s="13" t="s">
        <v>56</v>
      </c>
      <c r="L56" s="13" t="s">
        <v>57</v>
      </c>
      <c r="M56" s="13" t="s">
        <v>1621</v>
      </c>
      <c r="N56" s="4" t="s">
        <v>1026</v>
      </c>
      <c r="O56" s="4" t="s">
        <v>28</v>
      </c>
      <c r="P56" s="1" t="s">
        <v>39</v>
      </c>
      <c r="Q56" s="3" t="s">
        <v>5</v>
      </c>
      <c r="R56" s="3" t="s">
        <v>5</v>
      </c>
      <c r="S56" s="3" t="s">
        <v>5</v>
      </c>
      <c r="T56" s="3" t="s">
        <v>5</v>
      </c>
      <c r="U56" s="3" t="s">
        <v>5</v>
      </c>
      <c r="V56" s="3" t="s">
        <v>5</v>
      </c>
      <c r="W56" s="3" t="s">
        <v>5</v>
      </c>
      <c r="X56" s="1"/>
      <c r="Y56" s="1"/>
      <c r="Z56" s="1"/>
      <c r="AA56" s="1"/>
      <c r="AB56" s="3"/>
      <c r="AC56" s="3"/>
      <c r="AD56" s="3"/>
      <c r="AE56" s="3"/>
      <c r="AF56" s="3"/>
      <c r="AG56" s="3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3">
        <f t="shared" si="0"/>
        <v>1</v>
      </c>
      <c r="AU56" s="3">
        <f t="shared" si="1"/>
        <v>0</v>
      </c>
      <c r="AV56" s="3">
        <f t="shared" si="2"/>
        <v>0</v>
      </c>
      <c r="AW56" s="3">
        <f t="shared" si="3"/>
        <v>0</v>
      </c>
      <c r="AX56" s="3">
        <f t="shared" si="4"/>
        <v>0</v>
      </c>
      <c r="AY56" s="3">
        <f t="shared" si="5"/>
        <v>7</v>
      </c>
      <c r="AZ56" s="3">
        <f t="shared" si="6"/>
        <v>0</v>
      </c>
      <c r="BA56" s="3">
        <f t="shared" si="7"/>
        <v>0</v>
      </c>
      <c r="BB56" s="3">
        <f t="shared" si="8"/>
        <v>0</v>
      </c>
      <c r="BC56" s="3">
        <f t="shared" si="9"/>
        <v>0</v>
      </c>
      <c r="BD56" s="3">
        <f t="shared" si="10"/>
        <v>0</v>
      </c>
      <c r="BE56" s="3">
        <f t="shared" si="11"/>
        <v>0</v>
      </c>
      <c r="BF56" s="3">
        <f t="shared" si="12"/>
        <v>0</v>
      </c>
      <c r="BG56" s="3">
        <f t="shared" si="13"/>
        <v>0</v>
      </c>
      <c r="BH56" s="3">
        <f t="shared" si="14"/>
        <v>0</v>
      </c>
      <c r="BI56" s="3">
        <f t="shared" si="15"/>
        <v>8</v>
      </c>
    </row>
    <row r="57" spans="1:61" x14ac:dyDescent="0.25">
      <c r="A57" s="29">
        <v>51</v>
      </c>
      <c r="B57" s="3" t="s">
        <v>293</v>
      </c>
      <c r="C57" s="13" t="s">
        <v>294</v>
      </c>
      <c r="D57" s="13" t="s">
        <v>295</v>
      </c>
      <c r="E57" s="13" t="s">
        <v>296</v>
      </c>
      <c r="F57" s="22" t="s">
        <v>297</v>
      </c>
      <c r="G57" s="25">
        <v>45719</v>
      </c>
      <c r="H57" s="25" t="s">
        <v>35</v>
      </c>
      <c r="I57" s="22" t="s">
        <v>23</v>
      </c>
      <c r="J57" s="22" t="s">
        <v>24</v>
      </c>
      <c r="K57" s="13" t="s">
        <v>84</v>
      </c>
      <c r="L57" s="13" t="s">
        <v>220</v>
      </c>
      <c r="M57" s="13" t="s">
        <v>1621</v>
      </c>
      <c r="N57" s="4" t="s">
        <v>298</v>
      </c>
      <c r="O57" s="4" t="s">
        <v>84</v>
      </c>
      <c r="P57" s="1" t="s">
        <v>39</v>
      </c>
      <c r="Q57" s="1" t="s">
        <v>39</v>
      </c>
      <c r="R57" s="1" t="s">
        <v>5</v>
      </c>
      <c r="S57" s="1" t="s">
        <v>5</v>
      </c>
      <c r="T57" s="1" t="s">
        <v>5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3">
        <f t="shared" si="0"/>
        <v>2</v>
      </c>
      <c r="AU57" s="3">
        <f t="shared" si="1"/>
        <v>0</v>
      </c>
      <c r="AV57" s="3">
        <f t="shared" si="2"/>
        <v>0</v>
      </c>
      <c r="AW57" s="3">
        <f t="shared" si="3"/>
        <v>0</v>
      </c>
      <c r="AX57" s="3">
        <f t="shared" si="4"/>
        <v>0</v>
      </c>
      <c r="AY57" s="3">
        <f t="shared" si="5"/>
        <v>3</v>
      </c>
      <c r="AZ57" s="3">
        <f t="shared" si="6"/>
        <v>0</v>
      </c>
      <c r="BA57" s="3">
        <f t="shared" si="7"/>
        <v>0</v>
      </c>
      <c r="BB57" s="3">
        <f t="shared" si="8"/>
        <v>0</v>
      </c>
      <c r="BC57" s="3">
        <f t="shared" si="9"/>
        <v>0</v>
      </c>
      <c r="BD57" s="3">
        <f t="shared" si="10"/>
        <v>0</v>
      </c>
      <c r="BE57" s="3">
        <f t="shared" si="11"/>
        <v>0</v>
      </c>
      <c r="BF57" s="3">
        <f t="shared" si="12"/>
        <v>0</v>
      </c>
      <c r="BG57" s="3">
        <f t="shared" si="13"/>
        <v>0</v>
      </c>
      <c r="BH57" s="3">
        <f t="shared" si="14"/>
        <v>0</v>
      </c>
      <c r="BI57" s="3">
        <f t="shared" si="15"/>
        <v>5</v>
      </c>
    </row>
    <row r="58" spans="1:61" x14ac:dyDescent="0.25">
      <c r="A58" s="29">
        <v>52</v>
      </c>
      <c r="B58" s="3" t="s">
        <v>400</v>
      </c>
      <c r="C58" s="13" t="s">
        <v>401</v>
      </c>
      <c r="D58" s="13" t="s">
        <v>402</v>
      </c>
      <c r="E58" s="13" t="s">
        <v>403</v>
      </c>
      <c r="F58" s="18" t="s">
        <v>404</v>
      </c>
      <c r="G58" s="18">
        <v>45719</v>
      </c>
      <c r="H58" s="18" t="s">
        <v>35</v>
      </c>
      <c r="I58" s="13" t="s">
        <v>23</v>
      </c>
      <c r="J58" s="13" t="s">
        <v>24</v>
      </c>
      <c r="K58" s="13" t="s">
        <v>405</v>
      </c>
      <c r="L58" s="13" t="s">
        <v>292</v>
      </c>
      <c r="M58" s="13" t="s">
        <v>1621</v>
      </c>
      <c r="N58" s="4" t="s">
        <v>406</v>
      </c>
      <c r="O58" s="4" t="s">
        <v>407</v>
      </c>
      <c r="P58" s="1" t="s">
        <v>5</v>
      </c>
      <c r="Q58" s="1" t="s">
        <v>39</v>
      </c>
      <c r="R58" s="1" t="s">
        <v>39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3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3">
        <f t="shared" si="0"/>
        <v>2</v>
      </c>
      <c r="AU58" s="3">
        <f t="shared" si="1"/>
        <v>0</v>
      </c>
      <c r="AV58" s="3">
        <f t="shared" si="2"/>
        <v>0</v>
      </c>
      <c r="AW58" s="3">
        <f t="shared" si="3"/>
        <v>0</v>
      </c>
      <c r="AX58" s="3">
        <f t="shared" si="4"/>
        <v>0</v>
      </c>
      <c r="AY58" s="3">
        <f t="shared" si="5"/>
        <v>1</v>
      </c>
      <c r="AZ58" s="3">
        <f t="shared" si="6"/>
        <v>0</v>
      </c>
      <c r="BA58" s="3">
        <f t="shared" si="7"/>
        <v>0</v>
      </c>
      <c r="BB58" s="3">
        <f t="shared" si="8"/>
        <v>0</v>
      </c>
      <c r="BC58" s="3">
        <f t="shared" si="9"/>
        <v>0</v>
      </c>
      <c r="BD58" s="3">
        <f t="shared" si="10"/>
        <v>0</v>
      </c>
      <c r="BE58" s="3">
        <f t="shared" si="11"/>
        <v>0</v>
      </c>
      <c r="BF58" s="3">
        <f t="shared" si="12"/>
        <v>0</v>
      </c>
      <c r="BG58" s="3">
        <f t="shared" si="13"/>
        <v>0</v>
      </c>
      <c r="BH58" s="3">
        <f t="shared" si="14"/>
        <v>0</v>
      </c>
      <c r="BI58" s="3">
        <f t="shared" si="15"/>
        <v>3</v>
      </c>
    </row>
    <row r="59" spans="1:61" x14ac:dyDescent="0.25">
      <c r="A59" s="29">
        <v>54</v>
      </c>
      <c r="B59" s="3" t="s">
        <v>916</v>
      </c>
      <c r="C59" s="13" t="s">
        <v>917</v>
      </c>
      <c r="D59" s="13" t="s">
        <v>918</v>
      </c>
      <c r="E59" s="13" t="s">
        <v>919</v>
      </c>
      <c r="F59" s="22" t="s">
        <v>1555</v>
      </c>
      <c r="G59" s="25">
        <v>45719</v>
      </c>
      <c r="H59" s="25" t="s">
        <v>35</v>
      </c>
      <c r="I59" s="22" t="s">
        <v>23</v>
      </c>
      <c r="J59" s="22" t="s">
        <v>24</v>
      </c>
      <c r="K59" s="13" t="s">
        <v>84</v>
      </c>
      <c r="L59" s="13" t="s">
        <v>220</v>
      </c>
      <c r="M59" s="13" t="s">
        <v>1621</v>
      </c>
      <c r="N59" s="4" t="s">
        <v>920</v>
      </c>
      <c r="O59" s="4" t="s">
        <v>84</v>
      </c>
      <c r="P59" s="1" t="s">
        <v>39</v>
      </c>
      <c r="Q59" s="1" t="s">
        <v>39</v>
      </c>
      <c r="R59" s="1" t="s">
        <v>5</v>
      </c>
      <c r="S59" s="1" t="s">
        <v>5</v>
      </c>
      <c r="T59" s="1" t="s">
        <v>5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3">
        <f t="shared" si="0"/>
        <v>2</v>
      </c>
      <c r="AU59" s="3">
        <f t="shared" si="1"/>
        <v>0</v>
      </c>
      <c r="AV59" s="3">
        <f t="shared" si="2"/>
        <v>0</v>
      </c>
      <c r="AW59" s="3">
        <f t="shared" si="3"/>
        <v>0</v>
      </c>
      <c r="AX59" s="3">
        <f t="shared" si="4"/>
        <v>0</v>
      </c>
      <c r="AY59" s="3">
        <f t="shared" si="5"/>
        <v>3</v>
      </c>
      <c r="AZ59" s="3">
        <f t="shared" si="6"/>
        <v>0</v>
      </c>
      <c r="BA59" s="3">
        <f t="shared" si="7"/>
        <v>0</v>
      </c>
      <c r="BB59" s="3">
        <f t="shared" si="8"/>
        <v>0</v>
      </c>
      <c r="BC59" s="3">
        <f t="shared" si="9"/>
        <v>0</v>
      </c>
      <c r="BD59" s="3">
        <f t="shared" si="10"/>
        <v>0</v>
      </c>
      <c r="BE59" s="3">
        <f t="shared" si="11"/>
        <v>0</v>
      </c>
      <c r="BF59" s="3">
        <f t="shared" si="12"/>
        <v>0</v>
      </c>
      <c r="BG59" s="3">
        <f t="shared" si="13"/>
        <v>0</v>
      </c>
      <c r="BH59" s="3">
        <f t="shared" si="14"/>
        <v>0</v>
      </c>
      <c r="BI59" s="3">
        <f t="shared" si="15"/>
        <v>5</v>
      </c>
    </row>
    <row r="60" spans="1:61" x14ac:dyDescent="0.25">
      <c r="A60" s="29">
        <v>55</v>
      </c>
      <c r="B60" s="3" t="s">
        <v>770</v>
      </c>
      <c r="C60" s="13" t="s">
        <v>287</v>
      </c>
      <c r="D60" s="13" t="s">
        <v>771</v>
      </c>
      <c r="E60" s="13" t="s">
        <v>772</v>
      </c>
      <c r="F60" s="18" t="s">
        <v>371</v>
      </c>
      <c r="G60" s="18">
        <v>45719</v>
      </c>
      <c r="H60" s="18" t="s">
        <v>35</v>
      </c>
      <c r="I60" s="13" t="s">
        <v>23</v>
      </c>
      <c r="J60" s="13" t="s">
        <v>24</v>
      </c>
      <c r="K60" s="13" t="s">
        <v>25</v>
      </c>
      <c r="L60" s="13" t="s">
        <v>446</v>
      </c>
      <c r="M60" s="13" t="s">
        <v>1621</v>
      </c>
      <c r="N60" s="4" t="s">
        <v>773</v>
      </c>
      <c r="O60" s="4" t="s">
        <v>28</v>
      </c>
      <c r="P60" s="1" t="s">
        <v>5</v>
      </c>
      <c r="Q60" s="1" t="s">
        <v>39</v>
      </c>
      <c r="R60" s="1" t="s">
        <v>39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3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3">
        <f t="shared" si="0"/>
        <v>2</v>
      </c>
      <c r="AU60" s="3">
        <f t="shared" si="1"/>
        <v>0</v>
      </c>
      <c r="AV60" s="3">
        <f t="shared" si="2"/>
        <v>0</v>
      </c>
      <c r="AW60" s="3">
        <f t="shared" si="3"/>
        <v>0</v>
      </c>
      <c r="AX60" s="3">
        <f t="shared" si="4"/>
        <v>0</v>
      </c>
      <c r="AY60" s="3">
        <f t="shared" si="5"/>
        <v>1</v>
      </c>
      <c r="AZ60" s="3">
        <f t="shared" si="6"/>
        <v>0</v>
      </c>
      <c r="BA60" s="3">
        <f t="shared" si="7"/>
        <v>0</v>
      </c>
      <c r="BB60" s="3">
        <f t="shared" si="8"/>
        <v>0</v>
      </c>
      <c r="BC60" s="3">
        <f t="shared" si="9"/>
        <v>0</v>
      </c>
      <c r="BD60" s="3">
        <f t="shared" si="10"/>
        <v>0</v>
      </c>
      <c r="BE60" s="3">
        <f t="shared" si="11"/>
        <v>0</v>
      </c>
      <c r="BF60" s="3">
        <f t="shared" si="12"/>
        <v>0</v>
      </c>
      <c r="BG60" s="3">
        <f t="shared" si="13"/>
        <v>0</v>
      </c>
      <c r="BH60" s="3">
        <f t="shared" si="14"/>
        <v>0</v>
      </c>
      <c r="BI60" s="3">
        <f t="shared" si="15"/>
        <v>3</v>
      </c>
    </row>
    <row r="61" spans="1:61" x14ac:dyDescent="0.25">
      <c r="A61" s="29">
        <v>53</v>
      </c>
      <c r="B61" s="3" t="s">
        <v>501</v>
      </c>
      <c r="C61" s="13" t="s">
        <v>502</v>
      </c>
      <c r="D61" s="13" t="s">
        <v>494</v>
      </c>
      <c r="E61" s="13" t="s">
        <v>503</v>
      </c>
      <c r="F61" s="18" t="s">
        <v>371</v>
      </c>
      <c r="G61" s="18">
        <v>45719</v>
      </c>
      <c r="H61" s="18" t="s">
        <v>35</v>
      </c>
      <c r="I61" s="13" t="s">
        <v>23</v>
      </c>
      <c r="J61" s="13" t="s">
        <v>24</v>
      </c>
      <c r="K61" s="13" t="s">
        <v>36</v>
      </c>
      <c r="L61" s="13" t="s">
        <v>446</v>
      </c>
      <c r="M61" s="13" t="s">
        <v>1</v>
      </c>
      <c r="N61" s="4" t="s">
        <v>504</v>
      </c>
      <c r="O61" s="4" t="s">
        <v>28</v>
      </c>
      <c r="P61" s="1" t="s">
        <v>5</v>
      </c>
      <c r="Q61" s="1" t="s">
        <v>29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3">
        <f t="shared" si="0"/>
        <v>0</v>
      </c>
      <c r="AU61" s="3">
        <f t="shared" si="1"/>
        <v>1</v>
      </c>
      <c r="AV61" s="3">
        <f t="shared" si="2"/>
        <v>0</v>
      </c>
      <c r="AW61" s="3">
        <f t="shared" si="3"/>
        <v>0</v>
      </c>
      <c r="AX61" s="3">
        <f t="shared" si="4"/>
        <v>0</v>
      </c>
      <c r="AY61" s="3">
        <f t="shared" si="5"/>
        <v>1</v>
      </c>
      <c r="AZ61" s="3">
        <f t="shared" si="6"/>
        <v>0</v>
      </c>
      <c r="BA61" s="3">
        <f t="shared" si="7"/>
        <v>0</v>
      </c>
      <c r="BB61" s="3">
        <f t="shared" si="8"/>
        <v>0</v>
      </c>
      <c r="BC61" s="3">
        <f t="shared" si="9"/>
        <v>0</v>
      </c>
      <c r="BD61" s="3">
        <f t="shared" si="10"/>
        <v>0</v>
      </c>
      <c r="BE61" s="3">
        <f t="shared" si="11"/>
        <v>0</v>
      </c>
      <c r="BF61" s="3">
        <f t="shared" si="12"/>
        <v>0</v>
      </c>
      <c r="BG61" s="3">
        <f t="shared" si="13"/>
        <v>0</v>
      </c>
      <c r="BH61" s="3">
        <f t="shared" si="14"/>
        <v>0</v>
      </c>
      <c r="BI61" s="3">
        <f t="shared" si="15"/>
        <v>2</v>
      </c>
    </row>
    <row r="62" spans="1:61" x14ac:dyDescent="0.25">
      <c r="A62" s="29">
        <v>56</v>
      </c>
      <c r="B62" s="3" t="s">
        <v>700</v>
      </c>
      <c r="C62" s="13" t="s">
        <v>701</v>
      </c>
      <c r="D62" s="13" t="s">
        <v>702</v>
      </c>
      <c r="E62" s="13" t="s">
        <v>703</v>
      </c>
      <c r="F62" s="22" t="s">
        <v>704</v>
      </c>
      <c r="G62" s="25">
        <v>45720</v>
      </c>
      <c r="H62" s="25" t="s">
        <v>35</v>
      </c>
      <c r="I62" s="22" t="s">
        <v>23</v>
      </c>
      <c r="J62" s="22" t="s">
        <v>24</v>
      </c>
      <c r="K62" s="13" t="s">
        <v>84</v>
      </c>
      <c r="L62" s="13" t="s">
        <v>85</v>
      </c>
      <c r="M62" s="13" t="s">
        <v>1621</v>
      </c>
      <c r="N62" s="4" t="s">
        <v>705</v>
      </c>
      <c r="O62" s="4" t="s">
        <v>84</v>
      </c>
      <c r="P62" s="1" t="s">
        <v>39</v>
      </c>
      <c r="Q62" s="1" t="s">
        <v>39</v>
      </c>
      <c r="R62" s="1" t="s">
        <v>5</v>
      </c>
      <c r="S62" s="1" t="s">
        <v>5</v>
      </c>
      <c r="T62" s="1" t="s">
        <v>5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3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3">
        <f t="shared" si="0"/>
        <v>2</v>
      </c>
      <c r="AU62" s="3">
        <f t="shared" si="1"/>
        <v>0</v>
      </c>
      <c r="AV62" s="3">
        <f t="shared" si="2"/>
        <v>0</v>
      </c>
      <c r="AW62" s="3">
        <f t="shared" si="3"/>
        <v>0</v>
      </c>
      <c r="AX62" s="3">
        <f t="shared" si="4"/>
        <v>0</v>
      </c>
      <c r="AY62" s="3">
        <f t="shared" si="5"/>
        <v>3</v>
      </c>
      <c r="AZ62" s="3">
        <f t="shared" si="6"/>
        <v>0</v>
      </c>
      <c r="BA62" s="3">
        <f t="shared" si="7"/>
        <v>0</v>
      </c>
      <c r="BB62" s="3">
        <f t="shared" si="8"/>
        <v>0</v>
      </c>
      <c r="BC62" s="3">
        <f t="shared" si="9"/>
        <v>0</v>
      </c>
      <c r="BD62" s="3">
        <f t="shared" si="10"/>
        <v>0</v>
      </c>
      <c r="BE62" s="3">
        <f t="shared" si="11"/>
        <v>0</v>
      </c>
      <c r="BF62" s="3">
        <f t="shared" si="12"/>
        <v>0</v>
      </c>
      <c r="BG62" s="3">
        <f t="shared" si="13"/>
        <v>0</v>
      </c>
      <c r="BH62" s="3">
        <f t="shared" si="14"/>
        <v>0</v>
      </c>
      <c r="BI62" s="3">
        <f t="shared" si="15"/>
        <v>5</v>
      </c>
    </row>
    <row r="63" spans="1:61" x14ac:dyDescent="0.25">
      <c r="A63" s="29">
        <v>59</v>
      </c>
      <c r="B63" s="3" t="s">
        <v>98</v>
      </c>
      <c r="C63" s="13" t="s">
        <v>99</v>
      </c>
      <c r="D63" s="13" t="s">
        <v>100</v>
      </c>
      <c r="E63" s="13" t="s">
        <v>101</v>
      </c>
      <c r="F63" s="18" t="s">
        <v>102</v>
      </c>
      <c r="G63" s="18">
        <v>45721</v>
      </c>
      <c r="H63" s="18" t="s">
        <v>35</v>
      </c>
      <c r="I63" s="13" t="s">
        <v>23</v>
      </c>
      <c r="J63" s="13" t="s">
        <v>24</v>
      </c>
      <c r="K63" s="13" t="s">
        <v>36</v>
      </c>
      <c r="L63" s="13" t="s">
        <v>85</v>
      </c>
      <c r="M63" s="13" t="s">
        <v>1621</v>
      </c>
      <c r="N63" s="4" t="s">
        <v>103</v>
      </c>
      <c r="O63" s="4" t="s">
        <v>28</v>
      </c>
      <c r="P63" s="1" t="s">
        <v>5</v>
      </c>
      <c r="Q63" s="1" t="s">
        <v>29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3">
        <f t="shared" si="0"/>
        <v>0</v>
      </c>
      <c r="AU63" s="3">
        <f t="shared" si="1"/>
        <v>1</v>
      </c>
      <c r="AV63" s="3">
        <f t="shared" si="2"/>
        <v>0</v>
      </c>
      <c r="AW63" s="3">
        <f t="shared" si="3"/>
        <v>0</v>
      </c>
      <c r="AX63" s="3">
        <f t="shared" si="4"/>
        <v>0</v>
      </c>
      <c r="AY63" s="3">
        <f t="shared" si="5"/>
        <v>1</v>
      </c>
      <c r="AZ63" s="3">
        <f t="shared" si="6"/>
        <v>0</v>
      </c>
      <c r="BA63" s="3">
        <f t="shared" si="7"/>
        <v>0</v>
      </c>
      <c r="BB63" s="3">
        <f t="shared" si="8"/>
        <v>0</v>
      </c>
      <c r="BC63" s="3">
        <f t="shared" si="9"/>
        <v>0</v>
      </c>
      <c r="BD63" s="3">
        <f t="shared" si="10"/>
        <v>0</v>
      </c>
      <c r="BE63" s="3">
        <f t="shared" si="11"/>
        <v>0</v>
      </c>
      <c r="BF63" s="3">
        <f t="shared" si="12"/>
        <v>0</v>
      </c>
      <c r="BG63" s="3">
        <f t="shared" si="13"/>
        <v>0</v>
      </c>
      <c r="BH63" s="3">
        <f t="shared" si="14"/>
        <v>0</v>
      </c>
      <c r="BI63" s="3">
        <f t="shared" si="15"/>
        <v>2</v>
      </c>
    </row>
    <row r="64" spans="1:61" x14ac:dyDescent="0.25">
      <c r="A64" s="29">
        <v>57</v>
      </c>
      <c r="B64" s="3" t="s">
        <v>856</v>
      </c>
      <c r="C64" s="13" t="s">
        <v>449</v>
      </c>
      <c r="D64" s="13" t="s">
        <v>426</v>
      </c>
      <c r="E64" s="13" t="s">
        <v>857</v>
      </c>
      <c r="F64" s="18" t="s">
        <v>1521</v>
      </c>
      <c r="G64" s="18">
        <v>45721</v>
      </c>
      <c r="H64" s="18" t="s">
        <v>35</v>
      </c>
      <c r="I64" s="13" t="s">
        <v>23</v>
      </c>
      <c r="J64" s="13" t="s">
        <v>24</v>
      </c>
      <c r="K64" s="13" t="s">
        <v>25</v>
      </c>
      <c r="L64" s="13" t="s">
        <v>68</v>
      </c>
      <c r="M64" s="13" t="s">
        <v>1621</v>
      </c>
      <c r="N64" s="4" t="s">
        <v>858</v>
      </c>
      <c r="O64" s="4" t="s">
        <v>28</v>
      </c>
      <c r="P64" s="1" t="s">
        <v>5</v>
      </c>
      <c r="Q64" s="1" t="s">
        <v>1674</v>
      </c>
      <c r="R64" s="1" t="s">
        <v>39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3"/>
      <c r="AF64" s="3"/>
      <c r="AG64" s="3"/>
      <c r="AH64" s="3"/>
      <c r="AI64" s="3"/>
      <c r="AJ64" s="3"/>
      <c r="AK64" s="3"/>
      <c r="AL64" s="3"/>
      <c r="AM64" s="3"/>
      <c r="AN64" s="1"/>
      <c r="AO64" s="1"/>
      <c r="AP64" s="1"/>
      <c r="AQ64" s="1"/>
      <c r="AR64" s="1"/>
      <c r="AS64" s="1"/>
      <c r="AT64" s="3">
        <f t="shared" si="0"/>
        <v>1</v>
      </c>
      <c r="AU64" s="3">
        <f t="shared" si="1"/>
        <v>0</v>
      </c>
      <c r="AV64" s="3">
        <f t="shared" si="2"/>
        <v>0</v>
      </c>
      <c r="AW64" s="3">
        <f t="shared" si="3"/>
        <v>0</v>
      </c>
      <c r="AX64" s="3">
        <f t="shared" si="4"/>
        <v>0</v>
      </c>
      <c r="AY64" s="3">
        <f t="shared" si="5"/>
        <v>1</v>
      </c>
      <c r="AZ64" s="3">
        <f t="shared" si="6"/>
        <v>1</v>
      </c>
      <c r="BA64" s="3">
        <f t="shared" si="7"/>
        <v>0</v>
      </c>
      <c r="BB64" s="3">
        <f t="shared" si="8"/>
        <v>0</v>
      </c>
      <c r="BC64" s="3">
        <f t="shared" si="9"/>
        <v>0</v>
      </c>
      <c r="BD64" s="3">
        <f t="shared" si="10"/>
        <v>0</v>
      </c>
      <c r="BE64" s="3">
        <f t="shared" si="11"/>
        <v>0</v>
      </c>
      <c r="BF64" s="3">
        <f t="shared" si="12"/>
        <v>0</v>
      </c>
      <c r="BG64" s="3">
        <f t="shared" si="13"/>
        <v>0</v>
      </c>
      <c r="BH64" s="3">
        <f t="shared" si="14"/>
        <v>0</v>
      </c>
      <c r="BI64" s="3">
        <f t="shared" si="15"/>
        <v>2</v>
      </c>
    </row>
    <row r="65" spans="1:126" x14ac:dyDescent="0.25">
      <c r="A65" s="29">
        <v>58</v>
      </c>
      <c r="B65" s="3" t="s">
        <v>712</v>
      </c>
      <c r="C65" s="13" t="s">
        <v>713</v>
      </c>
      <c r="D65" s="13" t="s">
        <v>710</v>
      </c>
      <c r="E65" s="13" t="s">
        <v>714</v>
      </c>
      <c r="F65" s="18" t="s">
        <v>1529</v>
      </c>
      <c r="G65" s="18">
        <v>45721</v>
      </c>
      <c r="H65" s="18" t="s">
        <v>35</v>
      </c>
      <c r="I65" s="13" t="s">
        <v>23</v>
      </c>
      <c r="J65" s="13" t="s">
        <v>24</v>
      </c>
      <c r="K65" s="13" t="s">
        <v>25</v>
      </c>
      <c r="L65" s="13" t="s">
        <v>26</v>
      </c>
      <c r="M65" s="13" t="s">
        <v>1621</v>
      </c>
      <c r="N65" s="4" t="s">
        <v>715</v>
      </c>
      <c r="O65" s="4" t="s">
        <v>28</v>
      </c>
      <c r="P65" s="1" t="s">
        <v>5</v>
      </c>
      <c r="Q65" s="1" t="s">
        <v>39</v>
      </c>
      <c r="R65" s="1" t="s">
        <v>39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3"/>
      <c r="AI65" s="3"/>
      <c r="AJ65" s="3"/>
      <c r="AK65" s="3"/>
      <c r="AL65" s="3"/>
      <c r="AM65" s="3"/>
      <c r="AN65" s="1"/>
      <c r="AO65" s="1"/>
      <c r="AP65" s="1"/>
      <c r="AQ65" s="1"/>
      <c r="AR65" s="1"/>
      <c r="AS65" s="1"/>
      <c r="AT65" s="3">
        <f t="shared" si="0"/>
        <v>2</v>
      </c>
      <c r="AU65" s="3">
        <f t="shared" si="1"/>
        <v>0</v>
      </c>
      <c r="AV65" s="3">
        <f t="shared" si="2"/>
        <v>0</v>
      </c>
      <c r="AW65" s="3">
        <f t="shared" si="3"/>
        <v>0</v>
      </c>
      <c r="AX65" s="3">
        <f t="shared" si="4"/>
        <v>0</v>
      </c>
      <c r="AY65" s="3">
        <f t="shared" si="5"/>
        <v>1</v>
      </c>
      <c r="AZ65" s="3">
        <f t="shared" si="6"/>
        <v>0</v>
      </c>
      <c r="BA65" s="3">
        <f t="shared" si="7"/>
        <v>0</v>
      </c>
      <c r="BB65" s="3">
        <f t="shared" si="8"/>
        <v>0</v>
      </c>
      <c r="BC65" s="3">
        <f t="shared" si="9"/>
        <v>0</v>
      </c>
      <c r="BD65" s="3">
        <f t="shared" si="10"/>
        <v>0</v>
      </c>
      <c r="BE65" s="3">
        <f t="shared" si="11"/>
        <v>0</v>
      </c>
      <c r="BF65" s="3">
        <f t="shared" si="12"/>
        <v>0</v>
      </c>
      <c r="BG65" s="3">
        <f t="shared" si="13"/>
        <v>0</v>
      </c>
      <c r="BH65" s="3">
        <f t="shared" si="14"/>
        <v>0</v>
      </c>
      <c r="BI65" s="3">
        <f t="shared" si="15"/>
        <v>3</v>
      </c>
    </row>
    <row r="66" spans="1:126" x14ac:dyDescent="0.25">
      <c r="A66" s="29">
        <v>60</v>
      </c>
      <c r="B66" s="3" t="s">
        <v>870</v>
      </c>
      <c r="C66" s="13" t="s">
        <v>871</v>
      </c>
      <c r="D66" s="13" t="s">
        <v>310</v>
      </c>
      <c r="E66" s="13" t="s">
        <v>115</v>
      </c>
      <c r="F66" s="18" t="s">
        <v>1528</v>
      </c>
      <c r="G66" s="18">
        <v>45721</v>
      </c>
      <c r="H66" s="18" t="s">
        <v>35</v>
      </c>
      <c r="I66" s="13" t="s">
        <v>23</v>
      </c>
      <c r="J66" s="13" t="s">
        <v>24</v>
      </c>
      <c r="K66" s="13" t="s">
        <v>25</v>
      </c>
      <c r="L66" s="13" t="s">
        <v>85</v>
      </c>
      <c r="M66" s="13" t="s">
        <v>1621</v>
      </c>
      <c r="N66" s="4" t="s">
        <v>872</v>
      </c>
      <c r="O66" s="4" t="s">
        <v>28</v>
      </c>
      <c r="P66" s="1" t="s">
        <v>5</v>
      </c>
      <c r="Q66" s="1" t="s">
        <v>39</v>
      </c>
      <c r="R66" s="1" t="s">
        <v>39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3">
        <f t="shared" si="0"/>
        <v>2</v>
      </c>
      <c r="AU66" s="3">
        <f t="shared" si="1"/>
        <v>0</v>
      </c>
      <c r="AV66" s="3">
        <f t="shared" si="2"/>
        <v>0</v>
      </c>
      <c r="AW66" s="3">
        <f t="shared" si="3"/>
        <v>0</v>
      </c>
      <c r="AX66" s="3">
        <f t="shared" si="4"/>
        <v>0</v>
      </c>
      <c r="AY66" s="3">
        <f t="shared" si="5"/>
        <v>1</v>
      </c>
      <c r="AZ66" s="3">
        <f t="shared" si="6"/>
        <v>0</v>
      </c>
      <c r="BA66" s="3">
        <f t="shared" si="7"/>
        <v>0</v>
      </c>
      <c r="BB66" s="3">
        <f t="shared" si="8"/>
        <v>0</v>
      </c>
      <c r="BC66" s="3">
        <f t="shared" si="9"/>
        <v>0</v>
      </c>
      <c r="BD66" s="3">
        <f t="shared" si="10"/>
        <v>0</v>
      </c>
      <c r="BE66" s="3">
        <f t="shared" si="11"/>
        <v>0</v>
      </c>
      <c r="BF66" s="3">
        <f t="shared" si="12"/>
        <v>0</v>
      </c>
      <c r="BG66" s="3">
        <f t="shared" si="13"/>
        <v>0</v>
      </c>
      <c r="BH66" s="3">
        <f t="shared" si="14"/>
        <v>0</v>
      </c>
      <c r="BI66" s="3">
        <f t="shared" si="15"/>
        <v>3</v>
      </c>
    </row>
    <row r="67" spans="1:126" s="17" customFormat="1" x14ac:dyDescent="0.25">
      <c r="A67" s="29">
        <v>61</v>
      </c>
      <c r="B67" s="3" t="s">
        <v>253</v>
      </c>
      <c r="C67" s="13" t="s">
        <v>254</v>
      </c>
      <c r="D67" s="13" t="s">
        <v>255</v>
      </c>
      <c r="E67" s="13" t="s">
        <v>256</v>
      </c>
      <c r="F67" s="18" t="s">
        <v>1532</v>
      </c>
      <c r="G67" s="18">
        <v>45721</v>
      </c>
      <c r="H67" s="18" t="s">
        <v>35</v>
      </c>
      <c r="I67" s="13" t="s">
        <v>23</v>
      </c>
      <c r="J67" s="13" t="s">
        <v>24</v>
      </c>
      <c r="K67" s="13" t="s">
        <v>25</v>
      </c>
      <c r="L67" s="13" t="s">
        <v>26</v>
      </c>
      <c r="M67" s="13" t="s">
        <v>1621</v>
      </c>
      <c r="N67" s="4" t="s">
        <v>257</v>
      </c>
      <c r="O67" s="4" t="s">
        <v>28</v>
      </c>
      <c r="P67" s="1" t="s">
        <v>5</v>
      </c>
      <c r="Q67" s="1" t="s">
        <v>39</v>
      </c>
      <c r="R67" s="1" t="s">
        <v>39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3">
        <f t="shared" si="0"/>
        <v>2</v>
      </c>
      <c r="AU67" s="3">
        <f t="shared" si="1"/>
        <v>0</v>
      </c>
      <c r="AV67" s="3">
        <f t="shared" si="2"/>
        <v>0</v>
      </c>
      <c r="AW67" s="3">
        <f t="shared" si="3"/>
        <v>0</v>
      </c>
      <c r="AX67" s="3">
        <f t="shared" si="4"/>
        <v>0</v>
      </c>
      <c r="AY67" s="3">
        <f t="shared" si="5"/>
        <v>1</v>
      </c>
      <c r="AZ67" s="3">
        <f t="shared" si="6"/>
        <v>0</v>
      </c>
      <c r="BA67" s="3">
        <f t="shared" si="7"/>
        <v>0</v>
      </c>
      <c r="BB67" s="3">
        <f t="shared" si="8"/>
        <v>0</v>
      </c>
      <c r="BC67" s="3">
        <f t="shared" si="9"/>
        <v>0</v>
      </c>
      <c r="BD67" s="3">
        <f t="shared" si="10"/>
        <v>0</v>
      </c>
      <c r="BE67" s="3">
        <f t="shared" si="11"/>
        <v>0</v>
      </c>
      <c r="BF67" s="3">
        <f t="shared" si="12"/>
        <v>0</v>
      </c>
      <c r="BG67" s="3">
        <f t="shared" si="13"/>
        <v>0</v>
      </c>
      <c r="BH67" s="3">
        <f t="shared" si="14"/>
        <v>0</v>
      </c>
      <c r="BI67" s="3">
        <f t="shared" si="15"/>
        <v>3</v>
      </c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</row>
    <row r="68" spans="1:126" x14ac:dyDescent="0.25">
      <c r="A68" s="37">
        <v>62</v>
      </c>
      <c r="B68" s="13" t="s">
        <v>747</v>
      </c>
      <c r="C68" s="13" t="s">
        <v>748</v>
      </c>
      <c r="D68" s="13" t="s">
        <v>749</v>
      </c>
      <c r="E68" s="13" t="s">
        <v>750</v>
      </c>
      <c r="F68" s="18" t="s">
        <v>50</v>
      </c>
      <c r="G68" s="18">
        <v>45721</v>
      </c>
      <c r="H68" s="18" t="s">
        <v>35</v>
      </c>
      <c r="I68" s="13" t="s">
        <v>23</v>
      </c>
      <c r="J68" s="13" t="s">
        <v>24</v>
      </c>
      <c r="K68" s="13" t="s">
        <v>25</v>
      </c>
      <c r="L68" s="13" t="s">
        <v>26</v>
      </c>
      <c r="M68" s="13" t="s">
        <v>1621</v>
      </c>
      <c r="N68" s="4" t="s">
        <v>751</v>
      </c>
      <c r="O68" s="4" t="s">
        <v>28</v>
      </c>
      <c r="P68" s="14" t="s">
        <v>3</v>
      </c>
      <c r="Q68" s="14" t="s">
        <v>3</v>
      </c>
      <c r="R68" s="14" t="s">
        <v>3</v>
      </c>
      <c r="S68" s="14" t="s">
        <v>3</v>
      </c>
      <c r="T68" s="14" t="s">
        <v>3</v>
      </c>
      <c r="U68" s="14" t="s">
        <v>3</v>
      </c>
      <c r="V68" s="14" t="s">
        <v>3</v>
      </c>
      <c r="W68" s="14" t="s">
        <v>3</v>
      </c>
      <c r="X68" s="14" t="s">
        <v>3</v>
      </c>
      <c r="Y68" s="14" t="s">
        <v>3</v>
      </c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3">
        <f t="shared" si="0"/>
        <v>0</v>
      </c>
      <c r="AU68" s="13">
        <f t="shared" si="1"/>
        <v>0</v>
      </c>
      <c r="AV68" s="13">
        <f t="shared" si="2"/>
        <v>0</v>
      </c>
      <c r="AW68" s="13">
        <f t="shared" si="3"/>
        <v>0</v>
      </c>
      <c r="AX68" s="13">
        <f t="shared" si="4"/>
        <v>0</v>
      </c>
      <c r="AY68" s="13">
        <f t="shared" si="5"/>
        <v>0</v>
      </c>
      <c r="AZ68" s="13">
        <f t="shared" si="6"/>
        <v>0</v>
      </c>
      <c r="BA68" s="13">
        <f t="shared" si="7"/>
        <v>0</v>
      </c>
      <c r="BB68" s="13">
        <f t="shared" si="8"/>
        <v>0</v>
      </c>
      <c r="BC68" s="13">
        <f t="shared" si="9"/>
        <v>0</v>
      </c>
      <c r="BD68" s="13">
        <f t="shared" si="10"/>
        <v>0</v>
      </c>
      <c r="BE68" s="13">
        <f t="shared" si="11"/>
        <v>10</v>
      </c>
      <c r="BF68" s="13">
        <f t="shared" si="12"/>
        <v>0</v>
      </c>
      <c r="BG68" s="13">
        <f t="shared" si="13"/>
        <v>0</v>
      </c>
      <c r="BH68" s="13">
        <f t="shared" si="14"/>
        <v>0</v>
      </c>
      <c r="BI68" s="13">
        <f t="shared" si="15"/>
        <v>10</v>
      </c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</row>
    <row r="69" spans="1:126" x14ac:dyDescent="0.25">
      <c r="A69" s="29">
        <v>63</v>
      </c>
      <c r="B69" s="3" t="s">
        <v>79</v>
      </c>
      <c r="C69" s="13" t="s">
        <v>80</v>
      </c>
      <c r="D69" s="13" t="s">
        <v>81</v>
      </c>
      <c r="E69" s="13" t="s">
        <v>82</v>
      </c>
      <c r="F69" s="18" t="s">
        <v>83</v>
      </c>
      <c r="G69" s="18">
        <v>45721</v>
      </c>
      <c r="H69" s="18" t="s">
        <v>35</v>
      </c>
      <c r="I69" s="13" t="s">
        <v>23</v>
      </c>
      <c r="J69" s="13" t="s">
        <v>24</v>
      </c>
      <c r="K69" s="13" t="s">
        <v>405</v>
      </c>
      <c r="L69" s="13" t="s">
        <v>85</v>
      </c>
      <c r="M69" s="13" t="s">
        <v>1621</v>
      </c>
      <c r="N69" s="4" t="s">
        <v>86</v>
      </c>
      <c r="O69" s="4" t="s">
        <v>28</v>
      </c>
      <c r="P69" s="1" t="s">
        <v>5</v>
      </c>
      <c r="Q69" s="1" t="s">
        <v>39</v>
      </c>
      <c r="R69" s="1" t="s">
        <v>39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3"/>
      <c r="AF69" s="3"/>
      <c r="AG69" s="3"/>
      <c r="AH69" s="3"/>
      <c r="AI69" s="3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3">
        <f t="shared" si="0"/>
        <v>2</v>
      </c>
      <c r="AU69" s="3">
        <f t="shared" si="1"/>
        <v>0</v>
      </c>
      <c r="AV69" s="3">
        <f t="shared" si="2"/>
        <v>0</v>
      </c>
      <c r="AW69" s="3">
        <f t="shared" si="3"/>
        <v>0</v>
      </c>
      <c r="AX69" s="3">
        <f t="shared" si="4"/>
        <v>0</v>
      </c>
      <c r="AY69" s="3">
        <f t="shared" si="5"/>
        <v>1</v>
      </c>
      <c r="AZ69" s="3">
        <f t="shared" si="6"/>
        <v>0</v>
      </c>
      <c r="BA69" s="3">
        <f t="shared" si="7"/>
        <v>0</v>
      </c>
      <c r="BB69" s="3">
        <f t="shared" si="8"/>
        <v>0</v>
      </c>
      <c r="BC69" s="3">
        <f t="shared" si="9"/>
        <v>0</v>
      </c>
      <c r="BD69" s="3">
        <f t="shared" si="10"/>
        <v>0</v>
      </c>
      <c r="BE69" s="3">
        <f t="shared" si="11"/>
        <v>0</v>
      </c>
      <c r="BF69" s="3">
        <f t="shared" si="12"/>
        <v>0</v>
      </c>
      <c r="BG69" s="3">
        <f t="shared" si="13"/>
        <v>0</v>
      </c>
      <c r="BH69" s="3">
        <f t="shared" si="14"/>
        <v>0</v>
      </c>
      <c r="BI69" s="3">
        <f t="shared" si="15"/>
        <v>3</v>
      </c>
    </row>
    <row r="70" spans="1:126" x14ac:dyDescent="0.25">
      <c r="A70" s="29">
        <v>65</v>
      </c>
      <c r="B70" s="3" t="s">
        <v>939</v>
      </c>
      <c r="C70" s="13" t="s">
        <v>940</v>
      </c>
      <c r="D70" s="13" t="s">
        <v>941</v>
      </c>
      <c r="E70" s="13" t="s">
        <v>942</v>
      </c>
      <c r="F70" s="18" t="s">
        <v>50</v>
      </c>
      <c r="G70" s="18">
        <v>45721</v>
      </c>
      <c r="H70" s="18" t="s">
        <v>35</v>
      </c>
      <c r="I70" s="13" t="s">
        <v>23</v>
      </c>
      <c r="J70" s="13" t="s">
        <v>24</v>
      </c>
      <c r="K70" s="13" t="s">
        <v>25</v>
      </c>
      <c r="L70" s="13" t="s">
        <v>26</v>
      </c>
      <c r="M70" s="13" t="s">
        <v>1621</v>
      </c>
      <c r="N70" s="4" t="s">
        <v>943</v>
      </c>
      <c r="O70" s="4" t="s">
        <v>28</v>
      </c>
      <c r="P70" s="1" t="s">
        <v>5</v>
      </c>
      <c r="Q70" s="1" t="s">
        <v>1688</v>
      </c>
      <c r="R70" s="1" t="s">
        <v>1688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3">
        <f t="shared" si="0"/>
        <v>0</v>
      </c>
      <c r="AU70" s="3">
        <f t="shared" si="1"/>
        <v>0</v>
      </c>
      <c r="AV70" s="3">
        <f t="shared" si="2"/>
        <v>0</v>
      </c>
      <c r="AW70" s="3">
        <f t="shared" si="3"/>
        <v>0</v>
      </c>
      <c r="AX70" s="3">
        <f t="shared" si="4"/>
        <v>0</v>
      </c>
      <c r="AY70" s="3">
        <f t="shared" si="5"/>
        <v>1</v>
      </c>
      <c r="AZ70" s="3">
        <f t="shared" si="6"/>
        <v>0</v>
      </c>
      <c r="BA70" s="3">
        <f t="shared" si="7"/>
        <v>0</v>
      </c>
      <c r="BB70" s="3">
        <f t="shared" si="8"/>
        <v>0</v>
      </c>
      <c r="BC70" s="3">
        <f t="shared" si="9"/>
        <v>0</v>
      </c>
      <c r="BD70" s="3">
        <f t="shared" si="10"/>
        <v>0</v>
      </c>
      <c r="BE70" s="3">
        <f t="shared" si="11"/>
        <v>0</v>
      </c>
      <c r="BF70" s="3">
        <f t="shared" si="12"/>
        <v>2</v>
      </c>
      <c r="BG70" s="3">
        <f t="shared" si="13"/>
        <v>0</v>
      </c>
      <c r="BH70" s="3">
        <f t="shared" si="14"/>
        <v>0</v>
      </c>
      <c r="BI70" s="3">
        <f t="shared" si="15"/>
        <v>3</v>
      </c>
    </row>
    <row r="71" spans="1:126" x14ac:dyDescent="0.25">
      <c r="A71" s="29">
        <v>68</v>
      </c>
      <c r="B71" s="3" t="s">
        <v>30</v>
      </c>
      <c r="C71" s="13" t="s">
        <v>31</v>
      </c>
      <c r="D71" s="13" t="s">
        <v>32</v>
      </c>
      <c r="E71" s="13" t="s">
        <v>33</v>
      </c>
      <c r="F71" s="18" t="s">
        <v>34</v>
      </c>
      <c r="G71" s="18">
        <v>45721</v>
      </c>
      <c r="H71" s="18" t="s">
        <v>35</v>
      </c>
      <c r="I71" s="13" t="s">
        <v>23</v>
      </c>
      <c r="J71" s="13" t="s">
        <v>24</v>
      </c>
      <c r="K71" s="13" t="s">
        <v>36</v>
      </c>
      <c r="L71" s="13" t="s">
        <v>37</v>
      </c>
      <c r="M71" s="13" t="s">
        <v>1621</v>
      </c>
      <c r="N71" s="4" t="s">
        <v>38</v>
      </c>
      <c r="O71" s="4" t="s">
        <v>28</v>
      </c>
      <c r="P71" s="1" t="s">
        <v>5</v>
      </c>
      <c r="Q71" s="1" t="s">
        <v>29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3">
        <f t="shared" ref="AT71:AT134" si="16">+COUNTIF(P71:AS71,"A")</f>
        <v>0</v>
      </c>
      <c r="AU71" s="3">
        <f t="shared" ref="AU71:AU134" si="17">+COUNTIF(P71:AS71,"B")</f>
        <v>1</v>
      </c>
      <c r="AV71" s="3">
        <f t="shared" ref="AV71:AV134" si="18">+COUNTIF(P71:AS71,"ES")</f>
        <v>0</v>
      </c>
      <c r="AW71" s="3">
        <f t="shared" ref="AW71:AW134" si="19">+COUNTIF(P71:AS71,"T")</f>
        <v>0</v>
      </c>
      <c r="AX71" s="3">
        <f t="shared" ref="AX71:AX134" si="20">+COUNTIF(P71:AS71,"EC")</f>
        <v>0</v>
      </c>
      <c r="AY71" s="3">
        <f t="shared" ref="AY71:AY134" si="21">+COUNTIF(P71:AS71,"D")</f>
        <v>1</v>
      </c>
      <c r="AZ71" s="3">
        <f t="shared" ref="AZ71:AZ134" si="22">+COUNTIF(P71:AS71,"F")</f>
        <v>0</v>
      </c>
      <c r="BA71" s="3">
        <f t="shared" ref="BA71:BA134" si="23">+COUNTIF(P71:AS71,"LM")</f>
        <v>0</v>
      </c>
      <c r="BB71" s="3">
        <f t="shared" ref="BB71:BB134" si="24">+COUNTIF(P71:AS71,"PSG")</f>
        <v>0</v>
      </c>
      <c r="BC71" s="3">
        <f t="shared" ref="BC71:BC134" si="25">+COUNTIF(P71:AS71,"PS")</f>
        <v>0</v>
      </c>
      <c r="BD71" s="3">
        <f t="shared" ref="BD71:BD134" si="26">+COUNTIF(P71:AS71,"AD")</f>
        <v>0</v>
      </c>
      <c r="BE71" s="3">
        <f t="shared" ref="BE71:BE134" si="27">+COUNTIF(P71:AS71,"V")</f>
        <v>0</v>
      </c>
      <c r="BF71" s="3">
        <f t="shared" ref="BF71:BF134" si="28">+COUNTIF(P71:AS71,"IMM")</f>
        <v>0</v>
      </c>
      <c r="BG71" s="3">
        <f t="shared" ref="BG71:BG134" si="29">+COUNTIF(P71:AS71,"PCG")</f>
        <v>0</v>
      </c>
      <c r="BH71" s="3">
        <f t="shared" ref="BH71:BH134" si="30">+COUNTIF(P71:AS71,"AC")</f>
        <v>0</v>
      </c>
      <c r="BI71" s="3">
        <f t="shared" ref="BI71:BI134" si="31">AT71+AU71+AV71+AW71+AX71+AY71+BC71+BD71+BE71+BF71+BG71+BH71</f>
        <v>2</v>
      </c>
    </row>
    <row r="72" spans="1:126" x14ac:dyDescent="0.25">
      <c r="A72" s="29">
        <v>66</v>
      </c>
      <c r="B72" s="3" t="s">
        <v>868</v>
      </c>
      <c r="C72" s="13" t="s">
        <v>584</v>
      </c>
      <c r="D72" s="13" t="s">
        <v>584</v>
      </c>
      <c r="E72" s="13" t="s">
        <v>334</v>
      </c>
      <c r="F72" s="18" t="s">
        <v>50</v>
      </c>
      <c r="G72" s="18">
        <v>45721</v>
      </c>
      <c r="H72" s="18" t="s">
        <v>35</v>
      </c>
      <c r="I72" s="13" t="s">
        <v>23</v>
      </c>
      <c r="J72" s="13" t="s">
        <v>24</v>
      </c>
      <c r="K72" s="13" t="s">
        <v>25</v>
      </c>
      <c r="L72" s="13" t="s">
        <v>26</v>
      </c>
      <c r="M72" s="13" t="s">
        <v>1621</v>
      </c>
      <c r="N72" s="4" t="s">
        <v>869</v>
      </c>
      <c r="O72" s="4" t="s">
        <v>28</v>
      </c>
      <c r="P72" s="1" t="s">
        <v>5</v>
      </c>
      <c r="Q72" s="1" t="s">
        <v>39</v>
      </c>
      <c r="R72" s="1" t="s">
        <v>39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3">
        <f t="shared" si="16"/>
        <v>2</v>
      </c>
      <c r="AU72" s="3">
        <f t="shared" si="17"/>
        <v>0</v>
      </c>
      <c r="AV72" s="3">
        <f t="shared" si="18"/>
        <v>0</v>
      </c>
      <c r="AW72" s="3">
        <f t="shared" si="19"/>
        <v>0</v>
      </c>
      <c r="AX72" s="3">
        <f t="shared" si="20"/>
        <v>0</v>
      </c>
      <c r="AY72" s="3">
        <f t="shared" si="21"/>
        <v>1</v>
      </c>
      <c r="AZ72" s="3">
        <f t="shared" si="22"/>
        <v>0</v>
      </c>
      <c r="BA72" s="3">
        <f t="shared" si="23"/>
        <v>0</v>
      </c>
      <c r="BB72" s="3">
        <f t="shared" si="24"/>
        <v>0</v>
      </c>
      <c r="BC72" s="3">
        <f t="shared" si="25"/>
        <v>0</v>
      </c>
      <c r="BD72" s="3">
        <f t="shared" si="26"/>
        <v>0</v>
      </c>
      <c r="BE72" s="3">
        <f t="shared" si="27"/>
        <v>0</v>
      </c>
      <c r="BF72" s="3">
        <f t="shared" si="28"/>
        <v>0</v>
      </c>
      <c r="BG72" s="3">
        <f t="shared" si="29"/>
        <v>0</v>
      </c>
      <c r="BH72" s="3">
        <f t="shared" si="30"/>
        <v>0</v>
      </c>
      <c r="BI72" s="3">
        <f t="shared" si="31"/>
        <v>3</v>
      </c>
    </row>
    <row r="73" spans="1:126" x14ac:dyDescent="0.25">
      <c r="A73" s="29">
        <v>70</v>
      </c>
      <c r="B73" s="3" t="s">
        <v>646</v>
      </c>
      <c r="C73" s="13" t="s">
        <v>647</v>
      </c>
      <c r="D73" s="13" t="s">
        <v>648</v>
      </c>
      <c r="E73" s="13" t="s">
        <v>649</v>
      </c>
      <c r="F73" s="18" t="s">
        <v>1537</v>
      </c>
      <c r="G73" s="18">
        <v>45721</v>
      </c>
      <c r="H73" s="18" t="s">
        <v>35</v>
      </c>
      <c r="I73" s="13" t="s">
        <v>23</v>
      </c>
      <c r="J73" s="13" t="s">
        <v>24</v>
      </c>
      <c r="K73" s="13" t="s">
        <v>36</v>
      </c>
      <c r="L73" s="13" t="s">
        <v>37</v>
      </c>
      <c r="M73" s="13" t="s">
        <v>1621</v>
      </c>
      <c r="N73" s="4" t="s">
        <v>650</v>
      </c>
      <c r="O73" s="4" t="s">
        <v>28</v>
      </c>
      <c r="P73" s="1" t="s">
        <v>5</v>
      </c>
      <c r="Q73" s="1" t="s">
        <v>29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3">
        <f t="shared" si="16"/>
        <v>0</v>
      </c>
      <c r="AU73" s="3">
        <f t="shared" si="17"/>
        <v>1</v>
      </c>
      <c r="AV73" s="3">
        <f t="shared" si="18"/>
        <v>0</v>
      </c>
      <c r="AW73" s="3">
        <f t="shared" si="19"/>
        <v>0</v>
      </c>
      <c r="AX73" s="3">
        <f t="shared" si="20"/>
        <v>0</v>
      </c>
      <c r="AY73" s="3">
        <f t="shared" si="21"/>
        <v>1</v>
      </c>
      <c r="AZ73" s="3">
        <f t="shared" si="22"/>
        <v>0</v>
      </c>
      <c r="BA73" s="3">
        <f t="shared" si="23"/>
        <v>0</v>
      </c>
      <c r="BB73" s="3">
        <f t="shared" si="24"/>
        <v>0</v>
      </c>
      <c r="BC73" s="3">
        <f t="shared" si="25"/>
        <v>0</v>
      </c>
      <c r="BD73" s="3">
        <f t="shared" si="26"/>
        <v>0</v>
      </c>
      <c r="BE73" s="3">
        <f t="shared" si="27"/>
        <v>0</v>
      </c>
      <c r="BF73" s="3">
        <f t="shared" si="28"/>
        <v>0</v>
      </c>
      <c r="BG73" s="3">
        <f t="shared" si="29"/>
        <v>0</v>
      </c>
      <c r="BH73" s="3">
        <f t="shared" si="30"/>
        <v>0</v>
      </c>
      <c r="BI73" s="3">
        <f t="shared" si="31"/>
        <v>2</v>
      </c>
    </row>
    <row r="74" spans="1:126" x14ac:dyDescent="0.25">
      <c r="A74" s="29">
        <v>71</v>
      </c>
      <c r="B74" s="3" t="s">
        <v>794</v>
      </c>
      <c r="C74" s="13" t="s">
        <v>795</v>
      </c>
      <c r="D74" s="13" t="s">
        <v>135</v>
      </c>
      <c r="E74" s="13" t="s">
        <v>796</v>
      </c>
      <c r="F74" s="18" t="s">
        <v>1525</v>
      </c>
      <c r="G74" s="18">
        <v>45721</v>
      </c>
      <c r="H74" s="18" t="s">
        <v>35</v>
      </c>
      <c r="I74" s="13" t="s">
        <v>23</v>
      </c>
      <c r="J74" s="13" t="s">
        <v>24</v>
      </c>
      <c r="K74" s="13" t="s">
        <v>36</v>
      </c>
      <c r="L74" s="13" t="s">
        <v>37</v>
      </c>
      <c r="M74" s="13" t="s">
        <v>1621</v>
      </c>
      <c r="N74" s="4" t="s">
        <v>797</v>
      </c>
      <c r="O74" s="4" t="s">
        <v>28</v>
      </c>
      <c r="P74" s="1" t="s">
        <v>5</v>
      </c>
      <c r="Q74" s="1" t="s">
        <v>29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3">
        <f t="shared" si="16"/>
        <v>0</v>
      </c>
      <c r="AU74" s="3">
        <f t="shared" si="17"/>
        <v>1</v>
      </c>
      <c r="AV74" s="3">
        <f t="shared" si="18"/>
        <v>0</v>
      </c>
      <c r="AW74" s="3">
        <f t="shared" si="19"/>
        <v>0</v>
      </c>
      <c r="AX74" s="3">
        <f t="shared" si="20"/>
        <v>0</v>
      </c>
      <c r="AY74" s="3">
        <f t="shared" si="21"/>
        <v>1</v>
      </c>
      <c r="AZ74" s="3">
        <f t="shared" si="22"/>
        <v>0</v>
      </c>
      <c r="BA74" s="3">
        <f t="shared" si="23"/>
        <v>0</v>
      </c>
      <c r="BB74" s="3">
        <f t="shared" si="24"/>
        <v>0</v>
      </c>
      <c r="BC74" s="3">
        <f t="shared" si="25"/>
        <v>0</v>
      </c>
      <c r="BD74" s="3">
        <f t="shared" si="26"/>
        <v>0</v>
      </c>
      <c r="BE74" s="3">
        <f t="shared" si="27"/>
        <v>0</v>
      </c>
      <c r="BF74" s="3">
        <f t="shared" si="28"/>
        <v>0</v>
      </c>
      <c r="BG74" s="3">
        <f t="shared" si="29"/>
        <v>0</v>
      </c>
      <c r="BH74" s="3">
        <f t="shared" si="30"/>
        <v>0</v>
      </c>
      <c r="BI74" s="3">
        <f t="shared" si="31"/>
        <v>2</v>
      </c>
    </row>
    <row r="75" spans="1:126" x14ac:dyDescent="0.25">
      <c r="A75" s="29">
        <v>67</v>
      </c>
      <c r="B75" s="3" t="s">
        <v>902</v>
      </c>
      <c r="C75" s="13" t="s">
        <v>903</v>
      </c>
      <c r="D75" s="13" t="s">
        <v>386</v>
      </c>
      <c r="E75" s="13" t="s">
        <v>904</v>
      </c>
      <c r="F75" s="18" t="s">
        <v>335</v>
      </c>
      <c r="G75" s="18">
        <v>45721</v>
      </c>
      <c r="H75" s="18" t="s">
        <v>35</v>
      </c>
      <c r="I75" s="13" t="s">
        <v>23</v>
      </c>
      <c r="J75" s="13" t="s">
        <v>24</v>
      </c>
      <c r="K75" s="13" t="s">
        <v>25</v>
      </c>
      <c r="L75" s="13" t="s">
        <v>26</v>
      </c>
      <c r="M75" s="13" t="s">
        <v>1621</v>
      </c>
      <c r="N75" s="4" t="s">
        <v>905</v>
      </c>
      <c r="O75" s="4" t="s">
        <v>28</v>
      </c>
      <c r="P75" s="1" t="s">
        <v>5</v>
      </c>
      <c r="Q75" s="1" t="s">
        <v>39</v>
      </c>
      <c r="R75" s="1" t="s">
        <v>39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3">
        <f t="shared" si="16"/>
        <v>2</v>
      </c>
      <c r="AU75" s="3">
        <f t="shared" si="17"/>
        <v>0</v>
      </c>
      <c r="AV75" s="3">
        <f t="shared" si="18"/>
        <v>0</v>
      </c>
      <c r="AW75" s="3">
        <f t="shared" si="19"/>
        <v>0</v>
      </c>
      <c r="AX75" s="3">
        <f t="shared" si="20"/>
        <v>0</v>
      </c>
      <c r="AY75" s="3">
        <f t="shared" si="21"/>
        <v>1</v>
      </c>
      <c r="AZ75" s="3">
        <f t="shared" si="22"/>
        <v>0</v>
      </c>
      <c r="BA75" s="3">
        <f t="shared" si="23"/>
        <v>0</v>
      </c>
      <c r="BB75" s="3">
        <f t="shared" si="24"/>
        <v>0</v>
      </c>
      <c r="BC75" s="3">
        <f t="shared" si="25"/>
        <v>0</v>
      </c>
      <c r="BD75" s="3">
        <f t="shared" si="26"/>
        <v>0</v>
      </c>
      <c r="BE75" s="3">
        <f t="shared" si="27"/>
        <v>0</v>
      </c>
      <c r="BF75" s="3">
        <f t="shared" si="28"/>
        <v>0</v>
      </c>
      <c r="BG75" s="3">
        <f t="shared" si="29"/>
        <v>0</v>
      </c>
      <c r="BH75" s="3">
        <f t="shared" si="30"/>
        <v>0</v>
      </c>
      <c r="BI75" s="3">
        <f t="shared" si="31"/>
        <v>3</v>
      </c>
    </row>
    <row r="76" spans="1:126" x14ac:dyDescent="0.25">
      <c r="A76" s="29">
        <v>64</v>
      </c>
      <c r="B76" s="3" t="s">
        <v>779</v>
      </c>
      <c r="C76" s="13" t="s">
        <v>780</v>
      </c>
      <c r="D76" s="13" t="s">
        <v>146</v>
      </c>
      <c r="E76" s="13" t="s">
        <v>781</v>
      </c>
      <c r="F76" s="18" t="s">
        <v>782</v>
      </c>
      <c r="G76" s="18">
        <v>45721</v>
      </c>
      <c r="H76" s="18" t="s">
        <v>35</v>
      </c>
      <c r="I76" s="13" t="s">
        <v>23</v>
      </c>
      <c r="J76" s="13" t="s">
        <v>24</v>
      </c>
      <c r="K76" s="13" t="s">
        <v>43</v>
      </c>
      <c r="L76" s="13" t="s">
        <v>150</v>
      </c>
      <c r="M76" s="13" t="s">
        <v>1621</v>
      </c>
      <c r="N76" s="4" t="s">
        <v>783</v>
      </c>
      <c r="O76" s="4" t="s">
        <v>28</v>
      </c>
      <c r="P76" s="1" t="s">
        <v>29</v>
      </c>
      <c r="Q76" s="1" t="s">
        <v>5</v>
      </c>
      <c r="R76" s="1" t="s">
        <v>5</v>
      </c>
      <c r="S76" s="1" t="s">
        <v>5</v>
      </c>
      <c r="T76" s="1" t="s">
        <v>5</v>
      </c>
      <c r="U76" s="1" t="s">
        <v>5</v>
      </c>
      <c r="V76" s="1" t="s">
        <v>5</v>
      </c>
      <c r="W76" s="1" t="s">
        <v>5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3"/>
      <c r="AP76" s="3"/>
      <c r="AQ76" s="3"/>
      <c r="AR76" s="3"/>
      <c r="AS76" s="3"/>
      <c r="AT76" s="3">
        <f t="shared" si="16"/>
        <v>0</v>
      </c>
      <c r="AU76" s="3">
        <f t="shared" si="17"/>
        <v>1</v>
      </c>
      <c r="AV76" s="3">
        <f t="shared" si="18"/>
        <v>0</v>
      </c>
      <c r="AW76" s="3">
        <f t="shared" si="19"/>
        <v>0</v>
      </c>
      <c r="AX76" s="3">
        <f t="shared" si="20"/>
        <v>0</v>
      </c>
      <c r="AY76" s="3">
        <f t="shared" si="21"/>
        <v>7</v>
      </c>
      <c r="AZ76" s="3">
        <f t="shared" si="22"/>
        <v>0</v>
      </c>
      <c r="BA76" s="3">
        <f t="shared" si="23"/>
        <v>0</v>
      </c>
      <c r="BB76" s="3">
        <f t="shared" si="24"/>
        <v>0</v>
      </c>
      <c r="BC76" s="3">
        <f t="shared" si="25"/>
        <v>0</v>
      </c>
      <c r="BD76" s="3">
        <f t="shared" si="26"/>
        <v>0</v>
      </c>
      <c r="BE76" s="3">
        <f t="shared" si="27"/>
        <v>0</v>
      </c>
      <c r="BF76" s="3">
        <f t="shared" si="28"/>
        <v>0</v>
      </c>
      <c r="BG76" s="3">
        <f t="shared" si="29"/>
        <v>0</v>
      </c>
      <c r="BH76" s="3">
        <f t="shared" si="30"/>
        <v>0</v>
      </c>
      <c r="BI76" s="3">
        <f t="shared" si="31"/>
        <v>8</v>
      </c>
    </row>
    <row r="77" spans="1:126" x14ac:dyDescent="0.25">
      <c r="A77" s="29">
        <v>73</v>
      </c>
      <c r="B77" s="3" t="s">
        <v>626</v>
      </c>
      <c r="C77" s="13" t="s">
        <v>627</v>
      </c>
      <c r="D77" s="13" t="s">
        <v>623</v>
      </c>
      <c r="E77" s="13" t="s">
        <v>628</v>
      </c>
      <c r="F77" s="18" t="s">
        <v>163</v>
      </c>
      <c r="G77" s="18">
        <v>45721</v>
      </c>
      <c r="H77" s="18" t="s">
        <v>35</v>
      </c>
      <c r="I77" s="13" t="s">
        <v>23</v>
      </c>
      <c r="J77" s="13" t="s">
        <v>24</v>
      </c>
      <c r="K77" s="13" t="s">
        <v>25</v>
      </c>
      <c r="L77" s="13" t="s">
        <v>26</v>
      </c>
      <c r="M77" s="13" t="s">
        <v>1621</v>
      </c>
      <c r="N77" s="4" t="s">
        <v>629</v>
      </c>
      <c r="O77" s="4" t="s">
        <v>28</v>
      </c>
      <c r="P77" s="1" t="s">
        <v>5</v>
      </c>
      <c r="Q77" s="1" t="s">
        <v>1674</v>
      </c>
      <c r="R77" s="1" t="s">
        <v>39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3">
        <f t="shared" si="16"/>
        <v>1</v>
      </c>
      <c r="AU77" s="3">
        <f t="shared" si="17"/>
        <v>0</v>
      </c>
      <c r="AV77" s="3">
        <f t="shared" si="18"/>
        <v>0</v>
      </c>
      <c r="AW77" s="3">
        <f t="shared" si="19"/>
        <v>0</v>
      </c>
      <c r="AX77" s="3">
        <f t="shared" si="20"/>
        <v>0</v>
      </c>
      <c r="AY77" s="3">
        <f t="shared" si="21"/>
        <v>1</v>
      </c>
      <c r="AZ77" s="3">
        <f t="shared" si="22"/>
        <v>1</v>
      </c>
      <c r="BA77" s="3">
        <f t="shared" si="23"/>
        <v>0</v>
      </c>
      <c r="BB77" s="3">
        <f t="shared" si="24"/>
        <v>0</v>
      </c>
      <c r="BC77" s="3">
        <f t="shared" si="25"/>
        <v>0</v>
      </c>
      <c r="BD77" s="3">
        <f t="shared" si="26"/>
        <v>0</v>
      </c>
      <c r="BE77" s="3">
        <f t="shared" si="27"/>
        <v>0</v>
      </c>
      <c r="BF77" s="3">
        <f t="shared" si="28"/>
        <v>0</v>
      </c>
      <c r="BG77" s="3">
        <f t="shared" si="29"/>
        <v>0</v>
      </c>
      <c r="BH77" s="3">
        <f t="shared" si="30"/>
        <v>0</v>
      </c>
      <c r="BI77" s="3">
        <f t="shared" si="31"/>
        <v>2</v>
      </c>
    </row>
    <row r="78" spans="1:126" x14ac:dyDescent="0.25">
      <c r="A78" s="29">
        <v>75</v>
      </c>
      <c r="B78" s="3" t="s">
        <v>806</v>
      </c>
      <c r="C78" s="13" t="s">
        <v>807</v>
      </c>
      <c r="D78" s="13" t="s">
        <v>135</v>
      </c>
      <c r="E78" s="13" t="s">
        <v>808</v>
      </c>
      <c r="F78" s="18" t="s">
        <v>50</v>
      </c>
      <c r="G78" s="18">
        <v>45721</v>
      </c>
      <c r="H78" s="18" t="s">
        <v>35</v>
      </c>
      <c r="I78" s="13" t="s">
        <v>23</v>
      </c>
      <c r="J78" s="13" t="s">
        <v>24</v>
      </c>
      <c r="K78" s="13" t="s">
        <v>25</v>
      </c>
      <c r="L78" s="13" t="s">
        <v>26</v>
      </c>
      <c r="M78" s="13" t="s">
        <v>1621</v>
      </c>
      <c r="N78" s="4" t="s">
        <v>809</v>
      </c>
      <c r="O78" s="4" t="s">
        <v>28</v>
      </c>
      <c r="P78" s="1" t="s">
        <v>5</v>
      </c>
      <c r="Q78" s="1" t="s">
        <v>92</v>
      </c>
      <c r="R78" s="1" t="s">
        <v>92</v>
      </c>
      <c r="S78" s="1" t="s">
        <v>92</v>
      </c>
      <c r="T78" s="1" t="s">
        <v>92</v>
      </c>
      <c r="U78" s="1" t="s">
        <v>92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3">
        <f t="shared" si="16"/>
        <v>0</v>
      </c>
      <c r="AU78" s="3">
        <f t="shared" si="17"/>
        <v>0</v>
      </c>
      <c r="AV78" s="3">
        <f t="shared" si="18"/>
        <v>0</v>
      </c>
      <c r="AW78" s="3">
        <f t="shared" si="19"/>
        <v>0</v>
      </c>
      <c r="AX78" s="3">
        <f t="shared" si="20"/>
        <v>0</v>
      </c>
      <c r="AY78" s="3">
        <f t="shared" si="21"/>
        <v>1</v>
      </c>
      <c r="AZ78" s="3">
        <f t="shared" si="22"/>
        <v>0</v>
      </c>
      <c r="BA78" s="3">
        <f t="shared" si="23"/>
        <v>5</v>
      </c>
      <c r="BB78" s="3">
        <f t="shared" si="24"/>
        <v>0</v>
      </c>
      <c r="BC78" s="3">
        <f t="shared" si="25"/>
        <v>0</v>
      </c>
      <c r="BD78" s="3">
        <f t="shared" si="26"/>
        <v>0</v>
      </c>
      <c r="BE78" s="3">
        <f t="shared" si="27"/>
        <v>0</v>
      </c>
      <c r="BF78" s="3">
        <f t="shared" si="28"/>
        <v>0</v>
      </c>
      <c r="BG78" s="3">
        <f t="shared" si="29"/>
        <v>0</v>
      </c>
      <c r="BH78" s="3">
        <f t="shared" si="30"/>
        <v>0</v>
      </c>
      <c r="BI78" s="3">
        <f t="shared" si="31"/>
        <v>1</v>
      </c>
    </row>
    <row r="79" spans="1:126" x14ac:dyDescent="0.25">
      <c r="A79" s="29">
        <v>77</v>
      </c>
      <c r="B79" s="3" t="s">
        <v>276</v>
      </c>
      <c r="C79" s="13" t="s">
        <v>277</v>
      </c>
      <c r="D79" s="13" t="s">
        <v>273</v>
      </c>
      <c r="E79" s="13" t="s">
        <v>278</v>
      </c>
      <c r="F79" s="18" t="s">
        <v>73</v>
      </c>
      <c r="G79" s="18">
        <v>45721</v>
      </c>
      <c r="H79" s="18" t="s">
        <v>35</v>
      </c>
      <c r="I79" s="13" t="s">
        <v>23</v>
      </c>
      <c r="J79" s="13" t="s">
        <v>24</v>
      </c>
      <c r="K79" s="13" t="s">
        <v>25</v>
      </c>
      <c r="L79" s="13" t="s">
        <v>26</v>
      </c>
      <c r="M79" s="13" t="s">
        <v>1621</v>
      </c>
      <c r="N79" s="4" t="s">
        <v>279</v>
      </c>
      <c r="O79" s="4" t="s">
        <v>28</v>
      </c>
      <c r="P79" s="1" t="s">
        <v>5</v>
      </c>
      <c r="Q79" s="1" t="s">
        <v>39</v>
      </c>
      <c r="R79" s="1" t="s">
        <v>39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3">
        <f t="shared" si="16"/>
        <v>2</v>
      </c>
      <c r="AU79" s="3">
        <f t="shared" si="17"/>
        <v>0</v>
      </c>
      <c r="AV79" s="3">
        <f t="shared" si="18"/>
        <v>0</v>
      </c>
      <c r="AW79" s="3">
        <f t="shared" si="19"/>
        <v>0</v>
      </c>
      <c r="AX79" s="3">
        <f t="shared" si="20"/>
        <v>0</v>
      </c>
      <c r="AY79" s="3">
        <f t="shared" si="21"/>
        <v>1</v>
      </c>
      <c r="AZ79" s="3">
        <f t="shared" si="22"/>
        <v>0</v>
      </c>
      <c r="BA79" s="3">
        <f t="shared" si="23"/>
        <v>0</v>
      </c>
      <c r="BB79" s="3">
        <f t="shared" si="24"/>
        <v>0</v>
      </c>
      <c r="BC79" s="3">
        <f t="shared" si="25"/>
        <v>0</v>
      </c>
      <c r="BD79" s="3">
        <f t="shared" si="26"/>
        <v>0</v>
      </c>
      <c r="BE79" s="3">
        <f t="shared" si="27"/>
        <v>0</v>
      </c>
      <c r="BF79" s="3">
        <f t="shared" si="28"/>
        <v>0</v>
      </c>
      <c r="BG79" s="3">
        <f t="shared" si="29"/>
        <v>0</v>
      </c>
      <c r="BH79" s="3">
        <f t="shared" si="30"/>
        <v>0</v>
      </c>
      <c r="BI79" s="3">
        <f t="shared" si="31"/>
        <v>3</v>
      </c>
    </row>
    <row r="80" spans="1:126" x14ac:dyDescent="0.25">
      <c r="A80" s="29">
        <v>80</v>
      </c>
      <c r="B80" s="3" t="s">
        <v>617</v>
      </c>
      <c r="C80" s="13" t="s">
        <v>618</v>
      </c>
      <c r="D80" s="13" t="s">
        <v>619</v>
      </c>
      <c r="E80" s="13" t="s">
        <v>620</v>
      </c>
      <c r="F80" s="18" t="s">
        <v>1525</v>
      </c>
      <c r="G80" s="18">
        <v>45721</v>
      </c>
      <c r="H80" s="18" t="s">
        <v>35</v>
      </c>
      <c r="I80" s="13" t="s">
        <v>23</v>
      </c>
      <c r="J80" s="13" t="s">
        <v>24</v>
      </c>
      <c r="K80" s="13" t="s">
        <v>25</v>
      </c>
      <c r="L80" s="13" t="s">
        <v>26</v>
      </c>
      <c r="M80" s="13" t="s">
        <v>1621</v>
      </c>
      <c r="N80" s="4" t="s">
        <v>621</v>
      </c>
      <c r="O80" s="4" t="s">
        <v>28</v>
      </c>
      <c r="P80" s="1" t="s">
        <v>5</v>
      </c>
      <c r="Q80" s="1" t="s">
        <v>39</v>
      </c>
      <c r="R80" s="1" t="s">
        <v>39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3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3">
        <f t="shared" si="16"/>
        <v>2</v>
      </c>
      <c r="AU80" s="3">
        <f t="shared" si="17"/>
        <v>0</v>
      </c>
      <c r="AV80" s="3">
        <f t="shared" si="18"/>
        <v>0</v>
      </c>
      <c r="AW80" s="3">
        <f t="shared" si="19"/>
        <v>0</v>
      </c>
      <c r="AX80" s="3">
        <f t="shared" si="20"/>
        <v>0</v>
      </c>
      <c r="AY80" s="3">
        <f t="shared" si="21"/>
        <v>1</v>
      </c>
      <c r="AZ80" s="3">
        <f t="shared" si="22"/>
        <v>0</v>
      </c>
      <c r="BA80" s="3">
        <f t="shared" si="23"/>
        <v>0</v>
      </c>
      <c r="BB80" s="3">
        <f t="shared" si="24"/>
        <v>0</v>
      </c>
      <c r="BC80" s="3">
        <f t="shared" si="25"/>
        <v>0</v>
      </c>
      <c r="BD80" s="3">
        <f t="shared" si="26"/>
        <v>0</v>
      </c>
      <c r="BE80" s="3">
        <f t="shared" si="27"/>
        <v>0</v>
      </c>
      <c r="BF80" s="3">
        <f t="shared" si="28"/>
        <v>0</v>
      </c>
      <c r="BG80" s="3">
        <f t="shared" si="29"/>
        <v>0</v>
      </c>
      <c r="BH80" s="3">
        <f t="shared" si="30"/>
        <v>0</v>
      </c>
      <c r="BI80" s="3">
        <f t="shared" si="31"/>
        <v>3</v>
      </c>
    </row>
    <row r="81" spans="1:61" x14ac:dyDescent="0.25">
      <c r="A81" s="29">
        <v>81</v>
      </c>
      <c r="B81" s="3" t="s">
        <v>752</v>
      </c>
      <c r="C81" s="13" t="s">
        <v>753</v>
      </c>
      <c r="D81" s="13" t="s">
        <v>754</v>
      </c>
      <c r="E81" s="13" t="s">
        <v>278</v>
      </c>
      <c r="F81" s="18" t="s">
        <v>1552</v>
      </c>
      <c r="G81" s="18">
        <v>45721</v>
      </c>
      <c r="H81" s="18" t="s">
        <v>35</v>
      </c>
      <c r="I81" s="13" t="s">
        <v>23</v>
      </c>
      <c r="J81" s="13" t="s">
        <v>24</v>
      </c>
      <c r="K81" s="13" t="s">
        <v>25</v>
      </c>
      <c r="L81" s="13" t="s">
        <v>68</v>
      </c>
      <c r="M81" s="13" t="s">
        <v>1621</v>
      </c>
      <c r="N81" s="4" t="s">
        <v>755</v>
      </c>
      <c r="O81" s="4" t="s">
        <v>28</v>
      </c>
      <c r="P81" s="1" t="s">
        <v>5</v>
      </c>
      <c r="Q81" s="1" t="s">
        <v>39</v>
      </c>
      <c r="R81" s="1" t="s">
        <v>39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3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3">
        <f t="shared" si="16"/>
        <v>2</v>
      </c>
      <c r="AU81" s="3">
        <f t="shared" si="17"/>
        <v>0</v>
      </c>
      <c r="AV81" s="3">
        <f t="shared" si="18"/>
        <v>0</v>
      </c>
      <c r="AW81" s="3">
        <f t="shared" si="19"/>
        <v>0</v>
      </c>
      <c r="AX81" s="3">
        <f t="shared" si="20"/>
        <v>0</v>
      </c>
      <c r="AY81" s="3">
        <f t="shared" si="21"/>
        <v>1</v>
      </c>
      <c r="AZ81" s="3">
        <f t="shared" si="22"/>
        <v>0</v>
      </c>
      <c r="BA81" s="3">
        <f t="shared" si="23"/>
        <v>0</v>
      </c>
      <c r="BB81" s="3">
        <f t="shared" si="24"/>
        <v>0</v>
      </c>
      <c r="BC81" s="3">
        <f t="shared" si="25"/>
        <v>0</v>
      </c>
      <c r="BD81" s="3">
        <f t="shared" si="26"/>
        <v>0</v>
      </c>
      <c r="BE81" s="3">
        <f t="shared" si="27"/>
        <v>0</v>
      </c>
      <c r="BF81" s="3">
        <f t="shared" si="28"/>
        <v>0</v>
      </c>
      <c r="BG81" s="3">
        <f t="shared" si="29"/>
        <v>0</v>
      </c>
      <c r="BH81" s="3">
        <f t="shared" si="30"/>
        <v>0</v>
      </c>
      <c r="BI81" s="3">
        <f t="shared" si="31"/>
        <v>3</v>
      </c>
    </row>
    <row r="82" spans="1:61" x14ac:dyDescent="0.25">
      <c r="A82" s="29">
        <v>83</v>
      </c>
      <c r="B82" s="3" t="s">
        <v>906</v>
      </c>
      <c r="C82" s="13" t="s">
        <v>907</v>
      </c>
      <c r="D82" s="13" t="s">
        <v>386</v>
      </c>
      <c r="E82" s="13" t="s">
        <v>278</v>
      </c>
      <c r="F82" s="18" t="s">
        <v>1552</v>
      </c>
      <c r="G82" s="18">
        <v>45721</v>
      </c>
      <c r="H82" s="18" t="s">
        <v>35</v>
      </c>
      <c r="I82" s="13" t="s">
        <v>23</v>
      </c>
      <c r="J82" s="13" t="s">
        <v>24</v>
      </c>
      <c r="K82" s="13" t="s">
        <v>25</v>
      </c>
      <c r="L82" s="13" t="s">
        <v>68</v>
      </c>
      <c r="M82" s="13" t="s">
        <v>1621</v>
      </c>
      <c r="N82" s="4" t="s">
        <v>908</v>
      </c>
      <c r="O82" s="4" t="s">
        <v>28</v>
      </c>
      <c r="P82" s="1" t="s">
        <v>5</v>
      </c>
      <c r="Q82" s="1" t="s">
        <v>39</v>
      </c>
      <c r="R82" s="1" t="s">
        <v>39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3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3">
        <f t="shared" si="16"/>
        <v>2</v>
      </c>
      <c r="AU82" s="3">
        <f t="shared" si="17"/>
        <v>0</v>
      </c>
      <c r="AV82" s="3">
        <f t="shared" si="18"/>
        <v>0</v>
      </c>
      <c r="AW82" s="3">
        <f t="shared" si="19"/>
        <v>0</v>
      </c>
      <c r="AX82" s="3">
        <f t="shared" si="20"/>
        <v>0</v>
      </c>
      <c r="AY82" s="3">
        <f t="shared" si="21"/>
        <v>1</v>
      </c>
      <c r="AZ82" s="3">
        <f t="shared" si="22"/>
        <v>0</v>
      </c>
      <c r="BA82" s="3">
        <f t="shared" si="23"/>
        <v>0</v>
      </c>
      <c r="BB82" s="3">
        <f t="shared" si="24"/>
        <v>0</v>
      </c>
      <c r="BC82" s="3">
        <f t="shared" si="25"/>
        <v>0</v>
      </c>
      <c r="BD82" s="3">
        <f t="shared" si="26"/>
        <v>0</v>
      </c>
      <c r="BE82" s="3">
        <f t="shared" si="27"/>
        <v>0</v>
      </c>
      <c r="BF82" s="3">
        <f t="shared" si="28"/>
        <v>0</v>
      </c>
      <c r="BG82" s="3">
        <f t="shared" si="29"/>
        <v>0</v>
      </c>
      <c r="BH82" s="3">
        <f t="shared" si="30"/>
        <v>0</v>
      </c>
      <c r="BI82" s="3">
        <f t="shared" si="31"/>
        <v>3</v>
      </c>
    </row>
    <row r="83" spans="1:61" x14ac:dyDescent="0.25">
      <c r="A83" s="29">
        <v>85</v>
      </c>
      <c r="B83" s="3" t="s">
        <v>897</v>
      </c>
      <c r="C83" s="13" t="s">
        <v>898</v>
      </c>
      <c r="D83" s="13" t="s">
        <v>899</v>
      </c>
      <c r="E83" s="13" t="s">
        <v>900</v>
      </c>
      <c r="F83" s="18" t="s">
        <v>1528</v>
      </c>
      <c r="G83" s="18">
        <v>45721</v>
      </c>
      <c r="H83" s="18" t="s">
        <v>35</v>
      </c>
      <c r="I83" s="13" t="s">
        <v>23</v>
      </c>
      <c r="J83" s="13" t="s">
        <v>24</v>
      </c>
      <c r="K83" s="13" t="s">
        <v>25</v>
      </c>
      <c r="L83" s="13" t="s">
        <v>26</v>
      </c>
      <c r="M83" s="13" t="s">
        <v>1621</v>
      </c>
      <c r="N83" s="4" t="s">
        <v>901</v>
      </c>
      <c r="O83" s="4" t="s">
        <v>28</v>
      </c>
      <c r="P83" s="1" t="s">
        <v>5</v>
      </c>
      <c r="Q83" s="1" t="s">
        <v>39</v>
      </c>
      <c r="R83" s="1" t="s">
        <v>39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3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3">
        <f t="shared" si="16"/>
        <v>2</v>
      </c>
      <c r="AU83" s="3">
        <f t="shared" si="17"/>
        <v>0</v>
      </c>
      <c r="AV83" s="3">
        <f t="shared" si="18"/>
        <v>0</v>
      </c>
      <c r="AW83" s="3">
        <f t="shared" si="19"/>
        <v>0</v>
      </c>
      <c r="AX83" s="3">
        <f t="shared" si="20"/>
        <v>0</v>
      </c>
      <c r="AY83" s="3">
        <f t="shared" si="21"/>
        <v>1</v>
      </c>
      <c r="AZ83" s="3">
        <f t="shared" si="22"/>
        <v>0</v>
      </c>
      <c r="BA83" s="3">
        <f t="shared" si="23"/>
        <v>0</v>
      </c>
      <c r="BB83" s="3">
        <f t="shared" si="24"/>
        <v>0</v>
      </c>
      <c r="BC83" s="3">
        <f t="shared" si="25"/>
        <v>0</v>
      </c>
      <c r="BD83" s="3">
        <f t="shared" si="26"/>
        <v>0</v>
      </c>
      <c r="BE83" s="3">
        <f t="shared" si="27"/>
        <v>0</v>
      </c>
      <c r="BF83" s="3">
        <f t="shared" si="28"/>
        <v>0</v>
      </c>
      <c r="BG83" s="3">
        <f t="shared" si="29"/>
        <v>0</v>
      </c>
      <c r="BH83" s="3">
        <f t="shared" si="30"/>
        <v>0</v>
      </c>
      <c r="BI83" s="3">
        <f t="shared" si="31"/>
        <v>3</v>
      </c>
    </row>
    <row r="84" spans="1:61" x14ac:dyDescent="0.25">
      <c r="A84" s="29">
        <v>86</v>
      </c>
      <c r="B84" s="3" t="s">
        <v>1080</v>
      </c>
      <c r="C84" s="13" t="s">
        <v>898</v>
      </c>
      <c r="D84" s="13" t="s">
        <v>1081</v>
      </c>
      <c r="E84" s="13" t="s">
        <v>1082</v>
      </c>
      <c r="F84" s="18" t="s">
        <v>50</v>
      </c>
      <c r="G84" s="18">
        <v>45721</v>
      </c>
      <c r="H84" s="18" t="s">
        <v>35</v>
      </c>
      <c r="I84" s="13" t="s">
        <v>23</v>
      </c>
      <c r="J84" s="13" t="s">
        <v>24</v>
      </c>
      <c r="K84" s="13" t="s">
        <v>25</v>
      </c>
      <c r="L84" s="13" t="s">
        <v>26</v>
      </c>
      <c r="M84" s="13" t="s">
        <v>1621</v>
      </c>
      <c r="N84" s="4" t="s">
        <v>1083</v>
      </c>
      <c r="O84" s="4" t="s">
        <v>28</v>
      </c>
      <c r="P84" s="1" t="s">
        <v>5</v>
      </c>
      <c r="Q84" s="1" t="s">
        <v>39</v>
      </c>
      <c r="R84" s="1" t="s">
        <v>39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3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3">
        <f t="shared" si="16"/>
        <v>2</v>
      </c>
      <c r="AU84" s="3">
        <f t="shared" si="17"/>
        <v>0</v>
      </c>
      <c r="AV84" s="3">
        <f t="shared" si="18"/>
        <v>0</v>
      </c>
      <c r="AW84" s="3">
        <f t="shared" si="19"/>
        <v>0</v>
      </c>
      <c r="AX84" s="3">
        <f t="shared" si="20"/>
        <v>0</v>
      </c>
      <c r="AY84" s="3">
        <f t="shared" si="21"/>
        <v>1</v>
      </c>
      <c r="AZ84" s="3">
        <f t="shared" si="22"/>
        <v>0</v>
      </c>
      <c r="BA84" s="3">
        <f t="shared" si="23"/>
        <v>0</v>
      </c>
      <c r="BB84" s="3">
        <f t="shared" si="24"/>
        <v>0</v>
      </c>
      <c r="BC84" s="3">
        <f t="shared" si="25"/>
        <v>0</v>
      </c>
      <c r="BD84" s="3">
        <f t="shared" si="26"/>
        <v>0</v>
      </c>
      <c r="BE84" s="3">
        <f t="shared" si="27"/>
        <v>0</v>
      </c>
      <c r="BF84" s="3">
        <f t="shared" si="28"/>
        <v>0</v>
      </c>
      <c r="BG84" s="3">
        <f t="shared" si="29"/>
        <v>0</v>
      </c>
      <c r="BH84" s="3">
        <f t="shared" si="30"/>
        <v>0</v>
      </c>
      <c r="BI84" s="3">
        <f t="shared" si="31"/>
        <v>3</v>
      </c>
    </row>
    <row r="85" spans="1:61" x14ac:dyDescent="0.25">
      <c r="A85" s="29">
        <v>88</v>
      </c>
      <c r="B85" s="3" t="s">
        <v>1176</v>
      </c>
      <c r="C85" s="13" t="s">
        <v>432</v>
      </c>
      <c r="D85" s="13" t="s">
        <v>352</v>
      </c>
      <c r="E85" s="13" t="s">
        <v>1177</v>
      </c>
      <c r="F85" s="22" t="s">
        <v>1559</v>
      </c>
      <c r="G85" s="25">
        <v>45721</v>
      </c>
      <c r="H85" s="25" t="s">
        <v>35</v>
      </c>
      <c r="I85" s="22" t="s">
        <v>1178</v>
      </c>
      <c r="J85" s="22" t="s">
        <v>24</v>
      </c>
      <c r="K85" s="13" t="s">
        <v>84</v>
      </c>
      <c r="L85" s="13" t="s">
        <v>1179</v>
      </c>
      <c r="M85" s="13" t="s">
        <v>1621</v>
      </c>
      <c r="N85" s="4" t="s">
        <v>1180</v>
      </c>
      <c r="O85" s="4" t="s">
        <v>221</v>
      </c>
      <c r="P85" s="1" t="s">
        <v>39</v>
      </c>
      <c r="Q85" s="1" t="s">
        <v>39</v>
      </c>
      <c r="R85" s="1" t="s">
        <v>5</v>
      </c>
      <c r="S85" s="1" t="s">
        <v>5</v>
      </c>
      <c r="T85" s="1" t="s">
        <v>5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3">
        <f t="shared" si="16"/>
        <v>2</v>
      </c>
      <c r="AU85" s="3">
        <f t="shared" si="17"/>
        <v>0</v>
      </c>
      <c r="AV85" s="3">
        <f t="shared" si="18"/>
        <v>0</v>
      </c>
      <c r="AW85" s="3">
        <f t="shared" si="19"/>
        <v>0</v>
      </c>
      <c r="AX85" s="3">
        <f t="shared" si="20"/>
        <v>0</v>
      </c>
      <c r="AY85" s="3">
        <f t="shared" si="21"/>
        <v>3</v>
      </c>
      <c r="AZ85" s="3">
        <f t="shared" si="22"/>
        <v>0</v>
      </c>
      <c r="BA85" s="3">
        <f t="shared" si="23"/>
        <v>0</v>
      </c>
      <c r="BB85" s="3">
        <f t="shared" si="24"/>
        <v>0</v>
      </c>
      <c r="BC85" s="3">
        <f t="shared" si="25"/>
        <v>0</v>
      </c>
      <c r="BD85" s="3">
        <f t="shared" si="26"/>
        <v>0</v>
      </c>
      <c r="BE85" s="3">
        <f t="shared" si="27"/>
        <v>0</v>
      </c>
      <c r="BF85" s="3">
        <f t="shared" si="28"/>
        <v>0</v>
      </c>
      <c r="BG85" s="3">
        <f t="shared" si="29"/>
        <v>0</v>
      </c>
      <c r="BH85" s="3">
        <f t="shared" si="30"/>
        <v>0</v>
      </c>
      <c r="BI85" s="3">
        <f t="shared" si="31"/>
        <v>5</v>
      </c>
    </row>
    <row r="86" spans="1:61" x14ac:dyDescent="0.25">
      <c r="A86" s="29">
        <v>69</v>
      </c>
      <c r="B86" s="3" t="s">
        <v>893</v>
      </c>
      <c r="C86" s="13" t="s">
        <v>181</v>
      </c>
      <c r="D86" s="13" t="s">
        <v>894</v>
      </c>
      <c r="E86" s="13" t="s">
        <v>895</v>
      </c>
      <c r="F86" s="18" t="s">
        <v>215</v>
      </c>
      <c r="G86" s="18">
        <v>45721</v>
      </c>
      <c r="H86" s="18" t="s">
        <v>35</v>
      </c>
      <c r="I86" s="13" t="s">
        <v>23</v>
      </c>
      <c r="J86" s="13" t="s">
        <v>24</v>
      </c>
      <c r="K86" s="13" t="s">
        <v>56</v>
      </c>
      <c r="L86" s="13" t="s">
        <v>216</v>
      </c>
      <c r="M86" s="13" t="s">
        <v>1621</v>
      </c>
      <c r="N86" s="4" t="s">
        <v>896</v>
      </c>
      <c r="O86" s="4" t="s">
        <v>28</v>
      </c>
      <c r="P86" s="1" t="s">
        <v>39</v>
      </c>
      <c r="Q86" s="3" t="s">
        <v>5</v>
      </c>
      <c r="R86" s="3" t="s">
        <v>5</v>
      </c>
      <c r="S86" s="3" t="s">
        <v>5</v>
      </c>
      <c r="T86" s="3" t="s">
        <v>5</v>
      </c>
      <c r="U86" s="3" t="s">
        <v>5</v>
      </c>
      <c r="V86" s="3" t="s">
        <v>5</v>
      </c>
      <c r="W86" s="3" t="s">
        <v>5</v>
      </c>
      <c r="X86" s="1"/>
      <c r="Y86" s="1"/>
      <c r="Z86" s="1"/>
      <c r="AA86" s="1"/>
      <c r="AB86" s="3"/>
      <c r="AC86" s="3"/>
      <c r="AD86" s="3"/>
      <c r="AE86" s="3"/>
      <c r="AF86" s="3"/>
      <c r="AG86" s="3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3">
        <f t="shared" si="16"/>
        <v>1</v>
      </c>
      <c r="AU86" s="3">
        <f t="shared" si="17"/>
        <v>0</v>
      </c>
      <c r="AV86" s="3">
        <f t="shared" si="18"/>
        <v>0</v>
      </c>
      <c r="AW86" s="3">
        <f t="shared" si="19"/>
        <v>0</v>
      </c>
      <c r="AX86" s="3">
        <f t="shared" si="20"/>
        <v>0</v>
      </c>
      <c r="AY86" s="3">
        <f t="shared" si="21"/>
        <v>7</v>
      </c>
      <c r="AZ86" s="3">
        <f t="shared" si="22"/>
        <v>0</v>
      </c>
      <c r="BA86" s="3">
        <f t="shared" si="23"/>
        <v>0</v>
      </c>
      <c r="BB86" s="3">
        <f t="shared" si="24"/>
        <v>0</v>
      </c>
      <c r="BC86" s="3">
        <f t="shared" si="25"/>
        <v>0</v>
      </c>
      <c r="BD86" s="3">
        <f t="shared" si="26"/>
        <v>0</v>
      </c>
      <c r="BE86" s="3">
        <f t="shared" si="27"/>
        <v>0</v>
      </c>
      <c r="BF86" s="3">
        <f t="shared" si="28"/>
        <v>0</v>
      </c>
      <c r="BG86" s="3">
        <f t="shared" si="29"/>
        <v>0</v>
      </c>
      <c r="BH86" s="3">
        <f t="shared" si="30"/>
        <v>0</v>
      </c>
      <c r="BI86" s="3">
        <f t="shared" si="31"/>
        <v>8</v>
      </c>
    </row>
    <row r="87" spans="1:61" x14ac:dyDescent="0.25">
      <c r="A87" s="29">
        <v>89</v>
      </c>
      <c r="B87" s="3" t="s">
        <v>435</v>
      </c>
      <c r="C87" s="13" t="s">
        <v>206</v>
      </c>
      <c r="D87" s="13" t="s">
        <v>432</v>
      </c>
      <c r="E87" s="13" t="s">
        <v>436</v>
      </c>
      <c r="F87" s="18" t="s">
        <v>1532</v>
      </c>
      <c r="G87" s="18">
        <v>45721</v>
      </c>
      <c r="H87" s="18" t="s">
        <v>35</v>
      </c>
      <c r="I87" s="13" t="s">
        <v>23</v>
      </c>
      <c r="J87" s="13" t="s">
        <v>24</v>
      </c>
      <c r="K87" s="13" t="s">
        <v>25</v>
      </c>
      <c r="L87" s="13" t="s">
        <v>26</v>
      </c>
      <c r="M87" s="13" t="s">
        <v>1621</v>
      </c>
      <c r="N87" s="4" t="s">
        <v>437</v>
      </c>
      <c r="O87" s="4" t="s">
        <v>28</v>
      </c>
      <c r="P87" s="1" t="s">
        <v>5</v>
      </c>
      <c r="Q87" s="1" t="s">
        <v>39</v>
      </c>
      <c r="R87" s="1" t="s">
        <v>39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3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3">
        <f t="shared" si="16"/>
        <v>2</v>
      </c>
      <c r="AU87" s="3">
        <f t="shared" si="17"/>
        <v>0</v>
      </c>
      <c r="AV87" s="3">
        <f t="shared" si="18"/>
        <v>0</v>
      </c>
      <c r="AW87" s="3">
        <f t="shared" si="19"/>
        <v>0</v>
      </c>
      <c r="AX87" s="3">
        <f t="shared" si="20"/>
        <v>0</v>
      </c>
      <c r="AY87" s="3">
        <f t="shared" si="21"/>
        <v>1</v>
      </c>
      <c r="AZ87" s="3">
        <f t="shared" si="22"/>
        <v>0</v>
      </c>
      <c r="BA87" s="3">
        <f t="shared" si="23"/>
        <v>0</v>
      </c>
      <c r="BB87" s="3">
        <f t="shared" si="24"/>
        <v>0</v>
      </c>
      <c r="BC87" s="3">
        <f t="shared" si="25"/>
        <v>0</v>
      </c>
      <c r="BD87" s="3">
        <f t="shared" si="26"/>
        <v>0</v>
      </c>
      <c r="BE87" s="3">
        <f t="shared" si="27"/>
        <v>0</v>
      </c>
      <c r="BF87" s="3">
        <f t="shared" si="28"/>
        <v>0</v>
      </c>
      <c r="BG87" s="3">
        <f t="shared" si="29"/>
        <v>0</v>
      </c>
      <c r="BH87" s="3">
        <f t="shared" si="30"/>
        <v>0</v>
      </c>
      <c r="BI87" s="3">
        <f t="shared" si="31"/>
        <v>3</v>
      </c>
    </row>
    <row r="88" spans="1:61" x14ac:dyDescent="0.25">
      <c r="A88" s="29">
        <v>90</v>
      </c>
      <c r="B88" s="3" t="s">
        <v>359</v>
      </c>
      <c r="C88" s="13" t="s">
        <v>360</v>
      </c>
      <c r="D88" s="13" t="s">
        <v>81</v>
      </c>
      <c r="E88" s="13" t="s">
        <v>361</v>
      </c>
      <c r="F88" s="18" t="s">
        <v>50</v>
      </c>
      <c r="G88" s="18">
        <v>45721</v>
      </c>
      <c r="H88" s="18" t="s">
        <v>35</v>
      </c>
      <c r="I88" s="13" t="s">
        <v>23</v>
      </c>
      <c r="J88" s="13" t="s">
        <v>24</v>
      </c>
      <c r="K88" s="13" t="s">
        <v>25</v>
      </c>
      <c r="L88" s="13" t="s">
        <v>26</v>
      </c>
      <c r="M88" s="13" t="s">
        <v>1621</v>
      </c>
      <c r="N88" s="4" t="s">
        <v>362</v>
      </c>
      <c r="O88" s="4" t="s">
        <v>28</v>
      </c>
      <c r="P88" s="1" t="s">
        <v>5</v>
      </c>
      <c r="Q88" s="1" t="s">
        <v>39</v>
      </c>
      <c r="R88" s="1" t="s">
        <v>39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3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3">
        <f t="shared" si="16"/>
        <v>2</v>
      </c>
      <c r="AU88" s="3">
        <f t="shared" si="17"/>
        <v>0</v>
      </c>
      <c r="AV88" s="3">
        <f t="shared" si="18"/>
        <v>0</v>
      </c>
      <c r="AW88" s="3">
        <f t="shared" si="19"/>
        <v>0</v>
      </c>
      <c r="AX88" s="3">
        <f t="shared" si="20"/>
        <v>0</v>
      </c>
      <c r="AY88" s="3">
        <f t="shared" si="21"/>
        <v>1</v>
      </c>
      <c r="AZ88" s="3">
        <f t="shared" si="22"/>
        <v>0</v>
      </c>
      <c r="BA88" s="3">
        <f t="shared" si="23"/>
        <v>0</v>
      </c>
      <c r="BB88" s="3">
        <f t="shared" si="24"/>
        <v>0</v>
      </c>
      <c r="BC88" s="3">
        <f t="shared" si="25"/>
        <v>0</v>
      </c>
      <c r="BD88" s="3">
        <f t="shared" si="26"/>
        <v>0</v>
      </c>
      <c r="BE88" s="3">
        <f t="shared" si="27"/>
        <v>0</v>
      </c>
      <c r="BF88" s="3">
        <f t="shared" si="28"/>
        <v>0</v>
      </c>
      <c r="BG88" s="3">
        <f t="shared" si="29"/>
        <v>0</v>
      </c>
      <c r="BH88" s="3">
        <f t="shared" si="30"/>
        <v>0</v>
      </c>
      <c r="BI88" s="3">
        <f t="shared" si="31"/>
        <v>3</v>
      </c>
    </row>
    <row r="89" spans="1:61" x14ac:dyDescent="0.25">
      <c r="A89" s="29">
        <v>72</v>
      </c>
      <c r="B89" s="3" t="s">
        <v>309</v>
      </c>
      <c r="C89" s="13" t="s">
        <v>310</v>
      </c>
      <c r="D89" s="13" t="s">
        <v>308</v>
      </c>
      <c r="E89" s="13" t="s">
        <v>311</v>
      </c>
      <c r="F89" s="18" t="s">
        <v>1525</v>
      </c>
      <c r="G89" s="18">
        <v>45721</v>
      </c>
      <c r="H89" s="18" t="s">
        <v>35</v>
      </c>
      <c r="I89" s="13" t="s">
        <v>23</v>
      </c>
      <c r="J89" s="13" t="s">
        <v>24</v>
      </c>
      <c r="K89" s="13" t="s">
        <v>36</v>
      </c>
      <c r="L89" s="13" t="s">
        <v>37</v>
      </c>
      <c r="M89" s="13" t="s">
        <v>1621</v>
      </c>
      <c r="N89" s="4" t="s">
        <v>312</v>
      </c>
      <c r="O89" s="4" t="s">
        <v>28</v>
      </c>
      <c r="P89" s="1" t="s">
        <v>5</v>
      </c>
      <c r="Q89" s="1" t="s">
        <v>29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3">
        <f t="shared" si="16"/>
        <v>0</v>
      </c>
      <c r="AU89" s="3">
        <f t="shared" si="17"/>
        <v>1</v>
      </c>
      <c r="AV89" s="3">
        <f t="shared" si="18"/>
        <v>0</v>
      </c>
      <c r="AW89" s="3">
        <f t="shared" si="19"/>
        <v>0</v>
      </c>
      <c r="AX89" s="3">
        <f t="shared" si="20"/>
        <v>0</v>
      </c>
      <c r="AY89" s="3">
        <f t="shared" si="21"/>
        <v>1</v>
      </c>
      <c r="AZ89" s="3">
        <f t="shared" si="22"/>
        <v>0</v>
      </c>
      <c r="BA89" s="3">
        <f t="shared" si="23"/>
        <v>0</v>
      </c>
      <c r="BB89" s="3">
        <f t="shared" si="24"/>
        <v>0</v>
      </c>
      <c r="BC89" s="3">
        <f t="shared" si="25"/>
        <v>0</v>
      </c>
      <c r="BD89" s="3">
        <f t="shared" si="26"/>
        <v>0</v>
      </c>
      <c r="BE89" s="3">
        <f t="shared" si="27"/>
        <v>0</v>
      </c>
      <c r="BF89" s="3">
        <f t="shared" si="28"/>
        <v>0</v>
      </c>
      <c r="BG89" s="3">
        <f t="shared" si="29"/>
        <v>0</v>
      </c>
      <c r="BH89" s="3">
        <f t="shared" si="30"/>
        <v>0</v>
      </c>
      <c r="BI89" s="3">
        <f t="shared" si="31"/>
        <v>2</v>
      </c>
    </row>
    <row r="90" spans="1:61" x14ac:dyDescent="0.25">
      <c r="A90" s="29">
        <v>74</v>
      </c>
      <c r="B90" s="3" t="s">
        <v>339</v>
      </c>
      <c r="C90" s="13" t="s">
        <v>205</v>
      </c>
      <c r="D90" s="13" t="s">
        <v>338</v>
      </c>
      <c r="E90" s="13" t="s">
        <v>340</v>
      </c>
      <c r="F90" s="18" t="s">
        <v>1525</v>
      </c>
      <c r="G90" s="18">
        <v>45721</v>
      </c>
      <c r="H90" s="18" t="s">
        <v>35</v>
      </c>
      <c r="I90" s="13" t="s">
        <v>23</v>
      </c>
      <c r="J90" s="13" t="s">
        <v>24</v>
      </c>
      <c r="K90" s="13" t="s">
        <v>36</v>
      </c>
      <c r="L90" s="13" t="s">
        <v>37</v>
      </c>
      <c r="M90" s="13" t="s">
        <v>1621</v>
      </c>
      <c r="N90" s="4" t="s">
        <v>341</v>
      </c>
      <c r="O90" s="4" t="s">
        <v>28</v>
      </c>
      <c r="P90" s="1" t="s">
        <v>5</v>
      </c>
      <c r="Q90" s="1" t="s">
        <v>29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3">
        <f t="shared" si="16"/>
        <v>0</v>
      </c>
      <c r="AU90" s="3">
        <f t="shared" si="17"/>
        <v>1</v>
      </c>
      <c r="AV90" s="3">
        <f t="shared" si="18"/>
        <v>0</v>
      </c>
      <c r="AW90" s="3">
        <f t="shared" si="19"/>
        <v>0</v>
      </c>
      <c r="AX90" s="3">
        <f t="shared" si="20"/>
        <v>0</v>
      </c>
      <c r="AY90" s="3">
        <f t="shared" si="21"/>
        <v>1</v>
      </c>
      <c r="AZ90" s="3">
        <f t="shared" si="22"/>
        <v>0</v>
      </c>
      <c r="BA90" s="3">
        <f t="shared" si="23"/>
        <v>0</v>
      </c>
      <c r="BB90" s="3">
        <f t="shared" si="24"/>
        <v>0</v>
      </c>
      <c r="BC90" s="3">
        <f t="shared" si="25"/>
        <v>0</v>
      </c>
      <c r="BD90" s="3">
        <f t="shared" si="26"/>
        <v>0</v>
      </c>
      <c r="BE90" s="3">
        <f t="shared" si="27"/>
        <v>0</v>
      </c>
      <c r="BF90" s="3">
        <f t="shared" si="28"/>
        <v>0</v>
      </c>
      <c r="BG90" s="3">
        <f t="shared" si="29"/>
        <v>0</v>
      </c>
      <c r="BH90" s="3">
        <f t="shared" si="30"/>
        <v>0</v>
      </c>
      <c r="BI90" s="3">
        <f t="shared" si="31"/>
        <v>2</v>
      </c>
    </row>
    <row r="91" spans="1:61" x14ac:dyDescent="0.25">
      <c r="A91" s="29">
        <v>76</v>
      </c>
      <c r="B91" s="3" t="s">
        <v>635</v>
      </c>
      <c r="C91" s="13" t="s">
        <v>636</v>
      </c>
      <c r="D91" s="13" t="s">
        <v>632</v>
      </c>
      <c r="E91" s="13" t="s">
        <v>62</v>
      </c>
      <c r="F91" s="18" t="s">
        <v>50</v>
      </c>
      <c r="G91" s="18">
        <v>45721</v>
      </c>
      <c r="H91" s="18" t="s">
        <v>35</v>
      </c>
      <c r="I91" s="13" t="s">
        <v>23</v>
      </c>
      <c r="J91" s="13" t="s">
        <v>24</v>
      </c>
      <c r="K91" s="13" t="s">
        <v>36</v>
      </c>
      <c r="L91" s="13" t="s">
        <v>37</v>
      </c>
      <c r="M91" s="13" t="s">
        <v>1621</v>
      </c>
      <c r="N91" s="4" t="s">
        <v>637</v>
      </c>
      <c r="O91" s="4" t="s">
        <v>28</v>
      </c>
      <c r="P91" s="1" t="s">
        <v>5</v>
      </c>
      <c r="Q91" s="1" t="s">
        <v>29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3">
        <f t="shared" si="16"/>
        <v>0</v>
      </c>
      <c r="AU91" s="3">
        <f t="shared" si="17"/>
        <v>1</v>
      </c>
      <c r="AV91" s="3">
        <f t="shared" si="18"/>
        <v>0</v>
      </c>
      <c r="AW91" s="3">
        <f t="shared" si="19"/>
        <v>0</v>
      </c>
      <c r="AX91" s="3">
        <f t="shared" si="20"/>
        <v>0</v>
      </c>
      <c r="AY91" s="3">
        <f t="shared" si="21"/>
        <v>1</v>
      </c>
      <c r="AZ91" s="3">
        <f t="shared" si="22"/>
        <v>0</v>
      </c>
      <c r="BA91" s="3">
        <f t="shared" si="23"/>
        <v>0</v>
      </c>
      <c r="BB91" s="3">
        <f t="shared" si="24"/>
        <v>0</v>
      </c>
      <c r="BC91" s="3">
        <f t="shared" si="25"/>
        <v>0</v>
      </c>
      <c r="BD91" s="3">
        <f t="shared" si="26"/>
        <v>0</v>
      </c>
      <c r="BE91" s="3">
        <f t="shared" si="27"/>
        <v>0</v>
      </c>
      <c r="BF91" s="3">
        <f t="shared" si="28"/>
        <v>0</v>
      </c>
      <c r="BG91" s="3">
        <f t="shared" si="29"/>
        <v>0</v>
      </c>
      <c r="BH91" s="3">
        <f t="shared" si="30"/>
        <v>0</v>
      </c>
      <c r="BI91" s="3">
        <f t="shared" si="31"/>
        <v>2</v>
      </c>
    </row>
    <row r="92" spans="1:61" x14ac:dyDescent="0.25">
      <c r="A92" s="29">
        <v>78</v>
      </c>
      <c r="B92" s="3" t="s">
        <v>935</v>
      </c>
      <c r="C92" s="13" t="s">
        <v>572</v>
      </c>
      <c r="D92" s="13" t="s">
        <v>936</v>
      </c>
      <c r="E92" s="13" t="s">
        <v>937</v>
      </c>
      <c r="F92" s="18" t="s">
        <v>67</v>
      </c>
      <c r="G92" s="18">
        <v>45721</v>
      </c>
      <c r="H92" s="18" t="s">
        <v>35</v>
      </c>
      <c r="I92" s="13" t="s">
        <v>23</v>
      </c>
      <c r="J92" s="13" t="s">
        <v>24</v>
      </c>
      <c r="K92" s="13" t="s">
        <v>36</v>
      </c>
      <c r="L92" s="13" t="s">
        <v>37</v>
      </c>
      <c r="M92" s="13" t="s">
        <v>1621</v>
      </c>
      <c r="N92" s="4" t="s">
        <v>938</v>
      </c>
      <c r="O92" s="4" t="s">
        <v>28</v>
      </c>
      <c r="P92" s="1" t="s">
        <v>5</v>
      </c>
      <c r="Q92" s="1" t="s">
        <v>29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3">
        <f t="shared" si="16"/>
        <v>0</v>
      </c>
      <c r="AU92" s="3">
        <f t="shared" si="17"/>
        <v>1</v>
      </c>
      <c r="AV92" s="3">
        <f t="shared" si="18"/>
        <v>0</v>
      </c>
      <c r="AW92" s="3">
        <f t="shared" si="19"/>
        <v>0</v>
      </c>
      <c r="AX92" s="3">
        <f t="shared" si="20"/>
        <v>0</v>
      </c>
      <c r="AY92" s="3">
        <f t="shared" si="21"/>
        <v>1</v>
      </c>
      <c r="AZ92" s="3">
        <f t="shared" si="22"/>
        <v>0</v>
      </c>
      <c r="BA92" s="3">
        <f t="shared" si="23"/>
        <v>0</v>
      </c>
      <c r="BB92" s="3">
        <f t="shared" si="24"/>
        <v>0</v>
      </c>
      <c r="BC92" s="3">
        <f t="shared" si="25"/>
        <v>0</v>
      </c>
      <c r="BD92" s="3">
        <f t="shared" si="26"/>
        <v>0</v>
      </c>
      <c r="BE92" s="3">
        <f t="shared" si="27"/>
        <v>0</v>
      </c>
      <c r="BF92" s="3">
        <f t="shared" si="28"/>
        <v>0</v>
      </c>
      <c r="BG92" s="3">
        <f t="shared" si="29"/>
        <v>0</v>
      </c>
      <c r="BH92" s="3">
        <f t="shared" si="30"/>
        <v>0</v>
      </c>
      <c r="BI92" s="3">
        <f t="shared" si="31"/>
        <v>2</v>
      </c>
    </row>
    <row r="93" spans="1:61" x14ac:dyDescent="0.25">
      <c r="A93" s="29">
        <v>79</v>
      </c>
      <c r="B93" s="3" t="s">
        <v>743</v>
      </c>
      <c r="C93" s="13" t="s">
        <v>744</v>
      </c>
      <c r="D93" s="13" t="s">
        <v>745</v>
      </c>
      <c r="E93" s="13" t="s">
        <v>33</v>
      </c>
      <c r="F93" s="18" t="s">
        <v>1531</v>
      </c>
      <c r="G93" s="18">
        <v>45721</v>
      </c>
      <c r="H93" s="18" t="s">
        <v>35</v>
      </c>
      <c r="I93" s="13" t="s">
        <v>23</v>
      </c>
      <c r="J93" s="13" t="s">
        <v>24</v>
      </c>
      <c r="K93" s="13" t="s">
        <v>36</v>
      </c>
      <c r="L93" s="13" t="s">
        <v>37</v>
      </c>
      <c r="M93" s="13" t="s">
        <v>1621</v>
      </c>
      <c r="N93" s="4" t="s">
        <v>746</v>
      </c>
      <c r="O93" s="4" t="s">
        <v>28</v>
      </c>
      <c r="P93" s="1" t="s">
        <v>5</v>
      </c>
      <c r="Q93" s="1" t="s">
        <v>29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3">
        <f t="shared" si="16"/>
        <v>0</v>
      </c>
      <c r="AU93" s="3">
        <f t="shared" si="17"/>
        <v>1</v>
      </c>
      <c r="AV93" s="3">
        <f t="shared" si="18"/>
        <v>0</v>
      </c>
      <c r="AW93" s="3">
        <f t="shared" si="19"/>
        <v>0</v>
      </c>
      <c r="AX93" s="3">
        <f t="shared" si="20"/>
        <v>0</v>
      </c>
      <c r="AY93" s="3">
        <f t="shared" si="21"/>
        <v>1</v>
      </c>
      <c r="AZ93" s="3">
        <f t="shared" si="22"/>
        <v>0</v>
      </c>
      <c r="BA93" s="3">
        <f t="shared" si="23"/>
        <v>0</v>
      </c>
      <c r="BB93" s="3">
        <f t="shared" si="24"/>
        <v>0</v>
      </c>
      <c r="BC93" s="3">
        <f t="shared" si="25"/>
        <v>0</v>
      </c>
      <c r="BD93" s="3">
        <f t="shared" si="26"/>
        <v>0</v>
      </c>
      <c r="BE93" s="3">
        <f t="shared" si="27"/>
        <v>0</v>
      </c>
      <c r="BF93" s="3">
        <f t="shared" si="28"/>
        <v>0</v>
      </c>
      <c r="BG93" s="3">
        <f t="shared" si="29"/>
        <v>0</v>
      </c>
      <c r="BH93" s="3">
        <f t="shared" si="30"/>
        <v>0</v>
      </c>
      <c r="BI93" s="3">
        <f t="shared" si="31"/>
        <v>2</v>
      </c>
    </row>
    <row r="94" spans="1:61" x14ac:dyDescent="0.25">
      <c r="A94" s="29">
        <v>82</v>
      </c>
      <c r="B94" s="3" t="s">
        <v>947</v>
      </c>
      <c r="C94" s="13" t="s">
        <v>245</v>
      </c>
      <c r="D94" s="13" t="s">
        <v>825</v>
      </c>
      <c r="E94" s="13" t="s">
        <v>948</v>
      </c>
      <c r="F94" s="18" t="s">
        <v>1532</v>
      </c>
      <c r="G94" s="18">
        <v>45721</v>
      </c>
      <c r="H94" s="18" t="s">
        <v>35</v>
      </c>
      <c r="I94" s="13" t="s">
        <v>23</v>
      </c>
      <c r="J94" s="13" t="s">
        <v>24</v>
      </c>
      <c r="K94" s="13" t="s">
        <v>36</v>
      </c>
      <c r="L94" s="13" t="s">
        <v>37</v>
      </c>
      <c r="M94" s="13" t="s">
        <v>1621</v>
      </c>
      <c r="N94" s="4" t="s">
        <v>949</v>
      </c>
      <c r="O94" s="4" t="s">
        <v>28</v>
      </c>
      <c r="P94" s="1" t="s">
        <v>5</v>
      </c>
      <c r="Q94" s="1" t="s">
        <v>29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3">
        <f t="shared" si="16"/>
        <v>0</v>
      </c>
      <c r="AU94" s="3">
        <f t="shared" si="17"/>
        <v>1</v>
      </c>
      <c r="AV94" s="3">
        <f t="shared" si="18"/>
        <v>0</v>
      </c>
      <c r="AW94" s="3">
        <f t="shared" si="19"/>
        <v>0</v>
      </c>
      <c r="AX94" s="3">
        <f t="shared" si="20"/>
        <v>0</v>
      </c>
      <c r="AY94" s="3">
        <f t="shared" si="21"/>
        <v>1</v>
      </c>
      <c r="AZ94" s="3">
        <f t="shared" si="22"/>
        <v>0</v>
      </c>
      <c r="BA94" s="3">
        <f t="shared" si="23"/>
        <v>0</v>
      </c>
      <c r="BB94" s="3">
        <f t="shared" si="24"/>
        <v>0</v>
      </c>
      <c r="BC94" s="3">
        <f t="shared" si="25"/>
        <v>0</v>
      </c>
      <c r="BD94" s="3">
        <f t="shared" si="26"/>
        <v>0</v>
      </c>
      <c r="BE94" s="3">
        <f t="shared" si="27"/>
        <v>0</v>
      </c>
      <c r="BF94" s="3">
        <f t="shared" si="28"/>
        <v>0</v>
      </c>
      <c r="BG94" s="3">
        <f t="shared" si="29"/>
        <v>0</v>
      </c>
      <c r="BH94" s="3">
        <f t="shared" si="30"/>
        <v>0</v>
      </c>
      <c r="BI94" s="3">
        <f t="shared" si="31"/>
        <v>2</v>
      </c>
    </row>
    <row r="95" spans="1:61" x14ac:dyDescent="0.25">
      <c r="A95" s="29">
        <v>84</v>
      </c>
      <c r="B95" s="3" t="s">
        <v>113</v>
      </c>
      <c r="C95" s="13" t="s">
        <v>114</v>
      </c>
      <c r="D95" s="13" t="s">
        <v>106</v>
      </c>
      <c r="E95" s="13" t="s">
        <v>115</v>
      </c>
      <c r="F95" s="18" t="s">
        <v>1533</v>
      </c>
      <c r="G95" s="18">
        <v>45721</v>
      </c>
      <c r="H95" s="18" t="s">
        <v>35</v>
      </c>
      <c r="I95" s="13" t="s">
        <v>23</v>
      </c>
      <c r="J95" s="13" t="s">
        <v>24</v>
      </c>
      <c r="K95" s="13" t="s">
        <v>36</v>
      </c>
      <c r="L95" s="13" t="s">
        <v>1568</v>
      </c>
      <c r="M95" s="13" t="s">
        <v>1621</v>
      </c>
      <c r="N95" s="4" t="s">
        <v>116</v>
      </c>
      <c r="O95" s="4" t="s">
        <v>28</v>
      </c>
      <c r="P95" s="1" t="s">
        <v>5</v>
      </c>
      <c r="Q95" s="1" t="s">
        <v>92</v>
      </c>
      <c r="R95" s="1" t="s">
        <v>92</v>
      </c>
      <c r="S95" s="1" t="s">
        <v>92</v>
      </c>
      <c r="T95" s="1" t="s">
        <v>92</v>
      </c>
      <c r="U95" s="1" t="s">
        <v>92</v>
      </c>
      <c r="V95" s="1" t="s">
        <v>92</v>
      </c>
      <c r="W95" s="1" t="s">
        <v>92</v>
      </c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3">
        <f t="shared" si="16"/>
        <v>0</v>
      </c>
      <c r="AU95" s="3">
        <f t="shared" si="17"/>
        <v>0</v>
      </c>
      <c r="AV95" s="3">
        <f t="shared" si="18"/>
        <v>0</v>
      </c>
      <c r="AW95" s="3">
        <f t="shared" si="19"/>
        <v>0</v>
      </c>
      <c r="AX95" s="3">
        <f t="shared" si="20"/>
        <v>0</v>
      </c>
      <c r="AY95" s="3">
        <f t="shared" si="21"/>
        <v>1</v>
      </c>
      <c r="AZ95" s="3">
        <f t="shared" si="22"/>
        <v>0</v>
      </c>
      <c r="BA95" s="3">
        <f t="shared" si="23"/>
        <v>7</v>
      </c>
      <c r="BB95" s="3">
        <f t="shared" si="24"/>
        <v>0</v>
      </c>
      <c r="BC95" s="3">
        <f t="shared" si="25"/>
        <v>0</v>
      </c>
      <c r="BD95" s="3">
        <f t="shared" si="26"/>
        <v>0</v>
      </c>
      <c r="BE95" s="3">
        <f t="shared" si="27"/>
        <v>0</v>
      </c>
      <c r="BF95" s="3">
        <f t="shared" si="28"/>
        <v>0</v>
      </c>
      <c r="BG95" s="3">
        <f t="shared" si="29"/>
        <v>0</v>
      </c>
      <c r="BH95" s="3">
        <f t="shared" si="30"/>
        <v>0</v>
      </c>
      <c r="BI95" s="3">
        <f t="shared" si="31"/>
        <v>1</v>
      </c>
    </row>
    <row r="96" spans="1:61" x14ac:dyDescent="0.25">
      <c r="A96" s="29">
        <v>87</v>
      </c>
      <c r="B96" s="3" t="s">
        <v>413</v>
      </c>
      <c r="C96" s="13" t="s">
        <v>414</v>
      </c>
      <c r="D96" s="13" t="s">
        <v>415</v>
      </c>
      <c r="E96" s="13" t="s">
        <v>416</v>
      </c>
      <c r="F96" s="18" t="s">
        <v>335</v>
      </c>
      <c r="G96" s="18">
        <v>45721</v>
      </c>
      <c r="H96" s="18" t="s">
        <v>35</v>
      </c>
      <c r="I96" s="13" t="s">
        <v>23</v>
      </c>
      <c r="J96" s="13" t="s">
        <v>24</v>
      </c>
      <c r="K96" s="13" t="s">
        <v>36</v>
      </c>
      <c r="L96" s="13" t="s">
        <v>37</v>
      </c>
      <c r="M96" s="13" t="s">
        <v>1621</v>
      </c>
      <c r="N96" s="4" t="s">
        <v>417</v>
      </c>
      <c r="O96" s="4" t="s">
        <v>28</v>
      </c>
      <c r="P96" s="1" t="s">
        <v>5</v>
      </c>
      <c r="Q96" s="1" t="s">
        <v>29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3">
        <f t="shared" si="16"/>
        <v>0</v>
      </c>
      <c r="AU96" s="3">
        <f t="shared" si="17"/>
        <v>1</v>
      </c>
      <c r="AV96" s="3">
        <f t="shared" si="18"/>
        <v>0</v>
      </c>
      <c r="AW96" s="3">
        <f t="shared" si="19"/>
        <v>0</v>
      </c>
      <c r="AX96" s="3">
        <f t="shared" si="20"/>
        <v>0</v>
      </c>
      <c r="AY96" s="3">
        <f t="shared" si="21"/>
        <v>1</v>
      </c>
      <c r="AZ96" s="3">
        <f t="shared" si="22"/>
        <v>0</v>
      </c>
      <c r="BA96" s="3">
        <f t="shared" si="23"/>
        <v>0</v>
      </c>
      <c r="BB96" s="3">
        <f t="shared" si="24"/>
        <v>0</v>
      </c>
      <c r="BC96" s="3">
        <f t="shared" si="25"/>
        <v>0</v>
      </c>
      <c r="BD96" s="3">
        <f t="shared" si="26"/>
        <v>0</v>
      </c>
      <c r="BE96" s="3">
        <f t="shared" si="27"/>
        <v>0</v>
      </c>
      <c r="BF96" s="3">
        <f t="shared" si="28"/>
        <v>0</v>
      </c>
      <c r="BG96" s="3">
        <f t="shared" si="29"/>
        <v>0</v>
      </c>
      <c r="BH96" s="3">
        <f t="shared" si="30"/>
        <v>0</v>
      </c>
      <c r="BI96" s="3">
        <f t="shared" si="31"/>
        <v>2</v>
      </c>
    </row>
    <row r="97" spans="1:61" x14ac:dyDescent="0.25">
      <c r="A97" s="29">
        <v>91</v>
      </c>
      <c r="B97" s="3" t="s">
        <v>1055</v>
      </c>
      <c r="C97" s="13" t="s">
        <v>1056</v>
      </c>
      <c r="D97" s="13" t="s">
        <v>1057</v>
      </c>
      <c r="E97" s="13" t="s">
        <v>1058</v>
      </c>
      <c r="F97" s="18" t="s">
        <v>138</v>
      </c>
      <c r="G97" s="18">
        <v>45722</v>
      </c>
      <c r="H97" s="18" t="s">
        <v>35</v>
      </c>
      <c r="I97" s="13" t="s">
        <v>23</v>
      </c>
      <c r="J97" s="13" t="s">
        <v>24</v>
      </c>
      <c r="K97" s="13" t="s">
        <v>25</v>
      </c>
      <c r="L97" s="13" t="s">
        <v>26</v>
      </c>
      <c r="M97" s="13" t="s">
        <v>1621</v>
      </c>
      <c r="N97" s="4" t="s">
        <v>1059</v>
      </c>
      <c r="O97" s="4" t="s">
        <v>28</v>
      </c>
      <c r="P97" s="1" t="s">
        <v>5</v>
      </c>
      <c r="Q97" s="1" t="s">
        <v>39</v>
      </c>
      <c r="R97" s="1" t="s">
        <v>39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3">
        <f t="shared" si="16"/>
        <v>2</v>
      </c>
      <c r="AU97" s="3">
        <f t="shared" si="17"/>
        <v>0</v>
      </c>
      <c r="AV97" s="3">
        <f t="shared" si="18"/>
        <v>0</v>
      </c>
      <c r="AW97" s="3">
        <f t="shared" si="19"/>
        <v>0</v>
      </c>
      <c r="AX97" s="3">
        <f t="shared" si="20"/>
        <v>0</v>
      </c>
      <c r="AY97" s="3">
        <f t="shared" si="21"/>
        <v>1</v>
      </c>
      <c r="AZ97" s="3">
        <f t="shared" si="22"/>
        <v>0</v>
      </c>
      <c r="BA97" s="3">
        <f t="shared" si="23"/>
        <v>0</v>
      </c>
      <c r="BB97" s="3">
        <f t="shared" si="24"/>
        <v>0</v>
      </c>
      <c r="BC97" s="3">
        <f t="shared" si="25"/>
        <v>0</v>
      </c>
      <c r="BD97" s="3">
        <f t="shared" si="26"/>
        <v>0</v>
      </c>
      <c r="BE97" s="3">
        <f t="shared" si="27"/>
        <v>0</v>
      </c>
      <c r="BF97" s="3">
        <f t="shared" si="28"/>
        <v>0</v>
      </c>
      <c r="BG97" s="3">
        <f t="shared" si="29"/>
        <v>0</v>
      </c>
      <c r="BH97" s="3">
        <f t="shared" si="30"/>
        <v>0</v>
      </c>
      <c r="BI97" s="3">
        <f t="shared" si="31"/>
        <v>3</v>
      </c>
    </row>
    <row r="98" spans="1:61" x14ac:dyDescent="0.25">
      <c r="A98" s="29">
        <v>92</v>
      </c>
      <c r="B98" s="3" t="s">
        <v>212</v>
      </c>
      <c r="C98" s="13" t="s">
        <v>213</v>
      </c>
      <c r="D98" s="13" t="s">
        <v>206</v>
      </c>
      <c r="E98" s="13" t="s">
        <v>214</v>
      </c>
      <c r="F98" s="18" t="s">
        <v>215</v>
      </c>
      <c r="G98" s="18">
        <v>45722</v>
      </c>
      <c r="H98" s="18" t="s">
        <v>35</v>
      </c>
      <c r="I98" s="13" t="s">
        <v>23</v>
      </c>
      <c r="J98" s="13" t="s">
        <v>24</v>
      </c>
      <c r="K98" s="13" t="s">
        <v>43</v>
      </c>
      <c r="L98" s="13" t="s">
        <v>216</v>
      </c>
      <c r="M98" s="13" t="s">
        <v>1621</v>
      </c>
      <c r="N98" s="4" t="s">
        <v>217</v>
      </c>
      <c r="O98" s="4" t="s">
        <v>28</v>
      </c>
      <c r="P98" s="1" t="s">
        <v>29</v>
      </c>
      <c r="Q98" s="1" t="s">
        <v>5</v>
      </c>
      <c r="R98" s="1" t="s">
        <v>5</v>
      </c>
      <c r="S98" s="1" t="s">
        <v>5</v>
      </c>
      <c r="T98" s="1" t="s">
        <v>5</v>
      </c>
      <c r="U98" s="1" t="s">
        <v>5</v>
      </c>
      <c r="V98" s="1" t="s">
        <v>5</v>
      </c>
      <c r="W98" s="1" t="s">
        <v>5</v>
      </c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3">
        <f t="shared" si="16"/>
        <v>0</v>
      </c>
      <c r="AU98" s="3">
        <f t="shared" si="17"/>
        <v>1</v>
      </c>
      <c r="AV98" s="3">
        <f t="shared" si="18"/>
        <v>0</v>
      </c>
      <c r="AW98" s="3">
        <f t="shared" si="19"/>
        <v>0</v>
      </c>
      <c r="AX98" s="3">
        <f t="shared" si="20"/>
        <v>0</v>
      </c>
      <c r="AY98" s="3">
        <f t="shared" si="21"/>
        <v>7</v>
      </c>
      <c r="AZ98" s="3">
        <f t="shared" si="22"/>
        <v>0</v>
      </c>
      <c r="BA98" s="3">
        <f t="shared" si="23"/>
        <v>0</v>
      </c>
      <c r="BB98" s="3">
        <f t="shared" si="24"/>
        <v>0</v>
      </c>
      <c r="BC98" s="3">
        <f t="shared" si="25"/>
        <v>0</v>
      </c>
      <c r="BD98" s="3">
        <f t="shared" si="26"/>
        <v>0</v>
      </c>
      <c r="BE98" s="3">
        <f t="shared" si="27"/>
        <v>0</v>
      </c>
      <c r="BF98" s="3">
        <f t="shared" si="28"/>
        <v>0</v>
      </c>
      <c r="BG98" s="3">
        <f t="shared" si="29"/>
        <v>0</v>
      </c>
      <c r="BH98" s="3">
        <f t="shared" si="30"/>
        <v>0</v>
      </c>
      <c r="BI98" s="3">
        <f t="shared" si="31"/>
        <v>8</v>
      </c>
    </row>
    <row r="99" spans="1:61" x14ac:dyDescent="0.25">
      <c r="A99" s="29">
        <v>93</v>
      </c>
      <c r="B99" s="3" t="s">
        <v>519</v>
      </c>
      <c r="C99" s="13" t="s">
        <v>230</v>
      </c>
      <c r="D99" s="13" t="s">
        <v>520</v>
      </c>
      <c r="E99" s="13" t="s">
        <v>521</v>
      </c>
      <c r="F99" s="18" t="s">
        <v>522</v>
      </c>
      <c r="G99" s="18">
        <v>45722</v>
      </c>
      <c r="H99" s="18" t="s">
        <v>35</v>
      </c>
      <c r="I99" s="13" t="s">
        <v>23</v>
      </c>
      <c r="J99" s="13" t="s">
        <v>24</v>
      </c>
      <c r="K99" s="13" t="s">
        <v>36</v>
      </c>
      <c r="L99" s="13" t="s">
        <v>37</v>
      </c>
      <c r="M99" s="13" t="s">
        <v>1621</v>
      </c>
      <c r="N99" s="4" t="s">
        <v>523</v>
      </c>
      <c r="O99" s="4" t="s">
        <v>28</v>
      </c>
      <c r="P99" s="1" t="s">
        <v>92</v>
      </c>
      <c r="Q99" s="1" t="s">
        <v>92</v>
      </c>
      <c r="R99" s="1" t="s">
        <v>92</v>
      </c>
      <c r="S99" s="1" t="s">
        <v>92</v>
      </c>
      <c r="T99" s="1" t="s">
        <v>92</v>
      </c>
      <c r="U99" s="1" t="s">
        <v>92</v>
      </c>
      <c r="V99" s="1" t="s">
        <v>92</v>
      </c>
      <c r="W99" s="1" t="s">
        <v>92</v>
      </c>
      <c r="X99" s="1" t="s">
        <v>92</v>
      </c>
      <c r="Y99" s="1" t="s">
        <v>92</v>
      </c>
      <c r="Z99" s="1" t="s">
        <v>92</v>
      </c>
      <c r="AA99" s="1" t="s">
        <v>92</v>
      </c>
      <c r="AB99" s="1" t="s">
        <v>92</v>
      </c>
      <c r="AC99" s="1" t="s">
        <v>92</v>
      </c>
      <c r="AD99" s="1" t="s">
        <v>92</v>
      </c>
      <c r="AE99" s="1" t="s">
        <v>92</v>
      </c>
      <c r="AF99" s="1" t="s">
        <v>92</v>
      </c>
      <c r="AG99" s="1" t="s">
        <v>92</v>
      </c>
      <c r="AH99" s="1" t="s">
        <v>92</v>
      </c>
      <c r="AI99" s="1" t="s">
        <v>92</v>
      </c>
      <c r="AJ99" s="1" t="s">
        <v>92</v>
      </c>
      <c r="AK99" s="1" t="s">
        <v>92</v>
      </c>
      <c r="AL99" s="1" t="s">
        <v>92</v>
      </c>
      <c r="AM99" s="1" t="s">
        <v>92</v>
      </c>
      <c r="AN99" s="1" t="s">
        <v>92</v>
      </c>
      <c r="AO99" s="1" t="s">
        <v>92</v>
      </c>
      <c r="AP99" s="1" t="s">
        <v>92</v>
      </c>
      <c r="AQ99" s="1" t="s">
        <v>92</v>
      </c>
      <c r="AR99" s="1" t="s">
        <v>92</v>
      </c>
      <c r="AS99" s="1" t="s">
        <v>92</v>
      </c>
      <c r="AT99" s="3">
        <f t="shared" si="16"/>
        <v>0</v>
      </c>
      <c r="AU99" s="3">
        <f t="shared" si="17"/>
        <v>0</v>
      </c>
      <c r="AV99" s="3">
        <f t="shared" si="18"/>
        <v>0</v>
      </c>
      <c r="AW99" s="3">
        <f t="shared" si="19"/>
        <v>0</v>
      </c>
      <c r="AX99" s="3">
        <f t="shared" si="20"/>
        <v>0</v>
      </c>
      <c r="AY99" s="3">
        <f t="shared" si="21"/>
        <v>0</v>
      </c>
      <c r="AZ99" s="3">
        <f t="shared" si="22"/>
        <v>0</v>
      </c>
      <c r="BA99" s="3">
        <f t="shared" si="23"/>
        <v>30</v>
      </c>
      <c r="BB99" s="3">
        <f t="shared" si="24"/>
        <v>0</v>
      </c>
      <c r="BC99" s="3">
        <f t="shared" si="25"/>
        <v>0</v>
      </c>
      <c r="BD99" s="3">
        <f t="shared" si="26"/>
        <v>0</v>
      </c>
      <c r="BE99" s="3">
        <f t="shared" si="27"/>
        <v>0</v>
      </c>
      <c r="BF99" s="3">
        <f t="shared" si="28"/>
        <v>0</v>
      </c>
      <c r="BG99" s="3">
        <f t="shared" si="29"/>
        <v>0</v>
      </c>
      <c r="BH99" s="3">
        <f t="shared" si="30"/>
        <v>0</v>
      </c>
      <c r="BI99" s="3">
        <f t="shared" si="31"/>
        <v>0</v>
      </c>
    </row>
    <row r="100" spans="1:61" x14ac:dyDescent="0.25">
      <c r="A100" s="29">
        <v>96</v>
      </c>
      <c r="B100" s="3" t="s">
        <v>497</v>
      </c>
      <c r="C100" s="13" t="s">
        <v>498</v>
      </c>
      <c r="D100" s="13" t="s">
        <v>494</v>
      </c>
      <c r="E100" s="13" t="s">
        <v>499</v>
      </c>
      <c r="F100" s="18" t="s">
        <v>55</v>
      </c>
      <c r="G100" s="18">
        <v>45723</v>
      </c>
      <c r="H100" s="18" t="s">
        <v>35</v>
      </c>
      <c r="I100" s="13" t="s">
        <v>23</v>
      </c>
      <c r="J100" s="13" t="s">
        <v>24</v>
      </c>
      <c r="K100" s="13" t="s">
        <v>25</v>
      </c>
      <c r="L100" s="13" t="s">
        <v>26</v>
      </c>
      <c r="M100" s="13" t="s">
        <v>1621</v>
      </c>
      <c r="N100" s="4" t="s">
        <v>500</v>
      </c>
      <c r="O100" s="4" t="s">
        <v>28</v>
      </c>
      <c r="P100" s="1" t="s">
        <v>5</v>
      </c>
      <c r="Q100" s="1" t="s">
        <v>39</v>
      </c>
      <c r="R100" s="1" t="s">
        <v>39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3">
        <f t="shared" si="16"/>
        <v>2</v>
      </c>
      <c r="AU100" s="3">
        <f t="shared" si="17"/>
        <v>0</v>
      </c>
      <c r="AV100" s="3">
        <f t="shared" si="18"/>
        <v>0</v>
      </c>
      <c r="AW100" s="3">
        <f t="shared" si="19"/>
        <v>0</v>
      </c>
      <c r="AX100" s="3">
        <f t="shared" si="20"/>
        <v>0</v>
      </c>
      <c r="AY100" s="3">
        <f t="shared" si="21"/>
        <v>1</v>
      </c>
      <c r="AZ100" s="3">
        <f t="shared" si="22"/>
        <v>0</v>
      </c>
      <c r="BA100" s="3">
        <f t="shared" si="23"/>
        <v>0</v>
      </c>
      <c r="BB100" s="3">
        <f t="shared" si="24"/>
        <v>0</v>
      </c>
      <c r="BC100" s="3">
        <f t="shared" si="25"/>
        <v>0</v>
      </c>
      <c r="BD100" s="3">
        <f t="shared" si="26"/>
        <v>0</v>
      </c>
      <c r="BE100" s="3">
        <f t="shared" si="27"/>
        <v>0</v>
      </c>
      <c r="BF100" s="3">
        <f t="shared" si="28"/>
        <v>0</v>
      </c>
      <c r="BG100" s="3">
        <f t="shared" si="29"/>
        <v>0</v>
      </c>
      <c r="BH100" s="3">
        <f t="shared" si="30"/>
        <v>0</v>
      </c>
      <c r="BI100" s="3">
        <f t="shared" si="31"/>
        <v>3</v>
      </c>
    </row>
    <row r="101" spans="1:61" x14ac:dyDescent="0.25">
      <c r="A101" s="29">
        <v>94</v>
      </c>
      <c r="B101" s="3" t="s">
        <v>605</v>
      </c>
      <c r="C101" s="13" t="s">
        <v>498</v>
      </c>
      <c r="D101" s="13" t="s">
        <v>498</v>
      </c>
      <c r="E101" s="13" t="s">
        <v>183</v>
      </c>
      <c r="F101" s="18" t="s">
        <v>73</v>
      </c>
      <c r="G101" s="18">
        <v>45723</v>
      </c>
      <c r="H101" s="18" t="s">
        <v>35</v>
      </c>
      <c r="I101" s="13" t="s">
        <v>23</v>
      </c>
      <c r="J101" s="13" t="s">
        <v>24</v>
      </c>
      <c r="K101" s="13" t="s">
        <v>43</v>
      </c>
      <c r="L101" s="13" t="s">
        <v>44</v>
      </c>
      <c r="M101" s="13" t="s">
        <v>1621</v>
      </c>
      <c r="N101" s="4" t="s">
        <v>606</v>
      </c>
      <c r="O101" s="4" t="s">
        <v>28</v>
      </c>
      <c r="P101" s="1" t="s">
        <v>92</v>
      </c>
      <c r="Q101" s="1" t="s">
        <v>92</v>
      </c>
      <c r="R101" s="1" t="s">
        <v>92</v>
      </c>
      <c r="S101" s="1" t="s">
        <v>92</v>
      </c>
      <c r="T101" s="1" t="s">
        <v>92</v>
      </c>
      <c r="U101" s="1" t="s">
        <v>92</v>
      </c>
      <c r="V101" s="1" t="s">
        <v>92</v>
      </c>
      <c r="W101" s="1" t="s">
        <v>92</v>
      </c>
      <c r="X101" s="1" t="s">
        <v>92</v>
      </c>
      <c r="Y101" s="1" t="s">
        <v>92</v>
      </c>
      <c r="Z101" s="1" t="s">
        <v>92</v>
      </c>
      <c r="AA101" s="1" t="s">
        <v>92</v>
      </c>
      <c r="AB101" s="1" t="s">
        <v>92</v>
      </c>
      <c r="AC101" s="1" t="s">
        <v>92</v>
      </c>
      <c r="AD101" s="1" t="s">
        <v>92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3">
        <f t="shared" si="16"/>
        <v>0</v>
      </c>
      <c r="AU101" s="3">
        <f t="shared" si="17"/>
        <v>0</v>
      </c>
      <c r="AV101" s="3">
        <f t="shared" si="18"/>
        <v>0</v>
      </c>
      <c r="AW101" s="3">
        <f t="shared" si="19"/>
        <v>0</v>
      </c>
      <c r="AX101" s="3">
        <f t="shared" si="20"/>
        <v>0</v>
      </c>
      <c r="AY101" s="3">
        <f t="shared" si="21"/>
        <v>0</v>
      </c>
      <c r="AZ101" s="3">
        <f t="shared" si="22"/>
        <v>0</v>
      </c>
      <c r="BA101" s="3">
        <f t="shared" si="23"/>
        <v>15</v>
      </c>
      <c r="BB101" s="3">
        <f t="shared" si="24"/>
        <v>0</v>
      </c>
      <c r="BC101" s="3">
        <f t="shared" si="25"/>
        <v>0</v>
      </c>
      <c r="BD101" s="3">
        <f t="shared" si="26"/>
        <v>0</v>
      </c>
      <c r="BE101" s="3">
        <f t="shared" si="27"/>
        <v>0</v>
      </c>
      <c r="BF101" s="3">
        <f t="shared" si="28"/>
        <v>0</v>
      </c>
      <c r="BG101" s="3">
        <f t="shared" si="29"/>
        <v>0</v>
      </c>
      <c r="BH101" s="3">
        <f t="shared" si="30"/>
        <v>0</v>
      </c>
      <c r="BI101" s="3">
        <f t="shared" si="31"/>
        <v>0</v>
      </c>
    </row>
    <row r="102" spans="1:61" x14ac:dyDescent="0.25">
      <c r="A102" s="29">
        <v>95</v>
      </c>
      <c r="B102" s="3" t="s">
        <v>299</v>
      </c>
      <c r="C102" s="13" t="s">
        <v>300</v>
      </c>
      <c r="D102" s="13" t="s">
        <v>287</v>
      </c>
      <c r="E102" s="13" t="s">
        <v>301</v>
      </c>
      <c r="F102" s="18" t="s">
        <v>55</v>
      </c>
      <c r="G102" s="18">
        <v>45723</v>
      </c>
      <c r="H102" s="18" t="s">
        <v>35</v>
      </c>
      <c r="I102" s="13" t="s">
        <v>23</v>
      </c>
      <c r="J102" s="13" t="s">
        <v>24</v>
      </c>
      <c r="K102" s="13" t="s">
        <v>56</v>
      </c>
      <c r="L102" s="13" t="s">
        <v>57</v>
      </c>
      <c r="M102" s="13" t="s">
        <v>1621</v>
      </c>
      <c r="N102" s="4" t="s">
        <v>302</v>
      </c>
      <c r="O102" s="4" t="s">
        <v>28</v>
      </c>
      <c r="P102" s="1" t="s">
        <v>59</v>
      </c>
      <c r="Q102" s="1" t="s">
        <v>59</v>
      </c>
      <c r="R102" s="1" t="s">
        <v>59</v>
      </c>
      <c r="S102" s="1" t="s">
        <v>59</v>
      </c>
      <c r="T102" s="1" t="s">
        <v>59</v>
      </c>
      <c r="U102" s="1" t="s">
        <v>59</v>
      </c>
      <c r="V102" s="1" t="s">
        <v>59</v>
      </c>
      <c r="W102" s="1" t="s">
        <v>59</v>
      </c>
      <c r="X102" s="1" t="s">
        <v>59</v>
      </c>
      <c r="Y102" s="1" t="s">
        <v>59</v>
      </c>
      <c r="Z102" s="1" t="s">
        <v>59</v>
      </c>
      <c r="AA102" s="1" t="s">
        <v>59</v>
      </c>
      <c r="AB102" s="1" t="s">
        <v>59</v>
      </c>
      <c r="AC102" s="1" t="s">
        <v>59</v>
      </c>
      <c r="AD102" s="1" t="s">
        <v>59</v>
      </c>
      <c r="AE102" s="1" t="s">
        <v>59</v>
      </c>
      <c r="AF102" s="1" t="s">
        <v>59</v>
      </c>
      <c r="AG102" s="1" t="s">
        <v>59</v>
      </c>
      <c r="AH102" s="1" t="s">
        <v>59</v>
      </c>
      <c r="AI102" s="1" t="s">
        <v>59</v>
      </c>
      <c r="AJ102" s="1" t="s">
        <v>59</v>
      </c>
      <c r="AK102" s="1" t="s">
        <v>59</v>
      </c>
      <c r="AL102" s="1" t="s">
        <v>59</v>
      </c>
      <c r="AM102" s="1" t="s">
        <v>59</v>
      </c>
      <c r="AN102" s="1" t="s">
        <v>59</v>
      </c>
      <c r="AO102" s="1" t="s">
        <v>59</v>
      </c>
      <c r="AP102" s="1" t="s">
        <v>59</v>
      </c>
      <c r="AQ102" s="1" t="s">
        <v>59</v>
      </c>
      <c r="AR102" s="1" t="s">
        <v>59</v>
      </c>
      <c r="AS102" s="1" t="s">
        <v>59</v>
      </c>
      <c r="AT102" s="3">
        <f t="shared" si="16"/>
        <v>0</v>
      </c>
      <c r="AU102" s="3">
        <f t="shared" si="17"/>
        <v>0</v>
      </c>
      <c r="AV102" s="3">
        <f t="shared" si="18"/>
        <v>0</v>
      </c>
      <c r="AW102" s="3">
        <f t="shared" si="19"/>
        <v>0</v>
      </c>
      <c r="AX102" s="3">
        <f t="shared" si="20"/>
        <v>0</v>
      </c>
      <c r="AY102" s="3">
        <f t="shared" si="21"/>
        <v>0</v>
      </c>
      <c r="AZ102" s="3">
        <f t="shared" si="22"/>
        <v>0</v>
      </c>
      <c r="BA102" s="3">
        <f t="shared" si="23"/>
        <v>0</v>
      </c>
      <c r="BB102" s="3">
        <f t="shared" si="24"/>
        <v>0</v>
      </c>
      <c r="BC102" s="3">
        <f t="shared" si="25"/>
        <v>30</v>
      </c>
      <c r="BD102" s="3">
        <f t="shared" si="26"/>
        <v>0</v>
      </c>
      <c r="BE102" s="3">
        <f t="shared" si="27"/>
        <v>0</v>
      </c>
      <c r="BF102" s="3">
        <f t="shared" si="28"/>
        <v>0</v>
      </c>
      <c r="BG102" s="3">
        <f t="shared" si="29"/>
        <v>0</v>
      </c>
      <c r="BH102" s="3">
        <f t="shared" si="30"/>
        <v>0</v>
      </c>
      <c r="BI102" s="3">
        <f t="shared" si="31"/>
        <v>30</v>
      </c>
    </row>
    <row r="103" spans="1:61" x14ac:dyDescent="0.25">
      <c r="A103" s="29">
        <v>97</v>
      </c>
      <c r="B103" s="3" t="s">
        <v>729</v>
      </c>
      <c r="C103" s="13" t="s">
        <v>205</v>
      </c>
      <c r="D103" s="13" t="s">
        <v>730</v>
      </c>
      <c r="E103" s="13" t="s">
        <v>731</v>
      </c>
      <c r="F103" s="18" t="s">
        <v>73</v>
      </c>
      <c r="G103" s="18">
        <v>45726</v>
      </c>
      <c r="H103" s="18" t="s">
        <v>35</v>
      </c>
      <c r="I103" s="13" t="s">
        <v>23</v>
      </c>
      <c r="J103" s="13" t="s">
        <v>24</v>
      </c>
      <c r="K103" s="13" t="s">
        <v>56</v>
      </c>
      <c r="L103" s="13" t="s">
        <v>57</v>
      </c>
      <c r="M103" s="13" t="s">
        <v>1621</v>
      </c>
      <c r="N103" s="4" t="s">
        <v>732</v>
      </c>
      <c r="O103" s="4" t="s">
        <v>28</v>
      </c>
      <c r="P103" s="1" t="s">
        <v>39</v>
      </c>
      <c r="Q103" s="1" t="s">
        <v>5</v>
      </c>
      <c r="R103" s="1" t="s">
        <v>5</v>
      </c>
      <c r="S103" s="1" t="s">
        <v>5</v>
      </c>
      <c r="T103" s="1" t="s">
        <v>5</v>
      </c>
      <c r="U103" s="1" t="s">
        <v>5</v>
      </c>
      <c r="V103" s="1" t="s">
        <v>5</v>
      </c>
      <c r="W103" s="1" t="s">
        <v>5</v>
      </c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3">
        <f t="shared" si="16"/>
        <v>1</v>
      </c>
      <c r="AU103" s="3">
        <f t="shared" si="17"/>
        <v>0</v>
      </c>
      <c r="AV103" s="3">
        <f t="shared" si="18"/>
        <v>0</v>
      </c>
      <c r="AW103" s="3">
        <f t="shared" si="19"/>
        <v>0</v>
      </c>
      <c r="AX103" s="3">
        <f t="shared" si="20"/>
        <v>0</v>
      </c>
      <c r="AY103" s="3">
        <f t="shared" si="21"/>
        <v>7</v>
      </c>
      <c r="AZ103" s="3">
        <f t="shared" si="22"/>
        <v>0</v>
      </c>
      <c r="BA103" s="3">
        <f t="shared" si="23"/>
        <v>0</v>
      </c>
      <c r="BB103" s="3">
        <f t="shared" si="24"/>
        <v>0</v>
      </c>
      <c r="BC103" s="3">
        <f t="shared" si="25"/>
        <v>0</v>
      </c>
      <c r="BD103" s="3">
        <f t="shared" si="26"/>
        <v>0</v>
      </c>
      <c r="BE103" s="3">
        <f t="shared" si="27"/>
        <v>0</v>
      </c>
      <c r="BF103" s="3">
        <f t="shared" si="28"/>
        <v>0</v>
      </c>
      <c r="BG103" s="3">
        <f t="shared" si="29"/>
        <v>0</v>
      </c>
      <c r="BH103" s="3">
        <f t="shared" si="30"/>
        <v>0</v>
      </c>
      <c r="BI103" s="3">
        <f t="shared" si="31"/>
        <v>8</v>
      </c>
    </row>
    <row r="104" spans="1:61" x14ac:dyDescent="0.25">
      <c r="A104" s="29">
        <v>98</v>
      </c>
      <c r="B104" s="3" t="s">
        <v>802</v>
      </c>
      <c r="C104" s="13" t="s">
        <v>803</v>
      </c>
      <c r="D104" s="13" t="s">
        <v>135</v>
      </c>
      <c r="E104" s="13" t="s">
        <v>804</v>
      </c>
      <c r="F104" s="18" t="s">
        <v>1525</v>
      </c>
      <c r="G104" s="18">
        <v>45726</v>
      </c>
      <c r="H104" s="18" t="s">
        <v>35</v>
      </c>
      <c r="I104" s="13" t="s">
        <v>23</v>
      </c>
      <c r="J104" s="13" t="s">
        <v>24</v>
      </c>
      <c r="K104" s="13" t="s">
        <v>43</v>
      </c>
      <c r="L104" s="13" t="s">
        <v>44</v>
      </c>
      <c r="M104" s="13" t="s">
        <v>1621</v>
      </c>
      <c r="N104" s="4" t="s">
        <v>805</v>
      </c>
      <c r="O104" s="4" t="s">
        <v>28</v>
      </c>
      <c r="P104" s="1" t="s">
        <v>29</v>
      </c>
      <c r="Q104" s="1" t="s">
        <v>5</v>
      </c>
      <c r="R104" s="1" t="s">
        <v>5</v>
      </c>
      <c r="S104" s="1" t="s">
        <v>5</v>
      </c>
      <c r="T104" s="1" t="s">
        <v>5</v>
      </c>
      <c r="U104" s="1" t="s">
        <v>5</v>
      </c>
      <c r="V104" s="1" t="s">
        <v>5</v>
      </c>
      <c r="W104" s="1" t="s">
        <v>5</v>
      </c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3">
        <f t="shared" si="16"/>
        <v>0</v>
      </c>
      <c r="AU104" s="3">
        <f t="shared" si="17"/>
        <v>1</v>
      </c>
      <c r="AV104" s="3">
        <f t="shared" si="18"/>
        <v>0</v>
      </c>
      <c r="AW104" s="3">
        <f t="shared" si="19"/>
        <v>0</v>
      </c>
      <c r="AX104" s="3">
        <f t="shared" si="20"/>
        <v>0</v>
      </c>
      <c r="AY104" s="3">
        <f t="shared" si="21"/>
        <v>7</v>
      </c>
      <c r="AZ104" s="3">
        <f t="shared" si="22"/>
        <v>0</v>
      </c>
      <c r="BA104" s="3">
        <f t="shared" si="23"/>
        <v>0</v>
      </c>
      <c r="BB104" s="3">
        <f t="shared" si="24"/>
        <v>0</v>
      </c>
      <c r="BC104" s="3">
        <f t="shared" si="25"/>
        <v>0</v>
      </c>
      <c r="BD104" s="3">
        <f t="shared" si="26"/>
        <v>0</v>
      </c>
      <c r="BE104" s="3">
        <f t="shared" si="27"/>
        <v>0</v>
      </c>
      <c r="BF104" s="3">
        <f t="shared" si="28"/>
        <v>0</v>
      </c>
      <c r="BG104" s="3">
        <f t="shared" si="29"/>
        <v>0</v>
      </c>
      <c r="BH104" s="3">
        <f t="shared" si="30"/>
        <v>0</v>
      </c>
      <c r="BI104" s="3">
        <f t="shared" si="31"/>
        <v>8</v>
      </c>
    </row>
    <row r="105" spans="1:61" x14ac:dyDescent="0.25">
      <c r="A105" s="29">
        <v>100</v>
      </c>
      <c r="B105" s="3" t="s">
        <v>374</v>
      </c>
      <c r="C105" s="13" t="s">
        <v>375</v>
      </c>
      <c r="D105" s="13" t="s">
        <v>375</v>
      </c>
      <c r="E105" s="13" t="s">
        <v>376</v>
      </c>
      <c r="F105" s="18" t="s">
        <v>55</v>
      </c>
      <c r="G105" s="18">
        <v>45727</v>
      </c>
      <c r="H105" s="18" t="s">
        <v>35</v>
      </c>
      <c r="I105" s="13" t="s">
        <v>23</v>
      </c>
      <c r="J105" s="13" t="s">
        <v>24</v>
      </c>
      <c r="K105" s="13" t="s">
        <v>377</v>
      </c>
      <c r="L105" s="13" t="s">
        <v>1568</v>
      </c>
      <c r="M105" s="13" t="s">
        <v>1621</v>
      </c>
      <c r="N105" s="4" t="s">
        <v>378</v>
      </c>
      <c r="O105" s="4" t="s">
        <v>28</v>
      </c>
      <c r="P105" s="1" t="s">
        <v>39</v>
      </c>
      <c r="Q105" s="1" t="s">
        <v>5</v>
      </c>
      <c r="R105" s="1" t="s">
        <v>5</v>
      </c>
      <c r="S105" s="1" t="s">
        <v>5</v>
      </c>
      <c r="T105" s="1" t="s">
        <v>5</v>
      </c>
      <c r="U105" s="1" t="s">
        <v>5</v>
      </c>
      <c r="V105" s="1" t="s">
        <v>5</v>
      </c>
      <c r="W105" s="1" t="s">
        <v>5</v>
      </c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3">
        <f t="shared" si="16"/>
        <v>1</v>
      </c>
      <c r="AU105" s="3">
        <f t="shared" si="17"/>
        <v>0</v>
      </c>
      <c r="AV105" s="3">
        <f t="shared" si="18"/>
        <v>0</v>
      </c>
      <c r="AW105" s="3">
        <f t="shared" si="19"/>
        <v>0</v>
      </c>
      <c r="AX105" s="3">
        <f t="shared" si="20"/>
        <v>0</v>
      </c>
      <c r="AY105" s="3">
        <f t="shared" si="21"/>
        <v>7</v>
      </c>
      <c r="AZ105" s="3">
        <f t="shared" si="22"/>
        <v>0</v>
      </c>
      <c r="BA105" s="3">
        <f t="shared" si="23"/>
        <v>0</v>
      </c>
      <c r="BB105" s="3">
        <f t="shared" si="24"/>
        <v>0</v>
      </c>
      <c r="BC105" s="3">
        <f t="shared" si="25"/>
        <v>0</v>
      </c>
      <c r="BD105" s="3">
        <f t="shared" si="26"/>
        <v>0</v>
      </c>
      <c r="BE105" s="3">
        <f t="shared" si="27"/>
        <v>0</v>
      </c>
      <c r="BF105" s="3">
        <f t="shared" si="28"/>
        <v>0</v>
      </c>
      <c r="BG105" s="3">
        <f t="shared" si="29"/>
        <v>0</v>
      </c>
      <c r="BH105" s="3">
        <f t="shared" si="30"/>
        <v>0</v>
      </c>
      <c r="BI105" s="3">
        <f t="shared" si="31"/>
        <v>8</v>
      </c>
    </row>
    <row r="106" spans="1:61" x14ac:dyDescent="0.25">
      <c r="A106" s="29">
        <v>99</v>
      </c>
      <c r="B106" s="3" t="s">
        <v>1119</v>
      </c>
      <c r="C106" s="13" t="s">
        <v>748</v>
      </c>
      <c r="D106" s="13" t="s">
        <v>186</v>
      </c>
      <c r="E106" s="13" t="s">
        <v>1120</v>
      </c>
      <c r="F106" s="18" t="s">
        <v>1525</v>
      </c>
      <c r="G106" s="18">
        <v>45727</v>
      </c>
      <c r="H106" s="18" t="s">
        <v>35</v>
      </c>
      <c r="I106" s="13" t="s">
        <v>23</v>
      </c>
      <c r="J106" s="13" t="s">
        <v>24</v>
      </c>
      <c r="K106" s="13" t="s">
        <v>43</v>
      </c>
      <c r="L106" s="13" t="s">
        <v>44</v>
      </c>
      <c r="M106" s="13" t="s">
        <v>1621</v>
      </c>
      <c r="N106" s="4" t="s">
        <v>1121</v>
      </c>
      <c r="O106" s="4" t="s">
        <v>28</v>
      </c>
      <c r="P106" s="1" t="s">
        <v>29</v>
      </c>
      <c r="Q106" s="1" t="s">
        <v>5</v>
      </c>
      <c r="R106" s="1" t="s">
        <v>5</v>
      </c>
      <c r="S106" s="1" t="s">
        <v>5</v>
      </c>
      <c r="T106" s="1" t="s">
        <v>5</v>
      </c>
      <c r="U106" s="1" t="s">
        <v>5</v>
      </c>
      <c r="V106" s="1" t="s">
        <v>5</v>
      </c>
      <c r="W106" s="1" t="s">
        <v>5</v>
      </c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3"/>
      <c r="AP106" s="3"/>
      <c r="AQ106" s="3"/>
      <c r="AR106" s="3"/>
      <c r="AS106" s="3"/>
      <c r="AT106" s="3">
        <f t="shared" si="16"/>
        <v>0</v>
      </c>
      <c r="AU106" s="3">
        <f t="shared" si="17"/>
        <v>1</v>
      </c>
      <c r="AV106" s="3">
        <f t="shared" si="18"/>
        <v>0</v>
      </c>
      <c r="AW106" s="3">
        <f t="shared" si="19"/>
        <v>0</v>
      </c>
      <c r="AX106" s="3">
        <f t="shared" si="20"/>
        <v>0</v>
      </c>
      <c r="AY106" s="3">
        <f t="shared" si="21"/>
        <v>7</v>
      </c>
      <c r="AZ106" s="3">
        <f t="shared" si="22"/>
        <v>0</v>
      </c>
      <c r="BA106" s="3">
        <f t="shared" si="23"/>
        <v>0</v>
      </c>
      <c r="BB106" s="3">
        <f t="shared" si="24"/>
        <v>0</v>
      </c>
      <c r="BC106" s="3">
        <f t="shared" si="25"/>
        <v>0</v>
      </c>
      <c r="BD106" s="3">
        <f t="shared" si="26"/>
        <v>0</v>
      </c>
      <c r="BE106" s="3">
        <f t="shared" si="27"/>
        <v>0</v>
      </c>
      <c r="BF106" s="3">
        <f t="shared" si="28"/>
        <v>0</v>
      </c>
      <c r="BG106" s="3">
        <f t="shared" si="29"/>
        <v>0</v>
      </c>
      <c r="BH106" s="3">
        <f t="shared" si="30"/>
        <v>0</v>
      </c>
      <c r="BI106" s="3">
        <f t="shared" si="31"/>
        <v>8</v>
      </c>
    </row>
    <row r="107" spans="1:61" x14ac:dyDescent="0.25">
      <c r="A107" s="29">
        <v>101</v>
      </c>
      <c r="B107" s="3" t="s">
        <v>1065</v>
      </c>
      <c r="C107" s="13" t="s">
        <v>1066</v>
      </c>
      <c r="D107" s="13" t="s">
        <v>1067</v>
      </c>
      <c r="E107" s="13" t="s">
        <v>1068</v>
      </c>
      <c r="F107" s="18" t="s">
        <v>1525</v>
      </c>
      <c r="G107" s="18">
        <v>45727</v>
      </c>
      <c r="H107" s="18" t="s">
        <v>35</v>
      </c>
      <c r="I107" s="13" t="s">
        <v>23</v>
      </c>
      <c r="J107" s="13" t="s">
        <v>24</v>
      </c>
      <c r="K107" s="13" t="s">
        <v>56</v>
      </c>
      <c r="L107" s="13" t="s">
        <v>57</v>
      </c>
      <c r="M107" s="13" t="s">
        <v>1621</v>
      </c>
      <c r="N107" s="4" t="s">
        <v>1069</v>
      </c>
      <c r="O107" s="4" t="s">
        <v>28</v>
      </c>
      <c r="P107" s="1" t="s">
        <v>39</v>
      </c>
      <c r="Q107" s="3" t="s">
        <v>5</v>
      </c>
      <c r="R107" s="3" t="s">
        <v>5</v>
      </c>
      <c r="S107" s="3" t="s">
        <v>5</v>
      </c>
      <c r="T107" s="3" t="s">
        <v>5</v>
      </c>
      <c r="U107" s="3" t="s">
        <v>5</v>
      </c>
      <c r="V107" s="3" t="s">
        <v>5</v>
      </c>
      <c r="W107" s="3" t="s">
        <v>5</v>
      </c>
      <c r="X107" s="1"/>
      <c r="Y107" s="1"/>
      <c r="Z107" s="1"/>
      <c r="AA107" s="1"/>
      <c r="AB107" s="3"/>
      <c r="AC107" s="3"/>
      <c r="AD107" s="3"/>
      <c r="AE107" s="3"/>
      <c r="AF107" s="3"/>
      <c r="AG107" s="3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3">
        <f t="shared" si="16"/>
        <v>1</v>
      </c>
      <c r="AU107" s="3">
        <f t="shared" si="17"/>
        <v>0</v>
      </c>
      <c r="AV107" s="3">
        <f t="shared" si="18"/>
        <v>0</v>
      </c>
      <c r="AW107" s="3">
        <f t="shared" si="19"/>
        <v>0</v>
      </c>
      <c r="AX107" s="3">
        <f t="shared" si="20"/>
        <v>0</v>
      </c>
      <c r="AY107" s="3">
        <f t="shared" si="21"/>
        <v>7</v>
      </c>
      <c r="AZ107" s="3">
        <f t="shared" si="22"/>
        <v>0</v>
      </c>
      <c r="BA107" s="3">
        <f t="shared" si="23"/>
        <v>0</v>
      </c>
      <c r="BB107" s="3">
        <f t="shared" si="24"/>
        <v>0</v>
      </c>
      <c r="BC107" s="3">
        <f t="shared" si="25"/>
        <v>0</v>
      </c>
      <c r="BD107" s="3">
        <f t="shared" si="26"/>
        <v>0</v>
      </c>
      <c r="BE107" s="3">
        <f t="shared" si="27"/>
        <v>0</v>
      </c>
      <c r="BF107" s="3">
        <f t="shared" si="28"/>
        <v>0</v>
      </c>
      <c r="BG107" s="3">
        <f t="shared" si="29"/>
        <v>0</v>
      </c>
      <c r="BH107" s="3">
        <f t="shared" si="30"/>
        <v>0</v>
      </c>
      <c r="BI107" s="3">
        <f t="shared" si="31"/>
        <v>8</v>
      </c>
    </row>
    <row r="108" spans="1:61" x14ac:dyDescent="0.25">
      <c r="A108" s="29">
        <v>102</v>
      </c>
      <c r="B108" s="3" t="s">
        <v>756</v>
      </c>
      <c r="C108" s="13" t="s">
        <v>757</v>
      </c>
      <c r="D108" s="13" t="s">
        <v>758</v>
      </c>
      <c r="E108" s="13" t="s">
        <v>759</v>
      </c>
      <c r="F108" s="18" t="s">
        <v>73</v>
      </c>
      <c r="G108" s="18">
        <v>45727</v>
      </c>
      <c r="H108" s="18" t="s">
        <v>35</v>
      </c>
      <c r="I108" s="13" t="s">
        <v>23</v>
      </c>
      <c r="J108" s="13" t="s">
        <v>24</v>
      </c>
      <c r="K108" s="13" t="s">
        <v>43</v>
      </c>
      <c r="L108" s="13" t="s">
        <v>44</v>
      </c>
      <c r="M108" s="13" t="s">
        <v>1621</v>
      </c>
      <c r="N108" s="4" t="s">
        <v>760</v>
      </c>
      <c r="O108" s="4" t="s">
        <v>28</v>
      </c>
      <c r="P108" s="1" t="s">
        <v>29</v>
      </c>
      <c r="Q108" s="1" t="s">
        <v>5</v>
      </c>
      <c r="R108" s="1" t="s">
        <v>5</v>
      </c>
      <c r="S108" s="1" t="s">
        <v>5</v>
      </c>
      <c r="T108" s="1" t="s">
        <v>5</v>
      </c>
      <c r="U108" s="1" t="s">
        <v>5</v>
      </c>
      <c r="V108" s="1" t="s">
        <v>5</v>
      </c>
      <c r="W108" s="1" t="s">
        <v>5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3">
        <f t="shared" si="16"/>
        <v>0</v>
      </c>
      <c r="AU108" s="3">
        <f t="shared" si="17"/>
        <v>1</v>
      </c>
      <c r="AV108" s="3">
        <f t="shared" si="18"/>
        <v>0</v>
      </c>
      <c r="AW108" s="3">
        <f t="shared" si="19"/>
        <v>0</v>
      </c>
      <c r="AX108" s="3">
        <f t="shared" si="20"/>
        <v>0</v>
      </c>
      <c r="AY108" s="3">
        <f t="shared" si="21"/>
        <v>7</v>
      </c>
      <c r="AZ108" s="3">
        <f t="shared" si="22"/>
        <v>0</v>
      </c>
      <c r="BA108" s="3">
        <f t="shared" si="23"/>
        <v>0</v>
      </c>
      <c r="BB108" s="3">
        <f t="shared" si="24"/>
        <v>0</v>
      </c>
      <c r="BC108" s="3">
        <f t="shared" si="25"/>
        <v>0</v>
      </c>
      <c r="BD108" s="3">
        <f t="shared" si="26"/>
        <v>0</v>
      </c>
      <c r="BE108" s="3">
        <f t="shared" si="27"/>
        <v>0</v>
      </c>
      <c r="BF108" s="3">
        <f t="shared" si="28"/>
        <v>0</v>
      </c>
      <c r="BG108" s="3">
        <f t="shared" si="29"/>
        <v>0</v>
      </c>
      <c r="BH108" s="3">
        <f t="shared" si="30"/>
        <v>0</v>
      </c>
      <c r="BI108" s="3">
        <f t="shared" si="31"/>
        <v>8</v>
      </c>
    </row>
    <row r="109" spans="1:61" x14ac:dyDescent="0.25">
      <c r="A109" s="29">
        <v>103</v>
      </c>
      <c r="B109" s="3" t="s">
        <v>1129</v>
      </c>
      <c r="C109" s="13" t="s">
        <v>1130</v>
      </c>
      <c r="D109" s="13" t="s">
        <v>1130</v>
      </c>
      <c r="E109" s="13" t="s">
        <v>1131</v>
      </c>
      <c r="F109" s="18" t="s">
        <v>138</v>
      </c>
      <c r="G109" s="18">
        <v>45728</v>
      </c>
      <c r="H109" s="18" t="s">
        <v>35</v>
      </c>
      <c r="I109" s="13" t="s">
        <v>23</v>
      </c>
      <c r="J109" s="13" t="s">
        <v>24</v>
      </c>
      <c r="K109" s="13" t="s">
        <v>43</v>
      </c>
      <c r="L109" s="13" t="s">
        <v>44</v>
      </c>
      <c r="M109" s="13" t="s">
        <v>1621</v>
      </c>
      <c r="N109" s="4" t="s">
        <v>1132</v>
      </c>
      <c r="O109" s="4" t="s">
        <v>28</v>
      </c>
      <c r="P109" s="1" t="s">
        <v>29</v>
      </c>
      <c r="Q109" s="1" t="s">
        <v>5</v>
      </c>
      <c r="R109" s="1" t="s">
        <v>5</v>
      </c>
      <c r="S109" s="1" t="s">
        <v>5</v>
      </c>
      <c r="T109" s="1" t="s">
        <v>5</v>
      </c>
      <c r="U109" s="1" t="s">
        <v>5</v>
      </c>
      <c r="V109" s="1" t="s">
        <v>5</v>
      </c>
      <c r="W109" s="1" t="s">
        <v>5</v>
      </c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3"/>
      <c r="AP109" s="1"/>
      <c r="AQ109" s="1"/>
      <c r="AR109" s="1"/>
      <c r="AS109" s="1"/>
      <c r="AT109" s="3">
        <f t="shared" si="16"/>
        <v>0</v>
      </c>
      <c r="AU109" s="3">
        <f t="shared" si="17"/>
        <v>1</v>
      </c>
      <c r="AV109" s="3">
        <f t="shared" si="18"/>
        <v>0</v>
      </c>
      <c r="AW109" s="3">
        <f t="shared" si="19"/>
        <v>0</v>
      </c>
      <c r="AX109" s="3">
        <f t="shared" si="20"/>
        <v>0</v>
      </c>
      <c r="AY109" s="3">
        <f t="shared" si="21"/>
        <v>7</v>
      </c>
      <c r="AZ109" s="3">
        <f t="shared" si="22"/>
        <v>0</v>
      </c>
      <c r="BA109" s="3">
        <f t="shared" si="23"/>
        <v>0</v>
      </c>
      <c r="BB109" s="3">
        <f t="shared" si="24"/>
        <v>0</v>
      </c>
      <c r="BC109" s="3">
        <f t="shared" si="25"/>
        <v>0</v>
      </c>
      <c r="BD109" s="3">
        <f t="shared" si="26"/>
        <v>0</v>
      </c>
      <c r="BE109" s="3">
        <f t="shared" si="27"/>
        <v>0</v>
      </c>
      <c r="BF109" s="3">
        <f t="shared" si="28"/>
        <v>0</v>
      </c>
      <c r="BG109" s="3">
        <f t="shared" si="29"/>
        <v>0</v>
      </c>
      <c r="BH109" s="3">
        <f t="shared" si="30"/>
        <v>0</v>
      </c>
      <c r="BI109" s="3">
        <f t="shared" si="31"/>
        <v>8</v>
      </c>
    </row>
    <row r="110" spans="1:61" x14ac:dyDescent="0.25">
      <c r="A110" s="29">
        <v>104</v>
      </c>
      <c r="B110" s="3" t="s">
        <v>790</v>
      </c>
      <c r="C110" s="13" t="s">
        <v>791</v>
      </c>
      <c r="D110" s="13" t="s">
        <v>135</v>
      </c>
      <c r="E110" s="13" t="s">
        <v>792</v>
      </c>
      <c r="F110" s="18" t="s">
        <v>1532</v>
      </c>
      <c r="G110" s="18">
        <v>45728</v>
      </c>
      <c r="H110" s="18" t="s">
        <v>35</v>
      </c>
      <c r="I110" s="13" t="s">
        <v>23</v>
      </c>
      <c r="J110" s="13" t="s">
        <v>24</v>
      </c>
      <c r="K110" s="13" t="s">
        <v>43</v>
      </c>
      <c r="L110" s="13" t="s">
        <v>44</v>
      </c>
      <c r="M110" s="13" t="s">
        <v>1621</v>
      </c>
      <c r="N110" s="4" t="s">
        <v>793</v>
      </c>
      <c r="O110" s="4" t="s">
        <v>28</v>
      </c>
      <c r="P110" s="1" t="s">
        <v>29</v>
      </c>
      <c r="Q110" s="1" t="s">
        <v>5</v>
      </c>
      <c r="R110" s="1" t="s">
        <v>5</v>
      </c>
      <c r="S110" s="1" t="s">
        <v>5</v>
      </c>
      <c r="T110" s="1" t="s">
        <v>5</v>
      </c>
      <c r="U110" s="1" t="s">
        <v>5</v>
      </c>
      <c r="V110" s="1" t="s">
        <v>5</v>
      </c>
      <c r="W110" s="1" t="s">
        <v>5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3"/>
      <c r="AP110" s="3"/>
      <c r="AQ110" s="3"/>
      <c r="AR110" s="3"/>
      <c r="AS110" s="3"/>
      <c r="AT110" s="3">
        <f t="shared" si="16"/>
        <v>0</v>
      </c>
      <c r="AU110" s="3">
        <f t="shared" si="17"/>
        <v>1</v>
      </c>
      <c r="AV110" s="3">
        <f t="shared" si="18"/>
        <v>0</v>
      </c>
      <c r="AW110" s="3">
        <f t="shared" si="19"/>
        <v>0</v>
      </c>
      <c r="AX110" s="3">
        <f t="shared" si="20"/>
        <v>0</v>
      </c>
      <c r="AY110" s="3">
        <f t="shared" si="21"/>
        <v>7</v>
      </c>
      <c r="AZ110" s="3">
        <f t="shared" si="22"/>
        <v>0</v>
      </c>
      <c r="BA110" s="3">
        <f t="shared" si="23"/>
        <v>0</v>
      </c>
      <c r="BB110" s="3">
        <f t="shared" si="24"/>
        <v>0</v>
      </c>
      <c r="BC110" s="3">
        <f t="shared" si="25"/>
        <v>0</v>
      </c>
      <c r="BD110" s="3">
        <f t="shared" si="26"/>
        <v>0</v>
      </c>
      <c r="BE110" s="3">
        <f t="shared" si="27"/>
        <v>0</v>
      </c>
      <c r="BF110" s="3">
        <f t="shared" si="28"/>
        <v>0</v>
      </c>
      <c r="BG110" s="3">
        <f t="shared" si="29"/>
        <v>0</v>
      </c>
      <c r="BH110" s="3">
        <f t="shared" si="30"/>
        <v>0</v>
      </c>
      <c r="BI110" s="3">
        <f t="shared" si="31"/>
        <v>8</v>
      </c>
    </row>
    <row r="111" spans="1:61" x14ac:dyDescent="0.25">
      <c r="A111" s="29">
        <v>105</v>
      </c>
      <c r="B111" s="3" t="s">
        <v>204</v>
      </c>
      <c r="C111" s="13" t="s">
        <v>205</v>
      </c>
      <c r="D111" s="13" t="s">
        <v>206</v>
      </c>
      <c r="E111" s="13" t="s">
        <v>207</v>
      </c>
      <c r="F111" s="18" t="s">
        <v>1528</v>
      </c>
      <c r="G111" s="18">
        <v>45728</v>
      </c>
      <c r="H111" s="18" t="s">
        <v>35</v>
      </c>
      <c r="I111" s="13" t="s">
        <v>23</v>
      </c>
      <c r="J111" s="13" t="s">
        <v>24</v>
      </c>
      <c r="K111" s="13" t="s">
        <v>43</v>
      </c>
      <c r="L111" s="13" t="s">
        <v>44</v>
      </c>
      <c r="M111" s="13" t="s">
        <v>1621</v>
      </c>
      <c r="N111" s="4" t="s">
        <v>208</v>
      </c>
      <c r="O111" s="4" t="s">
        <v>28</v>
      </c>
      <c r="P111" s="1" t="s">
        <v>29</v>
      </c>
      <c r="Q111" s="1" t="s">
        <v>5</v>
      </c>
      <c r="R111" s="1" t="s">
        <v>5</v>
      </c>
      <c r="S111" s="1" t="s">
        <v>5</v>
      </c>
      <c r="T111" s="1" t="s">
        <v>5</v>
      </c>
      <c r="U111" s="1" t="s">
        <v>5</v>
      </c>
      <c r="V111" s="1" t="s">
        <v>5</v>
      </c>
      <c r="W111" s="1" t="s">
        <v>5</v>
      </c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3"/>
      <c r="AP111" s="1"/>
      <c r="AQ111" s="1"/>
      <c r="AR111" s="1"/>
      <c r="AS111" s="1"/>
      <c r="AT111" s="3">
        <f t="shared" si="16"/>
        <v>0</v>
      </c>
      <c r="AU111" s="3">
        <f t="shared" si="17"/>
        <v>1</v>
      </c>
      <c r="AV111" s="3">
        <f t="shared" si="18"/>
        <v>0</v>
      </c>
      <c r="AW111" s="3">
        <f t="shared" si="19"/>
        <v>0</v>
      </c>
      <c r="AX111" s="3">
        <f t="shared" si="20"/>
        <v>0</v>
      </c>
      <c r="AY111" s="3">
        <f t="shared" si="21"/>
        <v>7</v>
      </c>
      <c r="AZ111" s="3">
        <f t="shared" si="22"/>
        <v>0</v>
      </c>
      <c r="BA111" s="3">
        <f t="shared" si="23"/>
        <v>0</v>
      </c>
      <c r="BB111" s="3">
        <f t="shared" si="24"/>
        <v>0</v>
      </c>
      <c r="BC111" s="3">
        <f t="shared" si="25"/>
        <v>0</v>
      </c>
      <c r="BD111" s="3">
        <f t="shared" si="26"/>
        <v>0</v>
      </c>
      <c r="BE111" s="3">
        <f t="shared" si="27"/>
        <v>0</v>
      </c>
      <c r="BF111" s="3">
        <f t="shared" si="28"/>
        <v>0</v>
      </c>
      <c r="BG111" s="3">
        <f t="shared" si="29"/>
        <v>0</v>
      </c>
      <c r="BH111" s="3">
        <f t="shared" si="30"/>
        <v>0</v>
      </c>
      <c r="BI111" s="3">
        <f t="shared" si="31"/>
        <v>8</v>
      </c>
    </row>
    <row r="112" spans="1:61" x14ac:dyDescent="0.25">
      <c r="A112" s="29">
        <v>106</v>
      </c>
      <c r="B112" s="3" t="s">
        <v>665</v>
      </c>
      <c r="C112" s="13" t="s">
        <v>666</v>
      </c>
      <c r="D112" s="13" t="s">
        <v>667</v>
      </c>
      <c r="E112" s="13" t="s">
        <v>668</v>
      </c>
      <c r="F112" s="18" t="s">
        <v>50</v>
      </c>
      <c r="G112" s="18">
        <v>45728</v>
      </c>
      <c r="H112" s="18" t="s">
        <v>35</v>
      </c>
      <c r="I112" s="13" t="s">
        <v>23</v>
      </c>
      <c r="J112" s="13" t="s">
        <v>24</v>
      </c>
      <c r="K112" s="13" t="s">
        <v>43</v>
      </c>
      <c r="L112" s="13" t="s">
        <v>44</v>
      </c>
      <c r="M112" s="13" t="s">
        <v>1621</v>
      </c>
      <c r="N112" s="4" t="s">
        <v>669</v>
      </c>
      <c r="O112" s="4" t="s">
        <v>28</v>
      </c>
      <c r="P112" s="1" t="s">
        <v>29</v>
      </c>
      <c r="Q112" s="1" t="s">
        <v>5</v>
      </c>
      <c r="R112" s="1" t="s">
        <v>5</v>
      </c>
      <c r="S112" s="1" t="s">
        <v>5</v>
      </c>
      <c r="T112" s="1" t="s">
        <v>5</v>
      </c>
      <c r="U112" s="1" t="s">
        <v>5</v>
      </c>
      <c r="V112" s="1" t="s">
        <v>5</v>
      </c>
      <c r="W112" s="1" t="s">
        <v>5</v>
      </c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3"/>
      <c r="AP112" s="1"/>
      <c r="AQ112" s="1"/>
      <c r="AR112" s="1"/>
      <c r="AS112" s="1"/>
      <c r="AT112" s="3">
        <f t="shared" si="16"/>
        <v>0</v>
      </c>
      <c r="AU112" s="3">
        <f t="shared" si="17"/>
        <v>1</v>
      </c>
      <c r="AV112" s="3">
        <f t="shared" si="18"/>
        <v>0</v>
      </c>
      <c r="AW112" s="3">
        <f t="shared" si="19"/>
        <v>0</v>
      </c>
      <c r="AX112" s="3">
        <f t="shared" si="20"/>
        <v>0</v>
      </c>
      <c r="AY112" s="3">
        <f t="shared" si="21"/>
        <v>7</v>
      </c>
      <c r="AZ112" s="3">
        <f t="shared" si="22"/>
        <v>0</v>
      </c>
      <c r="BA112" s="3">
        <f t="shared" si="23"/>
        <v>0</v>
      </c>
      <c r="BB112" s="3">
        <f t="shared" si="24"/>
        <v>0</v>
      </c>
      <c r="BC112" s="3">
        <f t="shared" si="25"/>
        <v>0</v>
      </c>
      <c r="BD112" s="3">
        <f t="shared" si="26"/>
        <v>0</v>
      </c>
      <c r="BE112" s="3">
        <f t="shared" si="27"/>
        <v>0</v>
      </c>
      <c r="BF112" s="3">
        <f t="shared" si="28"/>
        <v>0</v>
      </c>
      <c r="BG112" s="3">
        <f t="shared" si="29"/>
        <v>0</v>
      </c>
      <c r="BH112" s="3">
        <f t="shared" si="30"/>
        <v>0</v>
      </c>
      <c r="BI112" s="3">
        <f t="shared" si="31"/>
        <v>8</v>
      </c>
    </row>
    <row r="113" spans="1:126" x14ac:dyDescent="0.25">
      <c r="A113" s="29">
        <v>107</v>
      </c>
      <c r="B113" s="3" t="s">
        <v>930</v>
      </c>
      <c r="C113" s="13" t="s">
        <v>129</v>
      </c>
      <c r="D113" s="13" t="s">
        <v>574</v>
      </c>
      <c r="E113" s="13" t="s">
        <v>154</v>
      </c>
      <c r="F113" s="18" t="s">
        <v>1525</v>
      </c>
      <c r="G113" s="18">
        <v>45728</v>
      </c>
      <c r="H113" s="18" t="s">
        <v>35</v>
      </c>
      <c r="I113" s="13" t="s">
        <v>23</v>
      </c>
      <c r="J113" s="13" t="s">
        <v>24</v>
      </c>
      <c r="K113" s="13" t="s">
        <v>43</v>
      </c>
      <c r="L113" s="13" t="s">
        <v>44</v>
      </c>
      <c r="M113" s="13" t="s">
        <v>1621</v>
      </c>
      <c r="N113" s="4" t="s">
        <v>931</v>
      </c>
      <c r="O113" s="4" t="s">
        <v>28</v>
      </c>
      <c r="P113" s="1" t="s">
        <v>29</v>
      </c>
      <c r="Q113" s="1" t="s">
        <v>5</v>
      </c>
      <c r="R113" s="1" t="s">
        <v>5</v>
      </c>
      <c r="S113" s="1" t="s">
        <v>5</v>
      </c>
      <c r="T113" s="1" t="s">
        <v>5</v>
      </c>
      <c r="U113" s="1" t="s">
        <v>5</v>
      </c>
      <c r="V113" s="1" t="s">
        <v>5</v>
      </c>
      <c r="W113" s="1" t="s">
        <v>5</v>
      </c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3">
        <f t="shared" si="16"/>
        <v>0</v>
      </c>
      <c r="AU113" s="3">
        <f t="shared" si="17"/>
        <v>1</v>
      </c>
      <c r="AV113" s="3">
        <f t="shared" si="18"/>
        <v>0</v>
      </c>
      <c r="AW113" s="3">
        <f t="shared" si="19"/>
        <v>0</v>
      </c>
      <c r="AX113" s="3">
        <f t="shared" si="20"/>
        <v>0</v>
      </c>
      <c r="AY113" s="3">
        <f t="shared" si="21"/>
        <v>7</v>
      </c>
      <c r="AZ113" s="3">
        <f t="shared" si="22"/>
        <v>0</v>
      </c>
      <c r="BA113" s="3">
        <f t="shared" si="23"/>
        <v>0</v>
      </c>
      <c r="BB113" s="3">
        <f t="shared" si="24"/>
        <v>0</v>
      </c>
      <c r="BC113" s="3">
        <f t="shared" si="25"/>
        <v>0</v>
      </c>
      <c r="BD113" s="3">
        <f t="shared" si="26"/>
        <v>0</v>
      </c>
      <c r="BE113" s="3">
        <f t="shared" si="27"/>
        <v>0</v>
      </c>
      <c r="BF113" s="3">
        <f t="shared" si="28"/>
        <v>0</v>
      </c>
      <c r="BG113" s="3">
        <f t="shared" si="29"/>
        <v>0</v>
      </c>
      <c r="BH113" s="3">
        <f t="shared" si="30"/>
        <v>0</v>
      </c>
      <c r="BI113" s="3">
        <f t="shared" si="31"/>
        <v>8</v>
      </c>
    </row>
    <row r="114" spans="1:126" x14ac:dyDescent="0.25">
      <c r="A114" s="29">
        <v>109</v>
      </c>
      <c r="B114" s="3" t="s">
        <v>140</v>
      </c>
      <c r="C114" s="13" t="s">
        <v>141</v>
      </c>
      <c r="D114" s="13" t="s">
        <v>142</v>
      </c>
      <c r="E114" s="13" t="s">
        <v>143</v>
      </c>
      <c r="F114" s="18" t="s">
        <v>1522</v>
      </c>
      <c r="G114" s="18">
        <v>45729</v>
      </c>
      <c r="H114" s="18" t="s">
        <v>35</v>
      </c>
      <c r="I114" s="13" t="s">
        <v>23</v>
      </c>
      <c r="J114" s="13" t="s">
        <v>24</v>
      </c>
      <c r="K114" s="13" t="s">
        <v>36</v>
      </c>
      <c r="L114" s="13" t="s">
        <v>37</v>
      </c>
      <c r="M114" s="13" t="s">
        <v>1621</v>
      </c>
      <c r="N114" s="4" t="s">
        <v>144</v>
      </c>
      <c r="O114" s="4" t="s">
        <v>28</v>
      </c>
      <c r="P114" s="1" t="s">
        <v>5</v>
      </c>
      <c r="Q114" s="1" t="s">
        <v>29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3">
        <f t="shared" si="16"/>
        <v>0</v>
      </c>
      <c r="AU114" s="3">
        <f t="shared" si="17"/>
        <v>1</v>
      </c>
      <c r="AV114" s="3">
        <f t="shared" si="18"/>
        <v>0</v>
      </c>
      <c r="AW114" s="3">
        <f t="shared" si="19"/>
        <v>0</v>
      </c>
      <c r="AX114" s="3">
        <f t="shared" si="20"/>
        <v>0</v>
      </c>
      <c r="AY114" s="3">
        <f t="shared" si="21"/>
        <v>1</v>
      </c>
      <c r="AZ114" s="3">
        <f t="shared" si="22"/>
        <v>0</v>
      </c>
      <c r="BA114" s="3">
        <f t="shared" si="23"/>
        <v>0</v>
      </c>
      <c r="BB114" s="3">
        <f t="shared" si="24"/>
        <v>0</v>
      </c>
      <c r="BC114" s="3">
        <f t="shared" si="25"/>
        <v>0</v>
      </c>
      <c r="BD114" s="3">
        <f t="shared" si="26"/>
        <v>0</v>
      </c>
      <c r="BE114" s="3">
        <f t="shared" si="27"/>
        <v>0</v>
      </c>
      <c r="BF114" s="3">
        <f t="shared" si="28"/>
        <v>0</v>
      </c>
      <c r="BG114" s="3">
        <f t="shared" si="29"/>
        <v>0</v>
      </c>
      <c r="BH114" s="3">
        <f t="shared" si="30"/>
        <v>0</v>
      </c>
      <c r="BI114" s="3">
        <f t="shared" si="31"/>
        <v>2</v>
      </c>
    </row>
    <row r="115" spans="1:126" x14ac:dyDescent="0.25">
      <c r="A115" s="29">
        <v>108</v>
      </c>
      <c r="B115" s="3" t="s">
        <v>487</v>
      </c>
      <c r="C115" s="13" t="s">
        <v>488</v>
      </c>
      <c r="D115" s="13" t="s">
        <v>489</v>
      </c>
      <c r="E115" s="13" t="s">
        <v>490</v>
      </c>
      <c r="F115" s="18" t="s">
        <v>73</v>
      </c>
      <c r="G115" s="18">
        <v>45729</v>
      </c>
      <c r="H115" s="18" t="s">
        <v>35</v>
      </c>
      <c r="I115" s="13" t="s">
        <v>23</v>
      </c>
      <c r="J115" s="13" t="s">
        <v>24</v>
      </c>
      <c r="K115" s="13" t="s">
        <v>25</v>
      </c>
      <c r="L115" s="13" t="s">
        <v>26</v>
      </c>
      <c r="M115" s="13" t="s">
        <v>1621</v>
      </c>
      <c r="N115" s="4" t="s">
        <v>491</v>
      </c>
      <c r="O115" s="4" t="s">
        <v>28</v>
      </c>
      <c r="P115" s="1" t="s">
        <v>92</v>
      </c>
      <c r="Q115" s="1" t="s">
        <v>92</v>
      </c>
      <c r="R115" s="1" t="s">
        <v>92</v>
      </c>
      <c r="S115" s="1" t="s">
        <v>92</v>
      </c>
      <c r="T115" s="1" t="s">
        <v>92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3">
        <f t="shared" si="16"/>
        <v>0</v>
      </c>
      <c r="AU115" s="3">
        <f t="shared" si="17"/>
        <v>0</v>
      </c>
      <c r="AV115" s="3">
        <f t="shared" si="18"/>
        <v>0</v>
      </c>
      <c r="AW115" s="3">
        <f t="shared" si="19"/>
        <v>0</v>
      </c>
      <c r="AX115" s="3">
        <f t="shared" si="20"/>
        <v>0</v>
      </c>
      <c r="AY115" s="3">
        <f t="shared" si="21"/>
        <v>0</v>
      </c>
      <c r="AZ115" s="3">
        <f t="shared" si="22"/>
        <v>0</v>
      </c>
      <c r="BA115" s="3">
        <f t="shared" si="23"/>
        <v>5</v>
      </c>
      <c r="BB115" s="3">
        <f t="shared" si="24"/>
        <v>0</v>
      </c>
      <c r="BC115" s="3">
        <f t="shared" si="25"/>
        <v>0</v>
      </c>
      <c r="BD115" s="3">
        <f t="shared" si="26"/>
        <v>0</v>
      </c>
      <c r="BE115" s="3">
        <f t="shared" si="27"/>
        <v>0</v>
      </c>
      <c r="BF115" s="3">
        <f t="shared" si="28"/>
        <v>0</v>
      </c>
      <c r="BG115" s="3">
        <f t="shared" si="29"/>
        <v>0</v>
      </c>
      <c r="BH115" s="3">
        <f t="shared" si="30"/>
        <v>0</v>
      </c>
      <c r="BI115" s="3">
        <f t="shared" si="31"/>
        <v>0</v>
      </c>
    </row>
    <row r="116" spans="1:126" x14ac:dyDescent="0.25">
      <c r="A116" s="29">
        <v>110</v>
      </c>
      <c r="B116" s="3" t="s">
        <v>859</v>
      </c>
      <c r="C116" s="13" t="s">
        <v>795</v>
      </c>
      <c r="D116" s="13" t="s">
        <v>426</v>
      </c>
      <c r="E116" s="13" t="s">
        <v>860</v>
      </c>
      <c r="F116" s="18" t="s">
        <v>163</v>
      </c>
      <c r="G116" s="18">
        <v>45730</v>
      </c>
      <c r="H116" s="18" t="s">
        <v>35</v>
      </c>
      <c r="I116" s="13" t="s">
        <v>23</v>
      </c>
      <c r="J116" s="13" t="s">
        <v>24</v>
      </c>
      <c r="K116" s="13" t="s">
        <v>25</v>
      </c>
      <c r="L116" s="13" t="s">
        <v>37</v>
      </c>
      <c r="M116" s="13" t="s">
        <v>1621</v>
      </c>
      <c r="N116" s="4" t="s">
        <v>861</v>
      </c>
      <c r="O116" s="4" t="s">
        <v>28</v>
      </c>
      <c r="P116" s="1" t="s">
        <v>5</v>
      </c>
      <c r="Q116" s="1" t="s">
        <v>39</v>
      </c>
      <c r="R116" s="1" t="s">
        <v>39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3">
        <f t="shared" si="16"/>
        <v>2</v>
      </c>
      <c r="AU116" s="3">
        <f t="shared" si="17"/>
        <v>0</v>
      </c>
      <c r="AV116" s="3">
        <f t="shared" si="18"/>
        <v>0</v>
      </c>
      <c r="AW116" s="3">
        <f t="shared" si="19"/>
        <v>0</v>
      </c>
      <c r="AX116" s="3">
        <f t="shared" si="20"/>
        <v>0</v>
      </c>
      <c r="AY116" s="3">
        <f t="shared" si="21"/>
        <v>1</v>
      </c>
      <c r="AZ116" s="3">
        <f t="shared" si="22"/>
        <v>0</v>
      </c>
      <c r="BA116" s="3">
        <f t="shared" si="23"/>
        <v>0</v>
      </c>
      <c r="BB116" s="3">
        <f t="shared" si="24"/>
        <v>0</v>
      </c>
      <c r="BC116" s="3">
        <f t="shared" si="25"/>
        <v>0</v>
      </c>
      <c r="BD116" s="3">
        <f t="shared" si="26"/>
        <v>0</v>
      </c>
      <c r="BE116" s="3">
        <f t="shared" si="27"/>
        <v>0</v>
      </c>
      <c r="BF116" s="3">
        <f t="shared" si="28"/>
        <v>0</v>
      </c>
      <c r="BG116" s="3">
        <f t="shared" si="29"/>
        <v>0</v>
      </c>
      <c r="BH116" s="3">
        <f t="shared" si="30"/>
        <v>0</v>
      </c>
      <c r="BI116" s="3">
        <f t="shared" si="31"/>
        <v>3</v>
      </c>
    </row>
    <row r="117" spans="1:126" x14ac:dyDescent="0.25">
      <c r="A117" s="29">
        <v>111</v>
      </c>
      <c r="B117" s="3" t="s">
        <v>355</v>
      </c>
      <c r="C117" s="13" t="s">
        <v>356</v>
      </c>
      <c r="D117" s="13" t="s">
        <v>81</v>
      </c>
      <c r="E117" s="13" t="s">
        <v>357</v>
      </c>
      <c r="F117" s="18" t="s">
        <v>1522</v>
      </c>
      <c r="G117" s="18">
        <v>45730</v>
      </c>
      <c r="H117" s="18" t="s">
        <v>35</v>
      </c>
      <c r="I117" s="13" t="s">
        <v>23</v>
      </c>
      <c r="J117" s="13" t="s">
        <v>24</v>
      </c>
      <c r="K117" s="13" t="s">
        <v>56</v>
      </c>
      <c r="L117" s="13" t="s">
        <v>57</v>
      </c>
      <c r="M117" s="13" t="s">
        <v>1621</v>
      </c>
      <c r="N117" s="4" t="s">
        <v>358</v>
      </c>
      <c r="O117" s="4" t="s">
        <v>28</v>
      </c>
      <c r="P117" s="1" t="s">
        <v>39</v>
      </c>
      <c r="Q117" s="1" t="s">
        <v>5</v>
      </c>
      <c r="R117" s="1" t="s">
        <v>5</v>
      </c>
      <c r="S117" s="1" t="s">
        <v>5</v>
      </c>
      <c r="T117" s="1" t="s">
        <v>5</v>
      </c>
      <c r="U117" s="1" t="s">
        <v>5</v>
      </c>
      <c r="V117" s="1" t="s">
        <v>5</v>
      </c>
      <c r="W117" s="1" t="s">
        <v>5</v>
      </c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3">
        <f t="shared" si="16"/>
        <v>1</v>
      </c>
      <c r="AU117" s="3">
        <f t="shared" si="17"/>
        <v>0</v>
      </c>
      <c r="AV117" s="3">
        <f t="shared" si="18"/>
        <v>0</v>
      </c>
      <c r="AW117" s="3">
        <f t="shared" si="19"/>
        <v>0</v>
      </c>
      <c r="AX117" s="3">
        <f t="shared" si="20"/>
        <v>0</v>
      </c>
      <c r="AY117" s="3">
        <f t="shared" si="21"/>
        <v>7</v>
      </c>
      <c r="AZ117" s="3">
        <f t="shared" si="22"/>
        <v>0</v>
      </c>
      <c r="BA117" s="3">
        <f t="shared" si="23"/>
        <v>0</v>
      </c>
      <c r="BB117" s="3">
        <f t="shared" si="24"/>
        <v>0</v>
      </c>
      <c r="BC117" s="3">
        <f t="shared" si="25"/>
        <v>0</v>
      </c>
      <c r="BD117" s="3">
        <f t="shared" si="26"/>
        <v>0</v>
      </c>
      <c r="BE117" s="3">
        <f t="shared" si="27"/>
        <v>0</v>
      </c>
      <c r="BF117" s="3">
        <f t="shared" si="28"/>
        <v>0</v>
      </c>
      <c r="BG117" s="3">
        <f t="shared" si="29"/>
        <v>0</v>
      </c>
      <c r="BH117" s="3">
        <f t="shared" si="30"/>
        <v>0</v>
      </c>
      <c r="BI117" s="3">
        <f t="shared" si="31"/>
        <v>8</v>
      </c>
    </row>
    <row r="118" spans="1:126" x14ac:dyDescent="0.25">
      <c r="A118" s="29">
        <v>112</v>
      </c>
      <c r="B118" s="3" t="s">
        <v>109</v>
      </c>
      <c r="C118" s="13" t="s">
        <v>110</v>
      </c>
      <c r="D118" s="13" t="s">
        <v>106</v>
      </c>
      <c r="E118" s="13" t="s">
        <v>111</v>
      </c>
      <c r="F118" s="18" t="s">
        <v>67</v>
      </c>
      <c r="G118" s="18">
        <v>45730</v>
      </c>
      <c r="H118" s="18" t="s">
        <v>35</v>
      </c>
      <c r="I118" s="13" t="s">
        <v>23</v>
      </c>
      <c r="J118" s="13" t="s">
        <v>24</v>
      </c>
      <c r="K118" s="13" t="s">
        <v>56</v>
      </c>
      <c r="L118" s="13" t="s">
        <v>26</v>
      </c>
      <c r="M118" s="13" t="s">
        <v>1621</v>
      </c>
      <c r="N118" s="4" t="s">
        <v>112</v>
      </c>
      <c r="O118" s="4" t="s">
        <v>28</v>
      </c>
      <c r="P118" s="1" t="s">
        <v>39</v>
      </c>
      <c r="Q118" s="1" t="s">
        <v>5</v>
      </c>
      <c r="R118" s="1" t="s">
        <v>5</v>
      </c>
      <c r="S118" s="1" t="s">
        <v>5</v>
      </c>
      <c r="T118" s="1" t="s">
        <v>5</v>
      </c>
      <c r="U118" s="1" t="s">
        <v>5</v>
      </c>
      <c r="V118" s="1" t="s">
        <v>5</v>
      </c>
      <c r="W118" s="1" t="s">
        <v>5</v>
      </c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3">
        <f t="shared" si="16"/>
        <v>1</v>
      </c>
      <c r="AU118" s="3">
        <f t="shared" si="17"/>
        <v>0</v>
      </c>
      <c r="AV118" s="3">
        <f t="shared" si="18"/>
        <v>0</v>
      </c>
      <c r="AW118" s="3">
        <f t="shared" si="19"/>
        <v>0</v>
      </c>
      <c r="AX118" s="3">
        <f t="shared" si="20"/>
        <v>0</v>
      </c>
      <c r="AY118" s="3">
        <f t="shared" si="21"/>
        <v>7</v>
      </c>
      <c r="AZ118" s="3">
        <f t="shared" si="22"/>
        <v>0</v>
      </c>
      <c r="BA118" s="3">
        <f t="shared" si="23"/>
        <v>0</v>
      </c>
      <c r="BB118" s="3">
        <f t="shared" si="24"/>
        <v>0</v>
      </c>
      <c r="BC118" s="3">
        <f t="shared" si="25"/>
        <v>0</v>
      </c>
      <c r="BD118" s="3">
        <f t="shared" si="26"/>
        <v>0</v>
      </c>
      <c r="BE118" s="3">
        <f t="shared" si="27"/>
        <v>0</v>
      </c>
      <c r="BF118" s="3">
        <f t="shared" si="28"/>
        <v>0</v>
      </c>
      <c r="BG118" s="3">
        <f t="shared" si="29"/>
        <v>0</v>
      </c>
      <c r="BH118" s="3">
        <f t="shared" si="30"/>
        <v>0</v>
      </c>
      <c r="BI118" s="3">
        <f t="shared" si="31"/>
        <v>8</v>
      </c>
    </row>
    <row r="119" spans="1:126" x14ac:dyDescent="0.25">
      <c r="A119" s="29">
        <v>113</v>
      </c>
      <c r="B119" s="3" t="s">
        <v>484</v>
      </c>
      <c r="C119" s="13" t="s">
        <v>110</v>
      </c>
      <c r="D119" s="13" t="s">
        <v>453</v>
      </c>
      <c r="E119" s="13" t="s">
        <v>485</v>
      </c>
      <c r="F119" s="18" t="s">
        <v>1522</v>
      </c>
      <c r="G119" s="18">
        <v>45730</v>
      </c>
      <c r="H119" s="18" t="s">
        <v>35</v>
      </c>
      <c r="I119" s="13" t="s">
        <v>23</v>
      </c>
      <c r="J119" s="13" t="s">
        <v>24</v>
      </c>
      <c r="K119" s="13" t="s">
        <v>56</v>
      </c>
      <c r="L119" s="13" t="s">
        <v>57</v>
      </c>
      <c r="M119" s="13" t="s">
        <v>1621</v>
      </c>
      <c r="N119" s="4" t="s">
        <v>486</v>
      </c>
      <c r="O119" s="4" t="s">
        <v>28</v>
      </c>
      <c r="P119" s="1" t="s">
        <v>39</v>
      </c>
      <c r="Q119" s="1" t="s">
        <v>5</v>
      </c>
      <c r="R119" s="1" t="s">
        <v>5</v>
      </c>
      <c r="S119" s="1" t="s">
        <v>5</v>
      </c>
      <c r="T119" s="1" t="s">
        <v>5</v>
      </c>
      <c r="U119" s="1" t="s">
        <v>5</v>
      </c>
      <c r="V119" s="1" t="s">
        <v>5</v>
      </c>
      <c r="W119" s="1" t="s">
        <v>5</v>
      </c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3">
        <f t="shared" si="16"/>
        <v>1</v>
      </c>
      <c r="AU119" s="3">
        <f t="shared" si="17"/>
        <v>0</v>
      </c>
      <c r="AV119" s="3">
        <f t="shared" si="18"/>
        <v>0</v>
      </c>
      <c r="AW119" s="3">
        <f t="shared" si="19"/>
        <v>0</v>
      </c>
      <c r="AX119" s="3">
        <f t="shared" si="20"/>
        <v>0</v>
      </c>
      <c r="AY119" s="3">
        <f t="shared" si="21"/>
        <v>7</v>
      </c>
      <c r="AZ119" s="3">
        <f t="shared" si="22"/>
        <v>0</v>
      </c>
      <c r="BA119" s="3">
        <f t="shared" si="23"/>
        <v>0</v>
      </c>
      <c r="BB119" s="3">
        <f t="shared" si="24"/>
        <v>0</v>
      </c>
      <c r="BC119" s="3">
        <f t="shared" si="25"/>
        <v>0</v>
      </c>
      <c r="BD119" s="3">
        <f t="shared" si="26"/>
        <v>0</v>
      </c>
      <c r="BE119" s="3">
        <f t="shared" si="27"/>
        <v>0</v>
      </c>
      <c r="BF119" s="3">
        <f t="shared" si="28"/>
        <v>0</v>
      </c>
      <c r="BG119" s="3">
        <f t="shared" si="29"/>
        <v>0</v>
      </c>
      <c r="BH119" s="3">
        <f t="shared" si="30"/>
        <v>0</v>
      </c>
      <c r="BI119" s="3">
        <f t="shared" si="31"/>
        <v>8</v>
      </c>
    </row>
    <row r="120" spans="1:126" x14ac:dyDescent="0.25">
      <c r="A120" s="29">
        <v>123</v>
      </c>
      <c r="B120" s="3" t="s">
        <v>524</v>
      </c>
      <c r="C120" s="13" t="s">
        <v>525</v>
      </c>
      <c r="D120" s="13" t="s">
        <v>526</v>
      </c>
      <c r="E120" s="13" t="s">
        <v>527</v>
      </c>
      <c r="F120" s="18" t="s">
        <v>55</v>
      </c>
      <c r="G120" s="18">
        <v>45730</v>
      </c>
      <c r="H120" s="18" t="s">
        <v>35</v>
      </c>
      <c r="I120" s="13" t="s">
        <v>23</v>
      </c>
      <c r="J120" s="13" t="s">
        <v>24</v>
      </c>
      <c r="K120" s="13" t="s">
        <v>377</v>
      </c>
      <c r="L120" s="13" t="s">
        <v>1568</v>
      </c>
      <c r="M120" s="13" t="s">
        <v>1621</v>
      </c>
      <c r="N120" s="4" t="s">
        <v>528</v>
      </c>
      <c r="O120" s="4" t="s">
        <v>28</v>
      </c>
      <c r="P120" s="1" t="s">
        <v>39</v>
      </c>
      <c r="Q120" s="1" t="s">
        <v>5</v>
      </c>
      <c r="R120" s="1" t="s">
        <v>5</v>
      </c>
      <c r="S120" s="1" t="s">
        <v>5</v>
      </c>
      <c r="T120" s="1" t="s">
        <v>5</v>
      </c>
      <c r="U120" s="1" t="s">
        <v>5</v>
      </c>
      <c r="V120" s="1" t="s">
        <v>5</v>
      </c>
      <c r="W120" s="1" t="s">
        <v>5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3">
        <f t="shared" si="16"/>
        <v>1</v>
      </c>
      <c r="AU120" s="3">
        <f t="shared" si="17"/>
        <v>0</v>
      </c>
      <c r="AV120" s="3">
        <f t="shared" si="18"/>
        <v>0</v>
      </c>
      <c r="AW120" s="3">
        <f t="shared" si="19"/>
        <v>0</v>
      </c>
      <c r="AX120" s="3">
        <f t="shared" si="20"/>
        <v>0</v>
      </c>
      <c r="AY120" s="3">
        <f t="shared" si="21"/>
        <v>7</v>
      </c>
      <c r="AZ120" s="3">
        <f t="shared" si="22"/>
        <v>0</v>
      </c>
      <c r="BA120" s="3">
        <f t="shared" si="23"/>
        <v>0</v>
      </c>
      <c r="BB120" s="3">
        <f t="shared" si="24"/>
        <v>0</v>
      </c>
      <c r="BC120" s="3">
        <f t="shared" si="25"/>
        <v>0</v>
      </c>
      <c r="BD120" s="3">
        <f t="shared" si="26"/>
        <v>0</v>
      </c>
      <c r="BE120" s="3">
        <f t="shared" si="27"/>
        <v>0</v>
      </c>
      <c r="BF120" s="3">
        <f t="shared" si="28"/>
        <v>0</v>
      </c>
      <c r="BG120" s="3">
        <f t="shared" si="29"/>
        <v>0</v>
      </c>
      <c r="BH120" s="3">
        <f t="shared" si="30"/>
        <v>0</v>
      </c>
      <c r="BI120" s="3">
        <f t="shared" si="31"/>
        <v>8</v>
      </c>
    </row>
    <row r="121" spans="1:126" x14ac:dyDescent="0.25">
      <c r="A121" s="29">
        <v>114</v>
      </c>
      <c r="B121" s="3" t="s">
        <v>233</v>
      </c>
      <c r="C121" s="13" t="s">
        <v>234</v>
      </c>
      <c r="D121" s="13" t="s">
        <v>235</v>
      </c>
      <c r="E121" s="13" t="s">
        <v>236</v>
      </c>
      <c r="F121" s="18" t="s">
        <v>1522</v>
      </c>
      <c r="G121" s="18">
        <v>45730</v>
      </c>
      <c r="H121" s="18" t="s">
        <v>35</v>
      </c>
      <c r="I121" s="13" t="s">
        <v>23</v>
      </c>
      <c r="J121" s="13" t="s">
        <v>24</v>
      </c>
      <c r="K121" s="13" t="s">
        <v>56</v>
      </c>
      <c r="L121" s="13" t="s">
        <v>57</v>
      </c>
      <c r="M121" s="13" t="s">
        <v>1621</v>
      </c>
      <c r="N121" s="4" t="s">
        <v>237</v>
      </c>
      <c r="O121" s="4" t="s">
        <v>28</v>
      </c>
      <c r="P121" s="1" t="s">
        <v>39</v>
      </c>
      <c r="Q121" s="1" t="s">
        <v>5</v>
      </c>
      <c r="R121" s="1" t="s">
        <v>5</v>
      </c>
      <c r="S121" s="1" t="s">
        <v>5</v>
      </c>
      <c r="T121" s="1" t="s">
        <v>5</v>
      </c>
      <c r="U121" s="1" t="s">
        <v>5</v>
      </c>
      <c r="V121" s="1" t="s">
        <v>5</v>
      </c>
      <c r="W121" s="1" t="s">
        <v>5</v>
      </c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3">
        <f t="shared" si="16"/>
        <v>1</v>
      </c>
      <c r="AU121" s="3">
        <f t="shared" si="17"/>
        <v>0</v>
      </c>
      <c r="AV121" s="3">
        <f t="shared" si="18"/>
        <v>0</v>
      </c>
      <c r="AW121" s="3">
        <f t="shared" si="19"/>
        <v>0</v>
      </c>
      <c r="AX121" s="3">
        <f t="shared" si="20"/>
        <v>0</v>
      </c>
      <c r="AY121" s="3">
        <f t="shared" si="21"/>
        <v>7</v>
      </c>
      <c r="AZ121" s="3">
        <f t="shared" si="22"/>
        <v>0</v>
      </c>
      <c r="BA121" s="3">
        <f t="shared" si="23"/>
        <v>0</v>
      </c>
      <c r="BB121" s="3">
        <f t="shared" si="24"/>
        <v>0</v>
      </c>
      <c r="BC121" s="3">
        <f t="shared" si="25"/>
        <v>0</v>
      </c>
      <c r="BD121" s="3">
        <f t="shared" si="26"/>
        <v>0</v>
      </c>
      <c r="BE121" s="3">
        <f t="shared" si="27"/>
        <v>0</v>
      </c>
      <c r="BF121" s="3">
        <f t="shared" si="28"/>
        <v>0</v>
      </c>
      <c r="BG121" s="3">
        <f t="shared" si="29"/>
        <v>0</v>
      </c>
      <c r="BH121" s="3">
        <f t="shared" si="30"/>
        <v>0</v>
      </c>
      <c r="BI121" s="3">
        <f t="shared" si="31"/>
        <v>8</v>
      </c>
    </row>
    <row r="122" spans="1:126" x14ac:dyDescent="0.25">
      <c r="A122" s="29">
        <v>116</v>
      </c>
      <c r="B122" s="3" t="s">
        <v>630</v>
      </c>
      <c r="C122" s="13" t="s">
        <v>631</v>
      </c>
      <c r="D122" s="13" t="s">
        <v>632</v>
      </c>
      <c r="E122" s="13" t="s">
        <v>633</v>
      </c>
      <c r="F122" s="18" t="s">
        <v>55</v>
      </c>
      <c r="G122" s="18">
        <v>45730</v>
      </c>
      <c r="H122" s="18" t="s">
        <v>35</v>
      </c>
      <c r="I122" s="13" t="s">
        <v>23</v>
      </c>
      <c r="J122" s="13" t="s">
        <v>24</v>
      </c>
      <c r="K122" s="13" t="s">
        <v>43</v>
      </c>
      <c r="L122" s="13" t="s">
        <v>57</v>
      </c>
      <c r="M122" s="13" t="s">
        <v>1621</v>
      </c>
      <c r="N122" s="4" t="s">
        <v>634</v>
      </c>
      <c r="O122" s="4" t="s">
        <v>28</v>
      </c>
      <c r="P122" s="1" t="s">
        <v>29</v>
      </c>
      <c r="Q122" s="1" t="s">
        <v>5</v>
      </c>
      <c r="R122" s="1" t="s">
        <v>5</v>
      </c>
      <c r="S122" s="1" t="s">
        <v>5</v>
      </c>
      <c r="T122" s="1" t="s">
        <v>5</v>
      </c>
      <c r="U122" s="1" t="s">
        <v>5</v>
      </c>
      <c r="V122" s="1" t="s">
        <v>5</v>
      </c>
      <c r="W122" s="1" t="s">
        <v>5</v>
      </c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3"/>
      <c r="AP122" s="1"/>
      <c r="AQ122" s="1"/>
      <c r="AR122" s="1"/>
      <c r="AS122" s="1"/>
      <c r="AT122" s="3">
        <f t="shared" si="16"/>
        <v>0</v>
      </c>
      <c r="AU122" s="3">
        <f t="shared" si="17"/>
        <v>1</v>
      </c>
      <c r="AV122" s="3">
        <f t="shared" si="18"/>
        <v>0</v>
      </c>
      <c r="AW122" s="3">
        <f t="shared" si="19"/>
        <v>0</v>
      </c>
      <c r="AX122" s="3">
        <f t="shared" si="20"/>
        <v>0</v>
      </c>
      <c r="AY122" s="3">
        <f t="shared" si="21"/>
        <v>7</v>
      </c>
      <c r="AZ122" s="3">
        <f t="shared" si="22"/>
        <v>0</v>
      </c>
      <c r="BA122" s="3">
        <f t="shared" si="23"/>
        <v>0</v>
      </c>
      <c r="BB122" s="3">
        <f t="shared" si="24"/>
        <v>0</v>
      </c>
      <c r="BC122" s="3">
        <f t="shared" si="25"/>
        <v>0</v>
      </c>
      <c r="BD122" s="3">
        <f t="shared" si="26"/>
        <v>0</v>
      </c>
      <c r="BE122" s="3">
        <f t="shared" si="27"/>
        <v>0</v>
      </c>
      <c r="BF122" s="3">
        <f t="shared" si="28"/>
        <v>0</v>
      </c>
      <c r="BG122" s="3">
        <f t="shared" si="29"/>
        <v>0</v>
      </c>
      <c r="BH122" s="3">
        <f t="shared" si="30"/>
        <v>0</v>
      </c>
      <c r="BI122" s="3">
        <f t="shared" si="31"/>
        <v>8</v>
      </c>
    </row>
    <row r="123" spans="1:126" x14ac:dyDescent="0.25">
      <c r="A123" s="29">
        <v>115</v>
      </c>
      <c r="B123" s="3" t="s">
        <v>87</v>
      </c>
      <c r="C123" s="13" t="s">
        <v>88</v>
      </c>
      <c r="D123" s="13" t="s">
        <v>89</v>
      </c>
      <c r="E123" s="13" t="s">
        <v>90</v>
      </c>
      <c r="F123" s="18" t="s">
        <v>1522</v>
      </c>
      <c r="G123" s="18">
        <v>45730</v>
      </c>
      <c r="H123" s="18" t="s">
        <v>35</v>
      </c>
      <c r="I123" s="13" t="s">
        <v>23</v>
      </c>
      <c r="J123" s="13" t="s">
        <v>24</v>
      </c>
      <c r="K123" s="13" t="s">
        <v>56</v>
      </c>
      <c r="L123" s="13" t="s">
        <v>57</v>
      </c>
      <c r="M123" s="13" t="s">
        <v>1621</v>
      </c>
      <c r="N123" s="4" t="s">
        <v>91</v>
      </c>
      <c r="O123" s="4" t="s">
        <v>28</v>
      </c>
      <c r="P123" s="1" t="s">
        <v>39</v>
      </c>
      <c r="Q123" s="1" t="s">
        <v>5</v>
      </c>
      <c r="R123" s="1" t="s">
        <v>5</v>
      </c>
      <c r="S123" s="1" t="s">
        <v>5</v>
      </c>
      <c r="T123" s="1" t="s">
        <v>5</v>
      </c>
      <c r="U123" s="1" t="s">
        <v>5</v>
      </c>
      <c r="V123" s="1" t="s">
        <v>5</v>
      </c>
      <c r="W123" s="1" t="s">
        <v>5</v>
      </c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3">
        <f t="shared" si="16"/>
        <v>1</v>
      </c>
      <c r="AU123" s="3">
        <f t="shared" si="17"/>
        <v>0</v>
      </c>
      <c r="AV123" s="3">
        <f t="shared" si="18"/>
        <v>0</v>
      </c>
      <c r="AW123" s="3">
        <f t="shared" si="19"/>
        <v>0</v>
      </c>
      <c r="AX123" s="3">
        <f t="shared" si="20"/>
        <v>0</v>
      </c>
      <c r="AY123" s="3">
        <f t="shared" si="21"/>
        <v>7</v>
      </c>
      <c r="AZ123" s="3">
        <f t="shared" si="22"/>
        <v>0</v>
      </c>
      <c r="BA123" s="3">
        <f t="shared" si="23"/>
        <v>0</v>
      </c>
      <c r="BB123" s="3">
        <f t="shared" si="24"/>
        <v>0</v>
      </c>
      <c r="BC123" s="3">
        <f t="shared" si="25"/>
        <v>0</v>
      </c>
      <c r="BD123" s="3">
        <f t="shared" si="26"/>
        <v>0</v>
      </c>
      <c r="BE123" s="3">
        <f t="shared" si="27"/>
        <v>0</v>
      </c>
      <c r="BF123" s="3">
        <f t="shared" si="28"/>
        <v>0</v>
      </c>
      <c r="BG123" s="3">
        <f t="shared" si="29"/>
        <v>0</v>
      </c>
      <c r="BH123" s="3">
        <f t="shared" si="30"/>
        <v>0</v>
      </c>
      <c r="BI123" s="3">
        <f t="shared" si="31"/>
        <v>8</v>
      </c>
    </row>
    <row r="124" spans="1:126" x14ac:dyDescent="0.25">
      <c r="A124" s="29">
        <v>117</v>
      </c>
      <c r="B124" s="3" t="s">
        <v>342</v>
      </c>
      <c r="C124" s="13" t="s">
        <v>343</v>
      </c>
      <c r="D124" s="13" t="s">
        <v>344</v>
      </c>
      <c r="E124" s="13" t="s">
        <v>278</v>
      </c>
      <c r="F124" s="18" t="s">
        <v>67</v>
      </c>
      <c r="G124" s="18">
        <v>45730</v>
      </c>
      <c r="H124" s="18" t="s">
        <v>35</v>
      </c>
      <c r="I124" s="13" t="s">
        <v>23</v>
      </c>
      <c r="J124" s="13" t="s">
        <v>24</v>
      </c>
      <c r="K124" s="13" t="s">
        <v>43</v>
      </c>
      <c r="L124" s="13" t="s">
        <v>44</v>
      </c>
      <c r="M124" s="13" t="s">
        <v>1621</v>
      </c>
      <c r="N124" s="4" t="s">
        <v>345</v>
      </c>
      <c r="O124" s="4" t="s">
        <v>28</v>
      </c>
      <c r="P124" s="1" t="s">
        <v>29</v>
      </c>
      <c r="Q124" s="1" t="s">
        <v>5</v>
      </c>
      <c r="R124" s="1" t="s">
        <v>5</v>
      </c>
      <c r="S124" s="1" t="s">
        <v>5</v>
      </c>
      <c r="T124" s="1" t="s">
        <v>5</v>
      </c>
      <c r="U124" s="1" t="s">
        <v>5</v>
      </c>
      <c r="V124" s="1" t="s">
        <v>5</v>
      </c>
      <c r="W124" s="1" t="s">
        <v>5</v>
      </c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3"/>
      <c r="AP124" s="1"/>
      <c r="AQ124" s="1"/>
      <c r="AR124" s="1"/>
      <c r="AS124" s="1"/>
      <c r="AT124" s="3">
        <f t="shared" si="16"/>
        <v>0</v>
      </c>
      <c r="AU124" s="3">
        <f t="shared" si="17"/>
        <v>1</v>
      </c>
      <c r="AV124" s="3">
        <f t="shared" si="18"/>
        <v>0</v>
      </c>
      <c r="AW124" s="3">
        <f t="shared" si="19"/>
        <v>0</v>
      </c>
      <c r="AX124" s="3">
        <f t="shared" si="20"/>
        <v>0</v>
      </c>
      <c r="AY124" s="3">
        <f t="shared" si="21"/>
        <v>7</v>
      </c>
      <c r="AZ124" s="3">
        <f t="shared" si="22"/>
        <v>0</v>
      </c>
      <c r="BA124" s="3">
        <f t="shared" si="23"/>
        <v>0</v>
      </c>
      <c r="BB124" s="3">
        <f t="shared" si="24"/>
        <v>0</v>
      </c>
      <c r="BC124" s="3">
        <f t="shared" si="25"/>
        <v>0</v>
      </c>
      <c r="BD124" s="3">
        <f t="shared" si="26"/>
        <v>0</v>
      </c>
      <c r="BE124" s="3">
        <f t="shared" si="27"/>
        <v>0</v>
      </c>
      <c r="BF124" s="3">
        <f t="shared" si="28"/>
        <v>0</v>
      </c>
      <c r="BG124" s="3">
        <f t="shared" si="29"/>
        <v>0</v>
      </c>
      <c r="BH124" s="3">
        <f t="shared" si="30"/>
        <v>0</v>
      </c>
      <c r="BI124" s="3">
        <f t="shared" si="31"/>
        <v>8</v>
      </c>
    </row>
    <row r="125" spans="1:126" x14ac:dyDescent="0.25">
      <c r="A125" s="29">
        <v>118</v>
      </c>
      <c r="B125" s="3" t="s">
        <v>706</v>
      </c>
      <c r="C125" s="13" t="s">
        <v>171</v>
      </c>
      <c r="D125" s="13" t="s">
        <v>171</v>
      </c>
      <c r="E125" s="13" t="s">
        <v>707</v>
      </c>
      <c r="F125" s="18" t="s">
        <v>1522</v>
      </c>
      <c r="G125" s="18">
        <v>45730</v>
      </c>
      <c r="H125" s="18" t="s">
        <v>35</v>
      </c>
      <c r="I125" s="13" t="s">
        <v>23</v>
      </c>
      <c r="J125" s="13" t="s">
        <v>24</v>
      </c>
      <c r="K125" s="13" t="s">
        <v>56</v>
      </c>
      <c r="L125" s="13" t="s">
        <v>57</v>
      </c>
      <c r="M125" s="13" t="s">
        <v>1621</v>
      </c>
      <c r="N125" s="4" t="s">
        <v>708</v>
      </c>
      <c r="O125" s="4" t="s">
        <v>28</v>
      </c>
      <c r="P125" s="1" t="s">
        <v>39</v>
      </c>
      <c r="Q125" s="1" t="s">
        <v>5</v>
      </c>
      <c r="R125" s="1" t="s">
        <v>5</v>
      </c>
      <c r="S125" s="1" t="s">
        <v>5</v>
      </c>
      <c r="T125" s="1" t="s">
        <v>5</v>
      </c>
      <c r="U125" s="1" t="s">
        <v>5</v>
      </c>
      <c r="V125" s="1" t="s">
        <v>5</v>
      </c>
      <c r="W125" s="1" t="s">
        <v>5</v>
      </c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3">
        <f t="shared" si="16"/>
        <v>1</v>
      </c>
      <c r="AU125" s="3">
        <f t="shared" si="17"/>
        <v>0</v>
      </c>
      <c r="AV125" s="3">
        <f t="shared" si="18"/>
        <v>0</v>
      </c>
      <c r="AW125" s="3">
        <f t="shared" si="19"/>
        <v>0</v>
      </c>
      <c r="AX125" s="3">
        <f t="shared" si="20"/>
        <v>0</v>
      </c>
      <c r="AY125" s="3">
        <f t="shared" si="21"/>
        <v>7</v>
      </c>
      <c r="AZ125" s="3">
        <f t="shared" si="22"/>
        <v>0</v>
      </c>
      <c r="BA125" s="3">
        <f t="shared" si="23"/>
        <v>0</v>
      </c>
      <c r="BB125" s="3">
        <f t="shared" si="24"/>
        <v>0</v>
      </c>
      <c r="BC125" s="3">
        <f t="shared" si="25"/>
        <v>0</v>
      </c>
      <c r="BD125" s="3">
        <f t="shared" si="26"/>
        <v>0</v>
      </c>
      <c r="BE125" s="3">
        <f t="shared" si="27"/>
        <v>0</v>
      </c>
      <c r="BF125" s="3">
        <f t="shared" si="28"/>
        <v>0</v>
      </c>
      <c r="BG125" s="3">
        <f t="shared" si="29"/>
        <v>0</v>
      </c>
      <c r="BH125" s="3">
        <f t="shared" si="30"/>
        <v>0</v>
      </c>
      <c r="BI125" s="3">
        <f t="shared" si="31"/>
        <v>8</v>
      </c>
    </row>
    <row r="126" spans="1:126" x14ac:dyDescent="0.25">
      <c r="A126" s="29">
        <v>119</v>
      </c>
      <c r="B126" s="3" t="s">
        <v>1048</v>
      </c>
      <c r="C126" s="13" t="s">
        <v>415</v>
      </c>
      <c r="D126" s="13" t="s">
        <v>1049</v>
      </c>
      <c r="E126" s="13" t="s">
        <v>296</v>
      </c>
      <c r="F126" s="18" t="s">
        <v>1522</v>
      </c>
      <c r="G126" s="18">
        <v>45730</v>
      </c>
      <c r="H126" s="18" t="s">
        <v>35</v>
      </c>
      <c r="I126" s="13" t="s">
        <v>23</v>
      </c>
      <c r="J126" s="13" t="s">
        <v>24</v>
      </c>
      <c r="K126" s="13" t="s">
        <v>56</v>
      </c>
      <c r="L126" s="13" t="s">
        <v>57</v>
      </c>
      <c r="M126" s="13" t="s">
        <v>1621</v>
      </c>
      <c r="N126" s="4" t="s">
        <v>1050</v>
      </c>
      <c r="O126" s="4" t="s">
        <v>28</v>
      </c>
      <c r="P126" s="1" t="s">
        <v>39</v>
      </c>
      <c r="Q126" s="1" t="s">
        <v>5</v>
      </c>
      <c r="R126" s="1" t="s">
        <v>5</v>
      </c>
      <c r="S126" s="1" t="s">
        <v>5</v>
      </c>
      <c r="T126" s="1" t="s">
        <v>5</v>
      </c>
      <c r="U126" s="1" t="s">
        <v>5</v>
      </c>
      <c r="V126" s="1" t="s">
        <v>5</v>
      </c>
      <c r="W126" s="1" t="s">
        <v>5</v>
      </c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3">
        <f t="shared" si="16"/>
        <v>1</v>
      </c>
      <c r="AU126" s="3">
        <f t="shared" si="17"/>
        <v>0</v>
      </c>
      <c r="AV126" s="3">
        <f t="shared" si="18"/>
        <v>0</v>
      </c>
      <c r="AW126" s="3">
        <f t="shared" si="19"/>
        <v>0</v>
      </c>
      <c r="AX126" s="3">
        <f t="shared" si="20"/>
        <v>0</v>
      </c>
      <c r="AY126" s="3">
        <f t="shared" si="21"/>
        <v>7</v>
      </c>
      <c r="AZ126" s="3">
        <f t="shared" si="22"/>
        <v>0</v>
      </c>
      <c r="BA126" s="3">
        <f t="shared" si="23"/>
        <v>0</v>
      </c>
      <c r="BB126" s="3">
        <f t="shared" si="24"/>
        <v>0</v>
      </c>
      <c r="BC126" s="3">
        <f t="shared" si="25"/>
        <v>0</v>
      </c>
      <c r="BD126" s="3">
        <f t="shared" si="26"/>
        <v>0</v>
      </c>
      <c r="BE126" s="3">
        <f t="shared" si="27"/>
        <v>0</v>
      </c>
      <c r="BF126" s="3">
        <f t="shared" si="28"/>
        <v>0</v>
      </c>
      <c r="BG126" s="3">
        <f t="shared" si="29"/>
        <v>0</v>
      </c>
      <c r="BH126" s="3">
        <f t="shared" si="30"/>
        <v>0</v>
      </c>
      <c r="BI126" s="3">
        <f t="shared" si="31"/>
        <v>8</v>
      </c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</row>
    <row r="127" spans="1:126" x14ac:dyDescent="0.25">
      <c r="A127" s="29">
        <v>120</v>
      </c>
      <c r="B127" s="3" t="s">
        <v>810</v>
      </c>
      <c r="C127" s="13" t="s">
        <v>308</v>
      </c>
      <c r="D127" s="13" t="s">
        <v>135</v>
      </c>
      <c r="E127" s="13" t="s">
        <v>811</v>
      </c>
      <c r="F127" s="18" t="s">
        <v>1522</v>
      </c>
      <c r="G127" s="18">
        <v>45730</v>
      </c>
      <c r="H127" s="18" t="s">
        <v>35</v>
      </c>
      <c r="I127" s="13" t="s">
        <v>23</v>
      </c>
      <c r="J127" s="13" t="s">
        <v>24</v>
      </c>
      <c r="K127" s="13" t="s">
        <v>56</v>
      </c>
      <c r="L127" s="13" t="s">
        <v>57</v>
      </c>
      <c r="M127" s="13" t="s">
        <v>1621</v>
      </c>
      <c r="N127" s="4" t="s">
        <v>812</v>
      </c>
      <c r="O127" s="4" t="s">
        <v>28</v>
      </c>
      <c r="P127" s="1" t="s">
        <v>39</v>
      </c>
      <c r="Q127" s="3" t="s">
        <v>5</v>
      </c>
      <c r="R127" s="3" t="s">
        <v>5</v>
      </c>
      <c r="S127" s="3" t="s">
        <v>5</v>
      </c>
      <c r="T127" s="3" t="s">
        <v>5</v>
      </c>
      <c r="U127" s="3" t="s">
        <v>5</v>
      </c>
      <c r="V127" s="3" t="s">
        <v>5</v>
      </c>
      <c r="W127" s="3" t="s">
        <v>5</v>
      </c>
      <c r="X127" s="1"/>
      <c r="Y127" s="1"/>
      <c r="Z127" s="1"/>
      <c r="AA127" s="1"/>
      <c r="AB127" s="3"/>
      <c r="AC127" s="3"/>
      <c r="AD127" s="3"/>
      <c r="AE127" s="3"/>
      <c r="AF127" s="3"/>
      <c r="AG127" s="3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3">
        <f t="shared" si="16"/>
        <v>1</v>
      </c>
      <c r="AU127" s="3">
        <f t="shared" si="17"/>
        <v>0</v>
      </c>
      <c r="AV127" s="3">
        <f t="shared" si="18"/>
        <v>0</v>
      </c>
      <c r="AW127" s="3">
        <f t="shared" si="19"/>
        <v>0</v>
      </c>
      <c r="AX127" s="3">
        <f t="shared" si="20"/>
        <v>0</v>
      </c>
      <c r="AY127" s="3">
        <f t="shared" si="21"/>
        <v>7</v>
      </c>
      <c r="AZ127" s="3">
        <f t="shared" si="22"/>
        <v>0</v>
      </c>
      <c r="BA127" s="3">
        <f t="shared" si="23"/>
        <v>0</v>
      </c>
      <c r="BB127" s="3">
        <f t="shared" si="24"/>
        <v>0</v>
      </c>
      <c r="BC127" s="3">
        <f t="shared" si="25"/>
        <v>0</v>
      </c>
      <c r="BD127" s="3">
        <f t="shared" si="26"/>
        <v>0</v>
      </c>
      <c r="BE127" s="3">
        <f t="shared" si="27"/>
        <v>0</v>
      </c>
      <c r="BF127" s="3">
        <f t="shared" si="28"/>
        <v>0</v>
      </c>
      <c r="BG127" s="3">
        <f t="shared" si="29"/>
        <v>0</v>
      </c>
      <c r="BH127" s="3">
        <f t="shared" si="30"/>
        <v>0</v>
      </c>
      <c r="BI127" s="3">
        <f t="shared" si="31"/>
        <v>8</v>
      </c>
    </row>
    <row r="128" spans="1:126" x14ac:dyDescent="0.25">
      <c r="A128" s="29">
        <v>121</v>
      </c>
      <c r="B128" s="3" t="s">
        <v>1075</v>
      </c>
      <c r="C128" s="13" t="s">
        <v>1076</v>
      </c>
      <c r="D128" s="13" t="s">
        <v>1077</v>
      </c>
      <c r="E128" s="13" t="s">
        <v>1078</v>
      </c>
      <c r="F128" s="18" t="s">
        <v>1522</v>
      </c>
      <c r="G128" s="18">
        <v>45730</v>
      </c>
      <c r="H128" s="18" t="s">
        <v>35</v>
      </c>
      <c r="I128" s="13" t="s">
        <v>23</v>
      </c>
      <c r="J128" s="13" t="s">
        <v>24</v>
      </c>
      <c r="K128" s="13" t="s">
        <v>43</v>
      </c>
      <c r="L128" s="13" t="s">
        <v>44</v>
      </c>
      <c r="M128" s="13" t="s">
        <v>1621</v>
      </c>
      <c r="N128" s="4" t="s">
        <v>1079</v>
      </c>
      <c r="O128" s="4" t="s">
        <v>28</v>
      </c>
      <c r="P128" s="1" t="s">
        <v>29</v>
      </c>
      <c r="Q128" s="1" t="s">
        <v>5</v>
      </c>
      <c r="R128" s="1" t="s">
        <v>5</v>
      </c>
      <c r="S128" s="1" t="s">
        <v>5</v>
      </c>
      <c r="T128" s="1" t="s">
        <v>5</v>
      </c>
      <c r="U128" s="1" t="s">
        <v>5</v>
      </c>
      <c r="V128" s="1" t="s">
        <v>5</v>
      </c>
      <c r="W128" s="1" t="s">
        <v>5</v>
      </c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3"/>
      <c r="AP128" s="1"/>
      <c r="AQ128" s="1"/>
      <c r="AR128" s="1"/>
      <c r="AS128" s="1"/>
      <c r="AT128" s="3">
        <f t="shared" si="16"/>
        <v>0</v>
      </c>
      <c r="AU128" s="3">
        <f t="shared" si="17"/>
        <v>1</v>
      </c>
      <c r="AV128" s="3">
        <f t="shared" si="18"/>
        <v>0</v>
      </c>
      <c r="AW128" s="3">
        <f t="shared" si="19"/>
        <v>0</v>
      </c>
      <c r="AX128" s="3">
        <f t="shared" si="20"/>
        <v>0</v>
      </c>
      <c r="AY128" s="3">
        <f t="shared" si="21"/>
        <v>7</v>
      </c>
      <c r="AZ128" s="3">
        <f t="shared" si="22"/>
        <v>0</v>
      </c>
      <c r="BA128" s="3">
        <f t="shared" si="23"/>
        <v>0</v>
      </c>
      <c r="BB128" s="3">
        <f t="shared" si="24"/>
        <v>0</v>
      </c>
      <c r="BC128" s="3">
        <f t="shared" si="25"/>
        <v>0</v>
      </c>
      <c r="BD128" s="3">
        <f t="shared" si="26"/>
        <v>0</v>
      </c>
      <c r="BE128" s="3">
        <f t="shared" si="27"/>
        <v>0</v>
      </c>
      <c r="BF128" s="3">
        <f t="shared" si="28"/>
        <v>0</v>
      </c>
      <c r="BG128" s="3">
        <f t="shared" si="29"/>
        <v>0</v>
      </c>
      <c r="BH128" s="3">
        <f t="shared" si="30"/>
        <v>0</v>
      </c>
      <c r="BI128" s="3">
        <f t="shared" si="31"/>
        <v>8</v>
      </c>
    </row>
    <row r="129" spans="1:61" x14ac:dyDescent="0.25">
      <c r="A129" s="29">
        <v>122</v>
      </c>
      <c r="B129" s="3" t="s">
        <v>1106</v>
      </c>
      <c r="C129" s="13" t="s">
        <v>1107</v>
      </c>
      <c r="D129" s="13" t="s">
        <v>1108</v>
      </c>
      <c r="E129" s="13" t="s">
        <v>987</v>
      </c>
      <c r="F129" s="18" t="s">
        <v>1522</v>
      </c>
      <c r="G129" s="18">
        <v>45730</v>
      </c>
      <c r="H129" s="18" t="s">
        <v>35</v>
      </c>
      <c r="I129" s="13" t="s">
        <v>23</v>
      </c>
      <c r="J129" s="13" t="s">
        <v>24</v>
      </c>
      <c r="K129" s="13" t="s">
        <v>56</v>
      </c>
      <c r="L129" s="13" t="s">
        <v>57</v>
      </c>
      <c r="M129" s="13" t="s">
        <v>1621</v>
      </c>
      <c r="N129" s="4" t="s">
        <v>1109</v>
      </c>
      <c r="O129" s="4" t="s">
        <v>28</v>
      </c>
      <c r="P129" s="1" t="s">
        <v>39</v>
      </c>
      <c r="Q129" s="3" t="s">
        <v>5</v>
      </c>
      <c r="R129" s="3" t="s">
        <v>5</v>
      </c>
      <c r="S129" s="3" t="s">
        <v>5</v>
      </c>
      <c r="T129" s="3" t="s">
        <v>5</v>
      </c>
      <c r="U129" s="3" t="s">
        <v>5</v>
      </c>
      <c r="V129" s="3" t="s">
        <v>5</v>
      </c>
      <c r="W129" s="3" t="s">
        <v>5</v>
      </c>
      <c r="X129" s="1"/>
      <c r="Y129" s="1"/>
      <c r="Z129" s="1"/>
      <c r="AA129" s="1"/>
      <c r="AB129" s="3"/>
      <c r="AC129" s="3"/>
      <c r="AD129" s="3"/>
      <c r="AE129" s="3"/>
      <c r="AF129" s="3"/>
      <c r="AG129" s="3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3">
        <f t="shared" si="16"/>
        <v>1</v>
      </c>
      <c r="AU129" s="3">
        <f t="shared" si="17"/>
        <v>0</v>
      </c>
      <c r="AV129" s="3">
        <f t="shared" si="18"/>
        <v>0</v>
      </c>
      <c r="AW129" s="3">
        <f t="shared" si="19"/>
        <v>0</v>
      </c>
      <c r="AX129" s="3">
        <f t="shared" si="20"/>
        <v>0</v>
      </c>
      <c r="AY129" s="3">
        <f t="shared" si="21"/>
        <v>7</v>
      </c>
      <c r="AZ129" s="3">
        <f t="shared" si="22"/>
        <v>0</v>
      </c>
      <c r="BA129" s="3">
        <f t="shared" si="23"/>
        <v>0</v>
      </c>
      <c r="BB129" s="3">
        <f t="shared" si="24"/>
        <v>0</v>
      </c>
      <c r="BC129" s="3">
        <f t="shared" si="25"/>
        <v>0</v>
      </c>
      <c r="BD129" s="3">
        <f t="shared" si="26"/>
        <v>0</v>
      </c>
      <c r="BE129" s="3">
        <f t="shared" si="27"/>
        <v>0</v>
      </c>
      <c r="BF129" s="3">
        <f t="shared" si="28"/>
        <v>0</v>
      </c>
      <c r="BG129" s="3">
        <f t="shared" si="29"/>
        <v>0</v>
      </c>
      <c r="BH129" s="3">
        <f t="shared" si="30"/>
        <v>0</v>
      </c>
      <c r="BI129" s="3">
        <f t="shared" si="31"/>
        <v>8</v>
      </c>
    </row>
    <row r="130" spans="1:61" x14ac:dyDescent="0.25">
      <c r="A130" s="29">
        <v>124</v>
      </c>
      <c r="B130" s="3" t="s">
        <v>670</v>
      </c>
      <c r="C130" s="13" t="s">
        <v>106</v>
      </c>
      <c r="D130" s="13" t="s">
        <v>667</v>
      </c>
      <c r="E130" s="13" t="s">
        <v>671</v>
      </c>
      <c r="F130" s="18" t="s">
        <v>1522</v>
      </c>
      <c r="G130" s="18">
        <v>45730</v>
      </c>
      <c r="H130" s="18" t="s">
        <v>35</v>
      </c>
      <c r="I130" s="13" t="s">
        <v>23</v>
      </c>
      <c r="J130" s="13" t="s">
        <v>24</v>
      </c>
      <c r="K130" s="13" t="s">
        <v>56</v>
      </c>
      <c r="L130" s="13" t="s">
        <v>57</v>
      </c>
      <c r="M130" s="13" t="s">
        <v>1621</v>
      </c>
      <c r="N130" s="4" t="s">
        <v>672</v>
      </c>
      <c r="O130" s="4" t="s">
        <v>28</v>
      </c>
      <c r="P130" s="1" t="s">
        <v>39</v>
      </c>
      <c r="Q130" s="3" t="s">
        <v>5</v>
      </c>
      <c r="R130" s="3" t="s">
        <v>5</v>
      </c>
      <c r="S130" s="3" t="s">
        <v>5</v>
      </c>
      <c r="T130" s="3" t="s">
        <v>5</v>
      </c>
      <c r="U130" s="3" t="s">
        <v>5</v>
      </c>
      <c r="V130" s="3" t="s">
        <v>5</v>
      </c>
      <c r="W130" s="3" t="s">
        <v>5</v>
      </c>
      <c r="X130" s="1"/>
      <c r="Y130" s="1"/>
      <c r="Z130" s="1"/>
      <c r="AA130" s="1"/>
      <c r="AB130" s="3"/>
      <c r="AC130" s="3"/>
      <c r="AD130" s="3"/>
      <c r="AE130" s="3"/>
      <c r="AF130" s="3"/>
      <c r="AG130" s="3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3">
        <f t="shared" si="16"/>
        <v>1</v>
      </c>
      <c r="AU130" s="3">
        <f t="shared" si="17"/>
        <v>0</v>
      </c>
      <c r="AV130" s="3">
        <f t="shared" si="18"/>
        <v>0</v>
      </c>
      <c r="AW130" s="3">
        <f t="shared" si="19"/>
        <v>0</v>
      </c>
      <c r="AX130" s="3">
        <f t="shared" si="20"/>
        <v>0</v>
      </c>
      <c r="AY130" s="3">
        <f t="shared" si="21"/>
        <v>7</v>
      </c>
      <c r="AZ130" s="3">
        <f t="shared" si="22"/>
        <v>0</v>
      </c>
      <c r="BA130" s="3">
        <f t="shared" si="23"/>
        <v>0</v>
      </c>
      <c r="BB130" s="3">
        <f t="shared" si="24"/>
        <v>0</v>
      </c>
      <c r="BC130" s="3">
        <f t="shared" si="25"/>
        <v>0</v>
      </c>
      <c r="BD130" s="3">
        <f t="shared" si="26"/>
        <v>0</v>
      </c>
      <c r="BE130" s="3">
        <f t="shared" si="27"/>
        <v>0</v>
      </c>
      <c r="BF130" s="3">
        <f t="shared" si="28"/>
        <v>0</v>
      </c>
      <c r="BG130" s="3">
        <f t="shared" si="29"/>
        <v>0</v>
      </c>
      <c r="BH130" s="3">
        <f t="shared" si="30"/>
        <v>0</v>
      </c>
      <c r="BI130" s="3">
        <f t="shared" si="31"/>
        <v>8</v>
      </c>
    </row>
    <row r="131" spans="1:61" x14ac:dyDescent="0.25">
      <c r="A131" s="29">
        <v>125</v>
      </c>
      <c r="B131" s="3" t="s">
        <v>1152</v>
      </c>
      <c r="C131" s="13" t="s">
        <v>106</v>
      </c>
      <c r="D131" s="13" t="s">
        <v>1149</v>
      </c>
      <c r="E131" s="13" t="s">
        <v>1153</v>
      </c>
      <c r="F131" s="18" t="s">
        <v>1552</v>
      </c>
      <c r="G131" s="18">
        <v>45730</v>
      </c>
      <c r="H131" s="18" t="s">
        <v>35</v>
      </c>
      <c r="I131" s="13" t="s">
        <v>23</v>
      </c>
      <c r="J131" s="13" t="s">
        <v>24</v>
      </c>
      <c r="K131" s="13" t="s">
        <v>43</v>
      </c>
      <c r="L131" s="13" t="s">
        <v>68</v>
      </c>
      <c r="M131" s="13" t="s">
        <v>1621</v>
      </c>
      <c r="N131" s="4" t="s">
        <v>1154</v>
      </c>
      <c r="O131" s="4" t="s">
        <v>28</v>
      </c>
      <c r="P131" s="1" t="s">
        <v>29</v>
      </c>
      <c r="Q131" s="1" t="s">
        <v>5</v>
      </c>
      <c r="R131" s="1" t="s">
        <v>5</v>
      </c>
      <c r="S131" s="1" t="s">
        <v>5</v>
      </c>
      <c r="T131" s="1" t="s">
        <v>5</v>
      </c>
      <c r="U131" s="1" t="s">
        <v>5</v>
      </c>
      <c r="V131" s="1" t="s">
        <v>5</v>
      </c>
      <c r="W131" s="1" t="s">
        <v>5</v>
      </c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3"/>
      <c r="AP131" s="1"/>
      <c r="AQ131" s="1"/>
      <c r="AR131" s="1"/>
      <c r="AS131" s="1"/>
      <c r="AT131" s="3">
        <f t="shared" si="16"/>
        <v>0</v>
      </c>
      <c r="AU131" s="3">
        <f t="shared" si="17"/>
        <v>1</v>
      </c>
      <c r="AV131" s="3">
        <f t="shared" si="18"/>
        <v>0</v>
      </c>
      <c r="AW131" s="3">
        <f t="shared" si="19"/>
        <v>0</v>
      </c>
      <c r="AX131" s="3">
        <f t="shared" si="20"/>
        <v>0</v>
      </c>
      <c r="AY131" s="3">
        <f t="shared" si="21"/>
        <v>7</v>
      </c>
      <c r="AZ131" s="3">
        <f t="shared" si="22"/>
        <v>0</v>
      </c>
      <c r="BA131" s="3">
        <f t="shared" si="23"/>
        <v>0</v>
      </c>
      <c r="BB131" s="3">
        <f t="shared" si="24"/>
        <v>0</v>
      </c>
      <c r="BC131" s="3">
        <f t="shared" si="25"/>
        <v>0</v>
      </c>
      <c r="BD131" s="3">
        <f t="shared" si="26"/>
        <v>0</v>
      </c>
      <c r="BE131" s="3">
        <f t="shared" si="27"/>
        <v>0</v>
      </c>
      <c r="BF131" s="3">
        <f t="shared" si="28"/>
        <v>0</v>
      </c>
      <c r="BG131" s="3">
        <f t="shared" si="29"/>
        <v>0</v>
      </c>
      <c r="BH131" s="3">
        <f t="shared" si="30"/>
        <v>0</v>
      </c>
      <c r="BI131" s="3">
        <f t="shared" si="31"/>
        <v>8</v>
      </c>
    </row>
    <row r="132" spans="1:61" x14ac:dyDescent="0.25">
      <c r="A132" s="29">
        <v>126</v>
      </c>
      <c r="B132" s="3" t="s">
        <v>64</v>
      </c>
      <c r="C132" s="13" t="s">
        <v>65</v>
      </c>
      <c r="D132" s="13" t="s">
        <v>53</v>
      </c>
      <c r="E132" s="13" t="s">
        <v>66</v>
      </c>
      <c r="F132" s="18" t="s">
        <v>67</v>
      </c>
      <c r="G132" s="18">
        <v>45730</v>
      </c>
      <c r="H132" s="18" t="s">
        <v>35</v>
      </c>
      <c r="I132" s="13" t="s">
        <v>23</v>
      </c>
      <c r="J132" s="13" t="s">
        <v>24</v>
      </c>
      <c r="K132" s="13" t="s">
        <v>36</v>
      </c>
      <c r="L132" s="13" t="s">
        <v>37</v>
      </c>
      <c r="M132" s="13" t="s">
        <v>1621</v>
      </c>
      <c r="N132" s="4" t="s">
        <v>69</v>
      </c>
      <c r="O132" s="4" t="s">
        <v>28</v>
      </c>
      <c r="P132" s="1" t="s">
        <v>5</v>
      </c>
      <c r="Q132" s="1" t="s">
        <v>29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3">
        <f t="shared" si="16"/>
        <v>0</v>
      </c>
      <c r="AU132" s="3">
        <f t="shared" si="17"/>
        <v>1</v>
      </c>
      <c r="AV132" s="3">
        <f t="shared" si="18"/>
        <v>0</v>
      </c>
      <c r="AW132" s="3">
        <f t="shared" si="19"/>
        <v>0</v>
      </c>
      <c r="AX132" s="3">
        <f t="shared" si="20"/>
        <v>0</v>
      </c>
      <c r="AY132" s="3">
        <f t="shared" si="21"/>
        <v>1</v>
      </c>
      <c r="AZ132" s="3">
        <f t="shared" si="22"/>
        <v>0</v>
      </c>
      <c r="BA132" s="3">
        <f t="shared" si="23"/>
        <v>0</v>
      </c>
      <c r="BB132" s="3">
        <f t="shared" si="24"/>
        <v>0</v>
      </c>
      <c r="BC132" s="3">
        <f t="shared" si="25"/>
        <v>0</v>
      </c>
      <c r="BD132" s="3">
        <f t="shared" si="26"/>
        <v>0</v>
      </c>
      <c r="BE132" s="3">
        <f t="shared" si="27"/>
        <v>0</v>
      </c>
      <c r="BF132" s="3">
        <f t="shared" si="28"/>
        <v>0</v>
      </c>
      <c r="BG132" s="3">
        <f t="shared" si="29"/>
        <v>0</v>
      </c>
      <c r="BH132" s="3">
        <f t="shared" si="30"/>
        <v>0</v>
      </c>
      <c r="BI132" s="3">
        <f t="shared" si="31"/>
        <v>2</v>
      </c>
    </row>
    <row r="133" spans="1:61" x14ac:dyDescent="0.25">
      <c r="A133" s="29">
        <v>127</v>
      </c>
      <c r="B133" s="3" t="s">
        <v>641</v>
      </c>
      <c r="C133" s="13" t="s">
        <v>642</v>
      </c>
      <c r="D133" s="13" t="s">
        <v>643</v>
      </c>
      <c r="E133" s="13" t="s">
        <v>644</v>
      </c>
      <c r="F133" s="18" t="s">
        <v>138</v>
      </c>
      <c r="G133" s="18">
        <v>45733</v>
      </c>
      <c r="H133" s="18" t="s">
        <v>35</v>
      </c>
      <c r="I133" s="13" t="s">
        <v>23</v>
      </c>
      <c r="J133" s="13" t="s">
        <v>24</v>
      </c>
      <c r="K133" s="13" t="s">
        <v>56</v>
      </c>
      <c r="L133" s="13" t="s">
        <v>57</v>
      </c>
      <c r="M133" s="13" t="s">
        <v>1621</v>
      </c>
      <c r="N133" s="4" t="s">
        <v>645</v>
      </c>
      <c r="O133" s="4" t="s">
        <v>28</v>
      </c>
      <c r="P133" s="1" t="s">
        <v>39</v>
      </c>
      <c r="Q133" s="1" t="s">
        <v>5</v>
      </c>
      <c r="R133" s="1" t="s">
        <v>5</v>
      </c>
      <c r="S133" s="1" t="s">
        <v>5</v>
      </c>
      <c r="T133" s="1" t="s">
        <v>5</v>
      </c>
      <c r="U133" s="1" t="s">
        <v>5</v>
      </c>
      <c r="V133" s="1" t="s">
        <v>5</v>
      </c>
      <c r="W133" s="1" t="s">
        <v>5</v>
      </c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3">
        <f t="shared" si="16"/>
        <v>1</v>
      </c>
      <c r="AU133" s="3">
        <f t="shared" si="17"/>
        <v>0</v>
      </c>
      <c r="AV133" s="3">
        <f t="shared" si="18"/>
        <v>0</v>
      </c>
      <c r="AW133" s="3">
        <f t="shared" si="19"/>
        <v>0</v>
      </c>
      <c r="AX133" s="3">
        <f t="shared" si="20"/>
        <v>0</v>
      </c>
      <c r="AY133" s="3">
        <f t="shared" si="21"/>
        <v>7</v>
      </c>
      <c r="AZ133" s="3">
        <f t="shared" si="22"/>
        <v>0</v>
      </c>
      <c r="BA133" s="3">
        <f t="shared" si="23"/>
        <v>0</v>
      </c>
      <c r="BB133" s="3">
        <f t="shared" si="24"/>
        <v>0</v>
      </c>
      <c r="BC133" s="3">
        <f t="shared" si="25"/>
        <v>0</v>
      </c>
      <c r="BD133" s="3">
        <f t="shared" si="26"/>
        <v>0</v>
      </c>
      <c r="BE133" s="3">
        <f t="shared" si="27"/>
        <v>0</v>
      </c>
      <c r="BF133" s="3">
        <f t="shared" si="28"/>
        <v>0</v>
      </c>
      <c r="BG133" s="3">
        <f t="shared" si="29"/>
        <v>0</v>
      </c>
      <c r="BH133" s="3">
        <f t="shared" si="30"/>
        <v>0</v>
      </c>
      <c r="BI133" s="3">
        <f t="shared" si="31"/>
        <v>8</v>
      </c>
    </row>
    <row r="134" spans="1:61" x14ac:dyDescent="0.25">
      <c r="A134" s="29">
        <v>128</v>
      </c>
      <c r="B134" s="3" t="s">
        <v>1036</v>
      </c>
      <c r="C134" s="13" t="s">
        <v>171</v>
      </c>
      <c r="D134" s="13" t="s">
        <v>1037</v>
      </c>
      <c r="E134" s="13" t="s">
        <v>1038</v>
      </c>
      <c r="F134" s="18" t="s">
        <v>782</v>
      </c>
      <c r="G134" s="18">
        <v>45733</v>
      </c>
      <c r="H134" s="18" t="s">
        <v>35</v>
      </c>
      <c r="I134" s="13" t="s">
        <v>23</v>
      </c>
      <c r="J134" s="13" t="s">
        <v>24</v>
      </c>
      <c r="K134" s="13" t="s">
        <v>1420</v>
      </c>
      <c r="L134" s="13" t="s">
        <v>150</v>
      </c>
      <c r="M134" s="13" t="s">
        <v>1621</v>
      </c>
      <c r="N134" s="4" t="s">
        <v>1039</v>
      </c>
      <c r="O134" s="4" t="s">
        <v>28</v>
      </c>
      <c r="P134" s="1" t="s">
        <v>5</v>
      </c>
      <c r="Q134" s="1" t="s">
        <v>39</v>
      </c>
      <c r="R134" s="1" t="s">
        <v>39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1"/>
      <c r="AS134" s="1"/>
      <c r="AT134" s="3">
        <f t="shared" si="16"/>
        <v>2</v>
      </c>
      <c r="AU134" s="3">
        <f t="shared" si="17"/>
        <v>0</v>
      </c>
      <c r="AV134" s="3">
        <f t="shared" si="18"/>
        <v>0</v>
      </c>
      <c r="AW134" s="3">
        <f t="shared" si="19"/>
        <v>0</v>
      </c>
      <c r="AX134" s="3">
        <f t="shared" si="20"/>
        <v>0</v>
      </c>
      <c r="AY134" s="3">
        <f t="shared" si="21"/>
        <v>1</v>
      </c>
      <c r="AZ134" s="3">
        <f t="shared" si="22"/>
        <v>0</v>
      </c>
      <c r="BA134" s="3">
        <f t="shared" si="23"/>
        <v>0</v>
      </c>
      <c r="BB134" s="3">
        <f t="shared" si="24"/>
        <v>0</v>
      </c>
      <c r="BC134" s="3">
        <f t="shared" si="25"/>
        <v>0</v>
      </c>
      <c r="BD134" s="3">
        <f t="shared" si="26"/>
        <v>0</v>
      </c>
      <c r="BE134" s="3">
        <f t="shared" si="27"/>
        <v>0</v>
      </c>
      <c r="BF134" s="3">
        <f t="shared" si="28"/>
        <v>0</v>
      </c>
      <c r="BG134" s="3">
        <f t="shared" si="29"/>
        <v>0</v>
      </c>
      <c r="BH134" s="3">
        <f t="shared" si="30"/>
        <v>0</v>
      </c>
      <c r="BI134" s="3">
        <f t="shared" si="31"/>
        <v>3</v>
      </c>
    </row>
    <row r="135" spans="1:61" x14ac:dyDescent="0.25">
      <c r="A135" s="29">
        <v>129</v>
      </c>
      <c r="B135" s="3" t="s">
        <v>263</v>
      </c>
      <c r="C135" s="13" t="s">
        <v>264</v>
      </c>
      <c r="D135" s="13" t="s">
        <v>265</v>
      </c>
      <c r="E135" s="13" t="s">
        <v>33</v>
      </c>
      <c r="F135" s="18" t="s">
        <v>1522</v>
      </c>
      <c r="G135" s="18">
        <v>45734</v>
      </c>
      <c r="H135" s="18" t="s">
        <v>35</v>
      </c>
      <c r="I135" s="13" t="s">
        <v>23</v>
      </c>
      <c r="J135" s="13" t="s">
        <v>24</v>
      </c>
      <c r="K135" s="13" t="s">
        <v>56</v>
      </c>
      <c r="L135" s="13" t="s">
        <v>57</v>
      </c>
      <c r="M135" s="13" t="s">
        <v>1621</v>
      </c>
      <c r="N135" s="4" t="s">
        <v>266</v>
      </c>
      <c r="O135" s="4" t="s">
        <v>28</v>
      </c>
      <c r="P135" s="1" t="s">
        <v>39</v>
      </c>
      <c r="Q135" s="1" t="s">
        <v>5</v>
      </c>
      <c r="R135" s="1" t="s">
        <v>5</v>
      </c>
      <c r="S135" s="1" t="s">
        <v>5</v>
      </c>
      <c r="T135" s="1" t="s">
        <v>5</v>
      </c>
      <c r="U135" s="1" t="s">
        <v>5</v>
      </c>
      <c r="V135" s="1" t="s">
        <v>5</v>
      </c>
      <c r="W135" s="1" t="s">
        <v>5</v>
      </c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3">
        <f t="shared" ref="AT135:AT198" si="32">+COUNTIF(P135:AS135,"A")</f>
        <v>1</v>
      </c>
      <c r="AU135" s="3">
        <f t="shared" ref="AU135:AU198" si="33">+COUNTIF(P135:AS135,"B")</f>
        <v>0</v>
      </c>
      <c r="AV135" s="3">
        <f t="shared" ref="AV135:AV198" si="34">+COUNTIF(P135:AS135,"ES")</f>
        <v>0</v>
      </c>
      <c r="AW135" s="3">
        <f t="shared" ref="AW135:AW198" si="35">+COUNTIF(P135:AS135,"T")</f>
        <v>0</v>
      </c>
      <c r="AX135" s="3">
        <f t="shared" ref="AX135:AX198" si="36">+COUNTIF(P135:AS135,"EC")</f>
        <v>0</v>
      </c>
      <c r="AY135" s="3">
        <f t="shared" ref="AY135:AY198" si="37">+COUNTIF(P135:AS135,"D")</f>
        <v>7</v>
      </c>
      <c r="AZ135" s="3">
        <f t="shared" ref="AZ135:AZ198" si="38">+COUNTIF(P135:AS135,"F")</f>
        <v>0</v>
      </c>
      <c r="BA135" s="3">
        <f t="shared" ref="BA135:BA198" si="39">+COUNTIF(P135:AS135,"LM")</f>
        <v>0</v>
      </c>
      <c r="BB135" s="3">
        <f t="shared" ref="BB135:BB198" si="40">+COUNTIF(P135:AS135,"PSG")</f>
        <v>0</v>
      </c>
      <c r="BC135" s="3">
        <f t="shared" ref="BC135:BC198" si="41">+COUNTIF(P135:AS135,"PS")</f>
        <v>0</v>
      </c>
      <c r="BD135" s="3">
        <f t="shared" ref="BD135:BD198" si="42">+COUNTIF(P135:AS135,"AD")</f>
        <v>0</v>
      </c>
      <c r="BE135" s="3">
        <f t="shared" ref="BE135:BE198" si="43">+COUNTIF(P135:AS135,"V")</f>
        <v>0</v>
      </c>
      <c r="BF135" s="3">
        <f t="shared" ref="BF135:BF198" si="44">+COUNTIF(P135:AS135,"IMM")</f>
        <v>0</v>
      </c>
      <c r="BG135" s="3">
        <f t="shared" ref="BG135:BG198" si="45">+COUNTIF(P135:AS135,"PCG")</f>
        <v>0</v>
      </c>
      <c r="BH135" s="3">
        <f t="shared" ref="BH135:BH198" si="46">+COUNTIF(P135:AS135,"AC")</f>
        <v>0</v>
      </c>
      <c r="BI135" s="3">
        <f t="shared" ref="BI135:BI198" si="47">AT135+AU135+AV135+AW135+AX135+AY135+BC135+BD135+BE135+BF135+BG135+BH135</f>
        <v>8</v>
      </c>
    </row>
    <row r="136" spans="1:61" x14ac:dyDescent="0.25">
      <c r="A136" s="29">
        <v>130</v>
      </c>
      <c r="B136" s="3" t="s">
        <v>243</v>
      </c>
      <c r="C136" s="13" t="s">
        <v>244</v>
      </c>
      <c r="D136" s="13" t="s">
        <v>245</v>
      </c>
      <c r="E136" s="13" t="s">
        <v>246</v>
      </c>
      <c r="F136" s="18" t="s">
        <v>55</v>
      </c>
      <c r="G136" s="18">
        <v>45734</v>
      </c>
      <c r="H136" s="18" t="s">
        <v>35</v>
      </c>
      <c r="I136" s="13" t="s">
        <v>23</v>
      </c>
      <c r="J136" s="13" t="s">
        <v>24</v>
      </c>
      <c r="K136" s="13" t="s">
        <v>56</v>
      </c>
      <c r="L136" s="13" t="s">
        <v>57</v>
      </c>
      <c r="M136" s="13" t="s">
        <v>1621</v>
      </c>
      <c r="N136" s="4" t="s">
        <v>247</v>
      </c>
      <c r="O136" s="4" t="s">
        <v>28</v>
      </c>
      <c r="P136" s="1" t="s">
        <v>59</v>
      </c>
      <c r="Q136" s="1" t="s">
        <v>59</v>
      </c>
      <c r="R136" s="1" t="s">
        <v>59</v>
      </c>
      <c r="S136" s="1" t="s">
        <v>59</v>
      </c>
      <c r="T136" s="1" t="s">
        <v>59</v>
      </c>
      <c r="U136" s="1" t="s">
        <v>59</v>
      </c>
      <c r="V136" s="1" t="s">
        <v>59</v>
      </c>
      <c r="W136" s="1" t="s">
        <v>59</v>
      </c>
      <c r="X136" s="1" t="s">
        <v>59</v>
      </c>
      <c r="Y136" s="1" t="s">
        <v>59</v>
      </c>
      <c r="Z136" s="1" t="s">
        <v>59</v>
      </c>
      <c r="AA136" s="1" t="s">
        <v>59</v>
      </c>
      <c r="AB136" s="1" t="s">
        <v>59</v>
      </c>
      <c r="AC136" s="1" t="s">
        <v>59</v>
      </c>
      <c r="AD136" s="1" t="s">
        <v>59</v>
      </c>
      <c r="AE136" s="1" t="s">
        <v>59</v>
      </c>
      <c r="AF136" s="1" t="s">
        <v>59</v>
      </c>
      <c r="AG136" s="1" t="s">
        <v>59</v>
      </c>
      <c r="AH136" s="1" t="s">
        <v>59</v>
      </c>
      <c r="AI136" s="1" t="s">
        <v>59</v>
      </c>
      <c r="AJ136" s="1" t="s">
        <v>59</v>
      </c>
      <c r="AK136" s="1" t="s">
        <v>59</v>
      </c>
      <c r="AL136" s="1" t="s">
        <v>59</v>
      </c>
      <c r="AM136" s="1" t="s">
        <v>59</v>
      </c>
      <c r="AN136" s="1" t="s">
        <v>59</v>
      </c>
      <c r="AO136" s="1" t="s">
        <v>59</v>
      </c>
      <c r="AP136" s="1" t="s">
        <v>59</v>
      </c>
      <c r="AQ136" s="1" t="s">
        <v>59</v>
      </c>
      <c r="AR136" s="1" t="s">
        <v>59</v>
      </c>
      <c r="AS136" s="1" t="s">
        <v>59</v>
      </c>
      <c r="AT136" s="3">
        <f t="shared" si="32"/>
        <v>0</v>
      </c>
      <c r="AU136" s="3">
        <f t="shared" si="33"/>
        <v>0</v>
      </c>
      <c r="AV136" s="3">
        <f t="shared" si="34"/>
        <v>0</v>
      </c>
      <c r="AW136" s="3">
        <f t="shared" si="35"/>
        <v>0</v>
      </c>
      <c r="AX136" s="3">
        <f t="shared" si="36"/>
        <v>0</v>
      </c>
      <c r="AY136" s="3">
        <f t="shared" si="37"/>
        <v>0</v>
      </c>
      <c r="AZ136" s="3">
        <f t="shared" si="38"/>
        <v>0</v>
      </c>
      <c r="BA136" s="3">
        <f t="shared" si="39"/>
        <v>0</v>
      </c>
      <c r="BB136" s="3">
        <f t="shared" si="40"/>
        <v>0</v>
      </c>
      <c r="BC136" s="3">
        <f t="shared" si="41"/>
        <v>30</v>
      </c>
      <c r="BD136" s="3">
        <f t="shared" si="42"/>
        <v>0</v>
      </c>
      <c r="BE136" s="3">
        <f t="shared" si="43"/>
        <v>0</v>
      </c>
      <c r="BF136" s="3">
        <f t="shared" si="44"/>
        <v>0</v>
      </c>
      <c r="BG136" s="3">
        <f t="shared" si="45"/>
        <v>0</v>
      </c>
      <c r="BH136" s="3">
        <f t="shared" si="46"/>
        <v>0</v>
      </c>
      <c r="BI136" s="3">
        <f t="shared" si="47"/>
        <v>30</v>
      </c>
    </row>
    <row r="137" spans="1:61" x14ac:dyDescent="0.25">
      <c r="A137" s="29">
        <v>131</v>
      </c>
      <c r="B137" s="3" t="s">
        <v>1126</v>
      </c>
      <c r="C137" s="13" t="s">
        <v>222</v>
      </c>
      <c r="D137" s="13" t="s">
        <v>1127</v>
      </c>
      <c r="E137" s="13" t="s">
        <v>474</v>
      </c>
      <c r="F137" s="18" t="s">
        <v>34</v>
      </c>
      <c r="G137" s="18">
        <v>45734</v>
      </c>
      <c r="H137" s="18" t="s">
        <v>35</v>
      </c>
      <c r="I137" s="13" t="s">
        <v>23</v>
      </c>
      <c r="J137" s="13" t="s">
        <v>24</v>
      </c>
      <c r="K137" s="13" t="s">
        <v>43</v>
      </c>
      <c r="L137" s="13" t="s">
        <v>44</v>
      </c>
      <c r="M137" s="13" t="s">
        <v>1621</v>
      </c>
      <c r="N137" s="4" t="s">
        <v>1128</v>
      </c>
      <c r="O137" s="4" t="s">
        <v>28</v>
      </c>
      <c r="P137" s="1" t="s">
        <v>29</v>
      </c>
      <c r="Q137" s="1" t="s">
        <v>5</v>
      </c>
      <c r="R137" s="1" t="s">
        <v>5</v>
      </c>
      <c r="S137" s="1" t="s">
        <v>5</v>
      </c>
      <c r="T137" s="1" t="s">
        <v>5</v>
      </c>
      <c r="U137" s="1" t="s">
        <v>5</v>
      </c>
      <c r="V137" s="1" t="s">
        <v>5</v>
      </c>
      <c r="W137" s="1" t="s">
        <v>5</v>
      </c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3"/>
      <c r="AP137" s="1"/>
      <c r="AQ137" s="1"/>
      <c r="AR137" s="1"/>
      <c r="AS137" s="1"/>
      <c r="AT137" s="3">
        <f t="shared" si="32"/>
        <v>0</v>
      </c>
      <c r="AU137" s="3">
        <f t="shared" si="33"/>
        <v>1</v>
      </c>
      <c r="AV137" s="3">
        <f t="shared" si="34"/>
        <v>0</v>
      </c>
      <c r="AW137" s="3">
        <f t="shared" si="35"/>
        <v>0</v>
      </c>
      <c r="AX137" s="3">
        <f t="shared" si="36"/>
        <v>0</v>
      </c>
      <c r="AY137" s="3">
        <f t="shared" si="37"/>
        <v>7</v>
      </c>
      <c r="AZ137" s="3">
        <f t="shared" si="38"/>
        <v>0</v>
      </c>
      <c r="BA137" s="3">
        <f t="shared" si="39"/>
        <v>0</v>
      </c>
      <c r="BB137" s="3">
        <f t="shared" si="40"/>
        <v>0</v>
      </c>
      <c r="BC137" s="3">
        <f t="shared" si="41"/>
        <v>0</v>
      </c>
      <c r="BD137" s="3">
        <f t="shared" si="42"/>
        <v>0</v>
      </c>
      <c r="BE137" s="3">
        <f t="shared" si="43"/>
        <v>0</v>
      </c>
      <c r="BF137" s="3">
        <f t="shared" si="44"/>
        <v>0</v>
      </c>
      <c r="BG137" s="3">
        <f t="shared" si="45"/>
        <v>0</v>
      </c>
      <c r="BH137" s="3">
        <f t="shared" si="46"/>
        <v>0</v>
      </c>
      <c r="BI137" s="3">
        <f t="shared" si="47"/>
        <v>8</v>
      </c>
    </row>
    <row r="138" spans="1:61" x14ac:dyDescent="0.25">
      <c r="A138" s="29">
        <v>132</v>
      </c>
      <c r="B138" s="3" t="s">
        <v>656</v>
      </c>
      <c r="C138" s="13" t="s">
        <v>657</v>
      </c>
      <c r="D138" s="13" t="s">
        <v>658</v>
      </c>
      <c r="E138" s="13" t="s">
        <v>659</v>
      </c>
      <c r="F138" s="18" t="s">
        <v>1522</v>
      </c>
      <c r="G138" s="18">
        <v>45734</v>
      </c>
      <c r="H138" s="18" t="s">
        <v>35</v>
      </c>
      <c r="I138" s="13" t="s">
        <v>23</v>
      </c>
      <c r="J138" s="13" t="s">
        <v>24</v>
      </c>
      <c r="K138" s="13" t="s">
        <v>36</v>
      </c>
      <c r="L138" s="13" t="s">
        <v>37</v>
      </c>
      <c r="M138" s="13" t="s">
        <v>1621</v>
      </c>
      <c r="N138" s="4" t="s">
        <v>660</v>
      </c>
      <c r="O138" s="4" t="s">
        <v>28</v>
      </c>
      <c r="P138" s="1" t="s">
        <v>5</v>
      </c>
      <c r="Q138" s="1" t="s">
        <v>29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3">
        <f t="shared" si="32"/>
        <v>0</v>
      </c>
      <c r="AU138" s="3">
        <f t="shared" si="33"/>
        <v>1</v>
      </c>
      <c r="AV138" s="3">
        <f t="shared" si="34"/>
        <v>0</v>
      </c>
      <c r="AW138" s="3">
        <f t="shared" si="35"/>
        <v>0</v>
      </c>
      <c r="AX138" s="3">
        <f t="shared" si="36"/>
        <v>0</v>
      </c>
      <c r="AY138" s="3">
        <f t="shared" si="37"/>
        <v>1</v>
      </c>
      <c r="AZ138" s="3">
        <f t="shared" si="38"/>
        <v>0</v>
      </c>
      <c r="BA138" s="3">
        <f t="shared" si="39"/>
        <v>0</v>
      </c>
      <c r="BB138" s="3">
        <f t="shared" si="40"/>
        <v>0</v>
      </c>
      <c r="BC138" s="3">
        <f t="shared" si="41"/>
        <v>0</v>
      </c>
      <c r="BD138" s="3">
        <f t="shared" si="42"/>
        <v>0</v>
      </c>
      <c r="BE138" s="3">
        <f t="shared" si="43"/>
        <v>0</v>
      </c>
      <c r="BF138" s="3">
        <f t="shared" si="44"/>
        <v>0</v>
      </c>
      <c r="BG138" s="3">
        <f t="shared" si="45"/>
        <v>0</v>
      </c>
      <c r="BH138" s="3">
        <f t="shared" si="46"/>
        <v>0</v>
      </c>
      <c r="BI138" s="3">
        <f t="shared" si="47"/>
        <v>2</v>
      </c>
    </row>
    <row r="139" spans="1:61" x14ac:dyDescent="0.25">
      <c r="A139" s="29">
        <v>133</v>
      </c>
      <c r="B139" s="3" t="s">
        <v>833</v>
      </c>
      <c r="C139" s="13" t="s">
        <v>203</v>
      </c>
      <c r="D139" s="13" t="s">
        <v>463</v>
      </c>
      <c r="E139" s="13" t="s">
        <v>834</v>
      </c>
      <c r="F139" s="18" t="s">
        <v>138</v>
      </c>
      <c r="G139" s="18">
        <v>45736</v>
      </c>
      <c r="H139" s="18" t="s">
        <v>35</v>
      </c>
      <c r="I139" s="13" t="s">
        <v>23</v>
      </c>
      <c r="J139" s="13" t="s">
        <v>24</v>
      </c>
      <c r="K139" s="13" t="s">
        <v>36</v>
      </c>
      <c r="L139" s="13" t="s">
        <v>44</v>
      </c>
      <c r="M139" s="13" t="s">
        <v>1621</v>
      </c>
      <c r="N139" s="4" t="s">
        <v>835</v>
      </c>
      <c r="O139" s="4" t="s">
        <v>28</v>
      </c>
      <c r="P139" s="1" t="s">
        <v>5</v>
      </c>
      <c r="Q139" s="1" t="s">
        <v>29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3">
        <f t="shared" si="32"/>
        <v>0</v>
      </c>
      <c r="AU139" s="3">
        <f t="shared" si="33"/>
        <v>1</v>
      </c>
      <c r="AV139" s="3">
        <f t="shared" si="34"/>
        <v>0</v>
      </c>
      <c r="AW139" s="3">
        <f t="shared" si="35"/>
        <v>0</v>
      </c>
      <c r="AX139" s="3">
        <f t="shared" si="36"/>
        <v>0</v>
      </c>
      <c r="AY139" s="3">
        <f t="shared" si="37"/>
        <v>1</v>
      </c>
      <c r="AZ139" s="3">
        <f t="shared" si="38"/>
        <v>0</v>
      </c>
      <c r="BA139" s="3">
        <f t="shared" si="39"/>
        <v>0</v>
      </c>
      <c r="BB139" s="3">
        <f t="shared" si="40"/>
        <v>0</v>
      </c>
      <c r="BC139" s="3">
        <f t="shared" si="41"/>
        <v>0</v>
      </c>
      <c r="BD139" s="3">
        <f t="shared" si="42"/>
        <v>0</v>
      </c>
      <c r="BE139" s="3">
        <f t="shared" si="43"/>
        <v>0</v>
      </c>
      <c r="BF139" s="3">
        <f t="shared" si="44"/>
        <v>0</v>
      </c>
      <c r="BG139" s="3">
        <f t="shared" si="45"/>
        <v>0</v>
      </c>
      <c r="BH139" s="3">
        <f t="shared" si="46"/>
        <v>0</v>
      </c>
      <c r="BI139" s="3">
        <f t="shared" si="47"/>
        <v>2</v>
      </c>
    </row>
    <row r="140" spans="1:61" x14ac:dyDescent="0.25">
      <c r="A140" s="29">
        <v>134</v>
      </c>
      <c r="B140" s="3" t="s">
        <v>558</v>
      </c>
      <c r="C140" s="13" t="s">
        <v>259</v>
      </c>
      <c r="D140" s="13" t="s">
        <v>559</v>
      </c>
      <c r="E140" s="13" t="s">
        <v>560</v>
      </c>
      <c r="F140" s="18" t="s">
        <v>1522</v>
      </c>
      <c r="G140" s="18">
        <v>45736</v>
      </c>
      <c r="H140" s="18" t="s">
        <v>35</v>
      </c>
      <c r="I140" s="13" t="s">
        <v>23</v>
      </c>
      <c r="J140" s="13" t="s">
        <v>24</v>
      </c>
      <c r="K140" s="13" t="s">
        <v>43</v>
      </c>
      <c r="L140" s="13" t="s">
        <v>44</v>
      </c>
      <c r="M140" s="13" t="s">
        <v>1621</v>
      </c>
      <c r="N140" s="4" t="s">
        <v>561</v>
      </c>
      <c r="O140" s="4" t="s">
        <v>28</v>
      </c>
      <c r="P140" s="1" t="s">
        <v>29</v>
      </c>
      <c r="Q140" s="1" t="s">
        <v>5</v>
      </c>
      <c r="R140" s="1" t="s">
        <v>5</v>
      </c>
      <c r="S140" s="1" t="s">
        <v>5</v>
      </c>
      <c r="T140" s="1" t="s">
        <v>5</v>
      </c>
      <c r="U140" s="1" t="s">
        <v>5</v>
      </c>
      <c r="V140" s="1" t="s">
        <v>5</v>
      </c>
      <c r="W140" s="1" t="s">
        <v>5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3"/>
      <c r="AP140" s="1"/>
      <c r="AQ140" s="1"/>
      <c r="AR140" s="1"/>
      <c r="AS140" s="1"/>
      <c r="AT140" s="3">
        <f t="shared" si="32"/>
        <v>0</v>
      </c>
      <c r="AU140" s="3">
        <f t="shared" si="33"/>
        <v>1</v>
      </c>
      <c r="AV140" s="3">
        <f t="shared" si="34"/>
        <v>0</v>
      </c>
      <c r="AW140" s="3">
        <f t="shared" si="35"/>
        <v>0</v>
      </c>
      <c r="AX140" s="3">
        <f t="shared" si="36"/>
        <v>0</v>
      </c>
      <c r="AY140" s="3">
        <f t="shared" si="37"/>
        <v>7</v>
      </c>
      <c r="AZ140" s="3">
        <f t="shared" si="38"/>
        <v>0</v>
      </c>
      <c r="BA140" s="3">
        <f t="shared" si="39"/>
        <v>0</v>
      </c>
      <c r="BB140" s="3">
        <f t="shared" si="40"/>
        <v>0</v>
      </c>
      <c r="BC140" s="3">
        <f t="shared" si="41"/>
        <v>0</v>
      </c>
      <c r="BD140" s="3">
        <f t="shared" si="42"/>
        <v>0</v>
      </c>
      <c r="BE140" s="3">
        <f t="shared" si="43"/>
        <v>0</v>
      </c>
      <c r="BF140" s="3">
        <f t="shared" si="44"/>
        <v>0</v>
      </c>
      <c r="BG140" s="3">
        <f t="shared" si="45"/>
        <v>0</v>
      </c>
      <c r="BH140" s="3">
        <f t="shared" si="46"/>
        <v>0</v>
      </c>
      <c r="BI140" s="3">
        <f t="shared" si="47"/>
        <v>8</v>
      </c>
    </row>
    <row r="141" spans="1:61" x14ac:dyDescent="0.25">
      <c r="A141" s="29">
        <v>137</v>
      </c>
      <c r="B141" s="3" t="s">
        <v>798</v>
      </c>
      <c r="C141" s="13" t="s">
        <v>799</v>
      </c>
      <c r="D141" s="13" t="s">
        <v>135</v>
      </c>
      <c r="E141" s="13" t="s">
        <v>800</v>
      </c>
      <c r="F141" s="18" t="s">
        <v>138</v>
      </c>
      <c r="G141" s="18">
        <v>45736</v>
      </c>
      <c r="H141" s="18" t="s">
        <v>35</v>
      </c>
      <c r="I141" s="13" t="s">
        <v>23</v>
      </c>
      <c r="J141" s="13" t="s">
        <v>24</v>
      </c>
      <c r="K141" s="13" t="s">
        <v>377</v>
      </c>
      <c r="L141" s="13" t="s">
        <v>57</v>
      </c>
      <c r="M141" s="13" t="s">
        <v>1621</v>
      </c>
      <c r="N141" s="4" t="s">
        <v>801</v>
      </c>
      <c r="O141" s="4" t="s">
        <v>28</v>
      </c>
      <c r="P141" s="1" t="s">
        <v>39</v>
      </c>
      <c r="Q141" s="1" t="s">
        <v>5</v>
      </c>
      <c r="R141" s="1" t="s">
        <v>5</v>
      </c>
      <c r="S141" s="1" t="s">
        <v>5</v>
      </c>
      <c r="T141" s="1" t="s">
        <v>5</v>
      </c>
      <c r="U141" s="1" t="s">
        <v>5</v>
      </c>
      <c r="V141" s="1" t="s">
        <v>5</v>
      </c>
      <c r="W141" s="1" t="s">
        <v>5</v>
      </c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3">
        <f t="shared" si="32"/>
        <v>1</v>
      </c>
      <c r="AU141" s="3">
        <f t="shared" si="33"/>
        <v>0</v>
      </c>
      <c r="AV141" s="3">
        <f t="shared" si="34"/>
        <v>0</v>
      </c>
      <c r="AW141" s="3">
        <f t="shared" si="35"/>
        <v>0</v>
      </c>
      <c r="AX141" s="3">
        <f t="shared" si="36"/>
        <v>0</v>
      </c>
      <c r="AY141" s="3">
        <f t="shared" si="37"/>
        <v>7</v>
      </c>
      <c r="AZ141" s="3">
        <f t="shared" si="38"/>
        <v>0</v>
      </c>
      <c r="BA141" s="3">
        <f t="shared" si="39"/>
        <v>0</v>
      </c>
      <c r="BB141" s="3">
        <f t="shared" si="40"/>
        <v>0</v>
      </c>
      <c r="BC141" s="3">
        <f t="shared" si="41"/>
        <v>0</v>
      </c>
      <c r="BD141" s="3">
        <f t="shared" si="42"/>
        <v>0</v>
      </c>
      <c r="BE141" s="3">
        <f t="shared" si="43"/>
        <v>0</v>
      </c>
      <c r="BF141" s="3">
        <f t="shared" si="44"/>
        <v>0</v>
      </c>
      <c r="BG141" s="3">
        <f t="shared" si="45"/>
        <v>0</v>
      </c>
      <c r="BH141" s="3">
        <f t="shared" si="46"/>
        <v>0</v>
      </c>
      <c r="BI141" s="3">
        <f t="shared" si="47"/>
        <v>8</v>
      </c>
    </row>
    <row r="142" spans="1:61" x14ac:dyDescent="0.25">
      <c r="A142" s="29">
        <v>135</v>
      </c>
      <c r="B142" s="3" t="s">
        <v>852</v>
      </c>
      <c r="C142" s="13" t="s">
        <v>826</v>
      </c>
      <c r="D142" s="13" t="s">
        <v>853</v>
      </c>
      <c r="E142" s="13" t="s">
        <v>854</v>
      </c>
      <c r="F142" s="18" t="s">
        <v>34</v>
      </c>
      <c r="G142" s="18">
        <v>45736</v>
      </c>
      <c r="H142" s="18" t="s">
        <v>35</v>
      </c>
      <c r="I142" s="13" t="s">
        <v>23</v>
      </c>
      <c r="J142" s="13" t="s">
        <v>24</v>
      </c>
      <c r="K142" s="13" t="s">
        <v>56</v>
      </c>
      <c r="L142" s="13" t="s">
        <v>57</v>
      </c>
      <c r="M142" s="13" t="s">
        <v>1621</v>
      </c>
      <c r="N142" s="4" t="s">
        <v>855</v>
      </c>
      <c r="O142" s="4" t="s">
        <v>28</v>
      </c>
      <c r="P142" s="1" t="s">
        <v>39</v>
      </c>
      <c r="Q142" s="1" t="s">
        <v>5</v>
      </c>
      <c r="R142" s="1" t="s">
        <v>5</v>
      </c>
      <c r="S142" s="1" t="s">
        <v>5</v>
      </c>
      <c r="T142" s="1" t="s">
        <v>5</v>
      </c>
      <c r="U142" s="1" t="s">
        <v>5</v>
      </c>
      <c r="V142" s="1" t="s">
        <v>5</v>
      </c>
      <c r="W142" s="1" t="s">
        <v>5</v>
      </c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3">
        <f t="shared" si="32"/>
        <v>1</v>
      </c>
      <c r="AU142" s="3">
        <f t="shared" si="33"/>
        <v>0</v>
      </c>
      <c r="AV142" s="3">
        <f t="shared" si="34"/>
        <v>0</v>
      </c>
      <c r="AW142" s="3">
        <f t="shared" si="35"/>
        <v>0</v>
      </c>
      <c r="AX142" s="3">
        <f t="shared" si="36"/>
        <v>0</v>
      </c>
      <c r="AY142" s="3">
        <f t="shared" si="37"/>
        <v>7</v>
      </c>
      <c r="AZ142" s="3">
        <f t="shared" si="38"/>
        <v>0</v>
      </c>
      <c r="BA142" s="3">
        <f t="shared" si="39"/>
        <v>0</v>
      </c>
      <c r="BB142" s="3">
        <f t="shared" si="40"/>
        <v>0</v>
      </c>
      <c r="BC142" s="3">
        <f t="shared" si="41"/>
        <v>0</v>
      </c>
      <c r="BD142" s="3">
        <f t="shared" si="42"/>
        <v>0</v>
      </c>
      <c r="BE142" s="3">
        <f t="shared" si="43"/>
        <v>0</v>
      </c>
      <c r="BF142" s="3">
        <f t="shared" si="44"/>
        <v>0</v>
      </c>
      <c r="BG142" s="3">
        <f t="shared" si="45"/>
        <v>0</v>
      </c>
      <c r="BH142" s="3">
        <f t="shared" si="46"/>
        <v>0</v>
      </c>
      <c r="BI142" s="3">
        <f t="shared" si="47"/>
        <v>8</v>
      </c>
    </row>
    <row r="143" spans="1:61" x14ac:dyDescent="0.25">
      <c r="A143" s="29">
        <v>136</v>
      </c>
      <c r="B143" s="3" t="s">
        <v>529</v>
      </c>
      <c r="C143" s="13" t="s">
        <v>530</v>
      </c>
      <c r="D143" s="13" t="s">
        <v>531</v>
      </c>
      <c r="E143" s="13" t="s">
        <v>532</v>
      </c>
      <c r="F143" s="18" t="s">
        <v>102</v>
      </c>
      <c r="G143" s="18">
        <v>45736</v>
      </c>
      <c r="H143" s="18" t="s">
        <v>35</v>
      </c>
      <c r="I143" s="13" t="s">
        <v>23</v>
      </c>
      <c r="J143" s="13" t="s">
        <v>24</v>
      </c>
      <c r="K143" s="13" t="s">
        <v>43</v>
      </c>
      <c r="L143" s="13" t="s">
        <v>85</v>
      </c>
      <c r="M143" s="13" t="s">
        <v>1621</v>
      </c>
      <c r="N143" s="4" t="s">
        <v>533</v>
      </c>
      <c r="O143" s="4" t="s">
        <v>28</v>
      </c>
      <c r="P143" s="1" t="s">
        <v>29</v>
      </c>
      <c r="Q143" s="1" t="s">
        <v>5</v>
      </c>
      <c r="R143" s="1" t="s">
        <v>5</v>
      </c>
      <c r="S143" s="1" t="s">
        <v>5</v>
      </c>
      <c r="T143" s="1" t="s">
        <v>5</v>
      </c>
      <c r="U143" s="1" t="s">
        <v>5</v>
      </c>
      <c r="V143" s="1" t="s">
        <v>5</v>
      </c>
      <c r="W143" s="1" t="s">
        <v>5</v>
      </c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3"/>
      <c r="AP143" s="1"/>
      <c r="AQ143" s="1"/>
      <c r="AR143" s="1"/>
      <c r="AS143" s="1"/>
      <c r="AT143" s="3">
        <f t="shared" si="32"/>
        <v>0</v>
      </c>
      <c r="AU143" s="3">
        <f t="shared" si="33"/>
        <v>1</v>
      </c>
      <c r="AV143" s="3">
        <f t="shared" si="34"/>
        <v>0</v>
      </c>
      <c r="AW143" s="3">
        <f t="shared" si="35"/>
        <v>0</v>
      </c>
      <c r="AX143" s="3">
        <f t="shared" si="36"/>
        <v>0</v>
      </c>
      <c r="AY143" s="3">
        <f t="shared" si="37"/>
        <v>7</v>
      </c>
      <c r="AZ143" s="3">
        <f t="shared" si="38"/>
        <v>0</v>
      </c>
      <c r="BA143" s="3">
        <f t="shared" si="39"/>
        <v>0</v>
      </c>
      <c r="BB143" s="3">
        <f t="shared" si="40"/>
        <v>0</v>
      </c>
      <c r="BC143" s="3">
        <f t="shared" si="41"/>
        <v>0</v>
      </c>
      <c r="BD143" s="3">
        <f t="shared" si="42"/>
        <v>0</v>
      </c>
      <c r="BE143" s="3">
        <f t="shared" si="43"/>
        <v>0</v>
      </c>
      <c r="BF143" s="3">
        <f t="shared" si="44"/>
        <v>0</v>
      </c>
      <c r="BG143" s="3">
        <f t="shared" si="45"/>
        <v>0</v>
      </c>
      <c r="BH143" s="3">
        <f t="shared" si="46"/>
        <v>0</v>
      </c>
      <c r="BI143" s="3">
        <f t="shared" si="47"/>
        <v>8</v>
      </c>
    </row>
    <row r="144" spans="1:61" x14ac:dyDescent="0.25">
      <c r="A144" s="29">
        <v>139</v>
      </c>
      <c r="B144" s="3" t="s">
        <v>984</v>
      </c>
      <c r="C144" s="13" t="s">
        <v>985</v>
      </c>
      <c r="D144" s="13" t="s">
        <v>986</v>
      </c>
      <c r="E144" s="13" t="s">
        <v>987</v>
      </c>
      <c r="F144" s="18" t="s">
        <v>1522</v>
      </c>
      <c r="G144" s="18">
        <v>45736</v>
      </c>
      <c r="H144" s="18" t="s">
        <v>35</v>
      </c>
      <c r="I144" s="13" t="s">
        <v>23</v>
      </c>
      <c r="J144" s="13" t="s">
        <v>24</v>
      </c>
      <c r="K144" s="13" t="s">
        <v>43</v>
      </c>
      <c r="L144" s="13" t="s">
        <v>44</v>
      </c>
      <c r="M144" s="13" t="s">
        <v>1621</v>
      </c>
      <c r="N144" s="4" t="s">
        <v>988</v>
      </c>
      <c r="O144" s="4" t="s">
        <v>28</v>
      </c>
      <c r="P144" s="1" t="s">
        <v>29</v>
      </c>
      <c r="Q144" s="1" t="s">
        <v>5</v>
      </c>
      <c r="R144" s="1" t="s">
        <v>5</v>
      </c>
      <c r="S144" s="1" t="s">
        <v>5</v>
      </c>
      <c r="T144" s="1" t="s">
        <v>5</v>
      </c>
      <c r="U144" s="1" t="s">
        <v>5</v>
      </c>
      <c r="V144" s="1" t="s">
        <v>5</v>
      </c>
      <c r="W144" s="1" t="s">
        <v>5</v>
      </c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3">
        <f t="shared" si="32"/>
        <v>0</v>
      </c>
      <c r="AU144" s="3">
        <f t="shared" si="33"/>
        <v>1</v>
      </c>
      <c r="AV144" s="3">
        <f t="shared" si="34"/>
        <v>0</v>
      </c>
      <c r="AW144" s="3">
        <f t="shared" si="35"/>
        <v>0</v>
      </c>
      <c r="AX144" s="3">
        <f t="shared" si="36"/>
        <v>0</v>
      </c>
      <c r="AY144" s="3">
        <f t="shared" si="37"/>
        <v>7</v>
      </c>
      <c r="AZ144" s="3">
        <f t="shared" si="38"/>
        <v>0</v>
      </c>
      <c r="BA144" s="3">
        <f t="shared" si="39"/>
        <v>0</v>
      </c>
      <c r="BB144" s="3">
        <f t="shared" si="40"/>
        <v>0</v>
      </c>
      <c r="BC144" s="3">
        <f t="shared" si="41"/>
        <v>0</v>
      </c>
      <c r="BD144" s="3">
        <f t="shared" si="42"/>
        <v>0</v>
      </c>
      <c r="BE144" s="3">
        <f t="shared" si="43"/>
        <v>0</v>
      </c>
      <c r="BF144" s="3">
        <f t="shared" si="44"/>
        <v>0</v>
      </c>
      <c r="BG144" s="3">
        <f t="shared" si="45"/>
        <v>0</v>
      </c>
      <c r="BH144" s="3">
        <f t="shared" si="46"/>
        <v>0</v>
      </c>
      <c r="BI144" s="3">
        <f t="shared" si="47"/>
        <v>8</v>
      </c>
    </row>
    <row r="145" spans="1:61" x14ac:dyDescent="0.25">
      <c r="A145" s="29">
        <v>140</v>
      </c>
      <c r="B145" s="3" t="s">
        <v>75</v>
      </c>
      <c r="C145" s="13" t="s">
        <v>76</v>
      </c>
      <c r="D145" s="13" t="s">
        <v>71</v>
      </c>
      <c r="E145" s="13" t="s">
        <v>77</v>
      </c>
      <c r="F145" s="18" t="s">
        <v>34</v>
      </c>
      <c r="G145" s="18">
        <v>45736</v>
      </c>
      <c r="H145" s="18" t="s">
        <v>35</v>
      </c>
      <c r="I145" s="13" t="s">
        <v>23</v>
      </c>
      <c r="J145" s="13" t="s">
        <v>24</v>
      </c>
      <c r="K145" s="13" t="s">
        <v>56</v>
      </c>
      <c r="L145" s="13" t="s">
        <v>57</v>
      </c>
      <c r="M145" s="13" t="s">
        <v>1621</v>
      </c>
      <c r="N145" s="4" t="s">
        <v>78</v>
      </c>
      <c r="O145" s="4" t="s">
        <v>28</v>
      </c>
      <c r="P145" s="1" t="s">
        <v>92</v>
      </c>
      <c r="Q145" s="1" t="s">
        <v>92</v>
      </c>
      <c r="R145" s="1" t="s">
        <v>92</v>
      </c>
      <c r="S145" s="1" t="s">
        <v>92</v>
      </c>
      <c r="T145" s="1" t="s">
        <v>92</v>
      </c>
      <c r="U145" s="1" t="s">
        <v>92</v>
      </c>
      <c r="V145" s="1" t="s">
        <v>92</v>
      </c>
      <c r="W145" s="1" t="s">
        <v>92</v>
      </c>
      <c r="X145" s="1" t="s">
        <v>92</v>
      </c>
      <c r="Y145" s="1" t="s">
        <v>92</v>
      </c>
      <c r="Z145" s="1" t="s">
        <v>92</v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3">
        <f t="shared" si="32"/>
        <v>0</v>
      </c>
      <c r="AU145" s="3">
        <f t="shared" si="33"/>
        <v>0</v>
      </c>
      <c r="AV145" s="3">
        <f t="shared" si="34"/>
        <v>0</v>
      </c>
      <c r="AW145" s="3">
        <f t="shared" si="35"/>
        <v>0</v>
      </c>
      <c r="AX145" s="3">
        <f t="shared" si="36"/>
        <v>0</v>
      </c>
      <c r="AY145" s="3">
        <f t="shared" si="37"/>
        <v>0</v>
      </c>
      <c r="AZ145" s="3">
        <f t="shared" si="38"/>
        <v>0</v>
      </c>
      <c r="BA145" s="3">
        <f t="shared" si="39"/>
        <v>11</v>
      </c>
      <c r="BB145" s="3">
        <f t="shared" si="40"/>
        <v>0</v>
      </c>
      <c r="BC145" s="3">
        <f t="shared" si="41"/>
        <v>0</v>
      </c>
      <c r="BD145" s="3">
        <f t="shared" si="42"/>
        <v>0</v>
      </c>
      <c r="BE145" s="3">
        <f t="shared" si="43"/>
        <v>0</v>
      </c>
      <c r="BF145" s="3">
        <f t="shared" si="44"/>
        <v>0</v>
      </c>
      <c r="BG145" s="3">
        <f t="shared" si="45"/>
        <v>0</v>
      </c>
      <c r="BH145" s="3">
        <f t="shared" si="46"/>
        <v>0</v>
      </c>
      <c r="BI145" s="3">
        <f t="shared" si="47"/>
        <v>0</v>
      </c>
    </row>
    <row r="146" spans="1:61" x14ac:dyDescent="0.25">
      <c r="A146" s="29">
        <v>141</v>
      </c>
      <c r="B146" s="3" t="s">
        <v>60</v>
      </c>
      <c r="C146" s="13" t="s">
        <v>61</v>
      </c>
      <c r="D146" s="13" t="s">
        <v>53</v>
      </c>
      <c r="E146" s="13" t="s">
        <v>62</v>
      </c>
      <c r="F146" s="18" t="s">
        <v>1522</v>
      </c>
      <c r="G146" s="18">
        <v>45736</v>
      </c>
      <c r="H146" s="18" t="s">
        <v>35</v>
      </c>
      <c r="I146" s="13" t="s">
        <v>23</v>
      </c>
      <c r="J146" s="13" t="s">
        <v>24</v>
      </c>
      <c r="K146" s="13" t="s">
        <v>43</v>
      </c>
      <c r="L146" s="13" t="s">
        <v>44</v>
      </c>
      <c r="M146" s="13" t="s">
        <v>1621</v>
      </c>
      <c r="N146" s="4" t="s">
        <v>63</v>
      </c>
      <c r="O146" s="4" t="s">
        <v>28</v>
      </c>
      <c r="P146" s="1" t="s">
        <v>29</v>
      </c>
      <c r="Q146" s="1" t="s">
        <v>5</v>
      </c>
      <c r="R146" s="1" t="s">
        <v>5</v>
      </c>
      <c r="S146" s="1" t="s">
        <v>5</v>
      </c>
      <c r="T146" s="1" t="s">
        <v>5</v>
      </c>
      <c r="U146" s="1" t="s">
        <v>5</v>
      </c>
      <c r="V146" s="1" t="s">
        <v>5</v>
      </c>
      <c r="W146" s="1" t="s">
        <v>5</v>
      </c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3">
        <f t="shared" si="32"/>
        <v>0</v>
      </c>
      <c r="AU146" s="3">
        <f t="shared" si="33"/>
        <v>1</v>
      </c>
      <c r="AV146" s="3">
        <f t="shared" si="34"/>
        <v>0</v>
      </c>
      <c r="AW146" s="3">
        <f t="shared" si="35"/>
        <v>0</v>
      </c>
      <c r="AX146" s="3">
        <f t="shared" si="36"/>
        <v>0</v>
      </c>
      <c r="AY146" s="3">
        <f t="shared" si="37"/>
        <v>7</v>
      </c>
      <c r="AZ146" s="3">
        <f t="shared" si="38"/>
        <v>0</v>
      </c>
      <c r="BA146" s="3">
        <f t="shared" si="39"/>
        <v>0</v>
      </c>
      <c r="BB146" s="3">
        <f t="shared" si="40"/>
        <v>0</v>
      </c>
      <c r="BC146" s="3">
        <f t="shared" si="41"/>
        <v>0</v>
      </c>
      <c r="BD146" s="3">
        <f t="shared" si="42"/>
        <v>0</v>
      </c>
      <c r="BE146" s="3">
        <f t="shared" si="43"/>
        <v>0</v>
      </c>
      <c r="BF146" s="3">
        <f t="shared" si="44"/>
        <v>0</v>
      </c>
      <c r="BG146" s="3">
        <f t="shared" si="45"/>
        <v>0</v>
      </c>
      <c r="BH146" s="3">
        <f t="shared" si="46"/>
        <v>0</v>
      </c>
      <c r="BI146" s="3">
        <f t="shared" si="47"/>
        <v>8</v>
      </c>
    </row>
    <row r="147" spans="1:61" x14ac:dyDescent="0.25">
      <c r="A147" s="29">
        <v>142</v>
      </c>
      <c r="B147" s="3" t="s">
        <v>862</v>
      </c>
      <c r="C147" s="13" t="s">
        <v>771</v>
      </c>
      <c r="D147" s="13" t="s">
        <v>426</v>
      </c>
      <c r="E147" s="13" t="s">
        <v>219</v>
      </c>
      <c r="F147" s="18" t="s">
        <v>73</v>
      </c>
      <c r="G147" s="18">
        <v>45736</v>
      </c>
      <c r="H147" s="18" t="s">
        <v>35</v>
      </c>
      <c r="I147" s="13" t="s">
        <v>23</v>
      </c>
      <c r="J147" s="13" t="s">
        <v>24</v>
      </c>
      <c r="K147" s="13" t="s">
        <v>36</v>
      </c>
      <c r="L147" s="13" t="s">
        <v>37</v>
      </c>
      <c r="M147" s="13" t="s">
        <v>1621</v>
      </c>
      <c r="N147" s="4" t="s">
        <v>863</v>
      </c>
      <c r="O147" s="4" t="s">
        <v>28</v>
      </c>
      <c r="P147" s="1" t="s">
        <v>5</v>
      </c>
      <c r="Q147" s="1" t="s">
        <v>29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3">
        <f t="shared" si="32"/>
        <v>0</v>
      </c>
      <c r="AU147" s="3">
        <f t="shared" si="33"/>
        <v>1</v>
      </c>
      <c r="AV147" s="3">
        <f t="shared" si="34"/>
        <v>0</v>
      </c>
      <c r="AW147" s="3">
        <f t="shared" si="35"/>
        <v>0</v>
      </c>
      <c r="AX147" s="3">
        <f t="shared" si="36"/>
        <v>0</v>
      </c>
      <c r="AY147" s="3">
        <f t="shared" si="37"/>
        <v>1</v>
      </c>
      <c r="AZ147" s="3">
        <f t="shared" si="38"/>
        <v>0</v>
      </c>
      <c r="BA147" s="3">
        <f t="shared" si="39"/>
        <v>0</v>
      </c>
      <c r="BB147" s="3">
        <f t="shared" si="40"/>
        <v>0</v>
      </c>
      <c r="BC147" s="3">
        <f t="shared" si="41"/>
        <v>0</v>
      </c>
      <c r="BD147" s="3">
        <f t="shared" si="42"/>
        <v>0</v>
      </c>
      <c r="BE147" s="3">
        <f t="shared" si="43"/>
        <v>0</v>
      </c>
      <c r="BF147" s="3">
        <f t="shared" si="44"/>
        <v>0</v>
      </c>
      <c r="BG147" s="3">
        <f t="shared" si="45"/>
        <v>0</v>
      </c>
      <c r="BH147" s="3">
        <f t="shared" si="46"/>
        <v>0</v>
      </c>
      <c r="BI147" s="3">
        <f t="shared" si="47"/>
        <v>2</v>
      </c>
    </row>
    <row r="148" spans="1:61" x14ac:dyDescent="0.25">
      <c r="A148" s="29">
        <v>143</v>
      </c>
      <c r="B148" s="3" t="s">
        <v>824</v>
      </c>
      <c r="C148" s="13" t="s">
        <v>825</v>
      </c>
      <c r="D148" s="3" t="s">
        <v>826</v>
      </c>
      <c r="E148" s="3" t="s">
        <v>827</v>
      </c>
      <c r="F148" s="18" t="s">
        <v>1522</v>
      </c>
      <c r="G148" s="18">
        <v>45740</v>
      </c>
      <c r="H148" s="18" t="s">
        <v>35</v>
      </c>
      <c r="I148" s="13" t="s">
        <v>23</v>
      </c>
      <c r="J148" s="13" t="s">
        <v>24</v>
      </c>
      <c r="K148" s="13" t="s">
        <v>43</v>
      </c>
      <c r="L148" s="13" t="s">
        <v>44</v>
      </c>
      <c r="M148" s="13" t="s">
        <v>1621</v>
      </c>
      <c r="N148" s="4" t="s">
        <v>828</v>
      </c>
      <c r="O148" s="4" t="s">
        <v>28</v>
      </c>
      <c r="P148" s="1" t="s">
        <v>92</v>
      </c>
      <c r="Q148" s="1" t="s">
        <v>92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3">
        <f t="shared" si="32"/>
        <v>0</v>
      </c>
      <c r="AU148" s="3">
        <f t="shared" si="33"/>
        <v>0</v>
      </c>
      <c r="AV148" s="3">
        <f t="shared" si="34"/>
        <v>0</v>
      </c>
      <c r="AW148" s="3">
        <f t="shared" si="35"/>
        <v>0</v>
      </c>
      <c r="AX148" s="3">
        <f t="shared" si="36"/>
        <v>0</v>
      </c>
      <c r="AY148" s="3">
        <f t="shared" si="37"/>
        <v>0</v>
      </c>
      <c r="AZ148" s="3">
        <f t="shared" si="38"/>
        <v>0</v>
      </c>
      <c r="BA148" s="3">
        <f t="shared" si="39"/>
        <v>2</v>
      </c>
      <c r="BB148" s="3">
        <f t="shared" si="40"/>
        <v>0</v>
      </c>
      <c r="BC148" s="3">
        <f t="shared" si="41"/>
        <v>0</v>
      </c>
      <c r="BD148" s="3">
        <f t="shared" si="42"/>
        <v>0</v>
      </c>
      <c r="BE148" s="3">
        <f t="shared" si="43"/>
        <v>0</v>
      </c>
      <c r="BF148" s="3">
        <f t="shared" si="44"/>
        <v>0</v>
      </c>
      <c r="BG148" s="3">
        <f t="shared" si="45"/>
        <v>0</v>
      </c>
      <c r="BH148" s="3">
        <f t="shared" si="46"/>
        <v>0</v>
      </c>
      <c r="BI148" s="3">
        <f t="shared" si="47"/>
        <v>0</v>
      </c>
    </row>
    <row r="149" spans="1:61" x14ac:dyDescent="0.25">
      <c r="A149" s="29">
        <v>144</v>
      </c>
      <c r="B149" s="3" t="s">
        <v>228</v>
      </c>
      <c r="C149" s="13" t="s">
        <v>229</v>
      </c>
      <c r="D149" s="13" t="s">
        <v>230</v>
      </c>
      <c r="E149" s="13" t="s">
        <v>231</v>
      </c>
      <c r="F149" s="18" t="s">
        <v>1528</v>
      </c>
      <c r="G149" s="18">
        <v>45740</v>
      </c>
      <c r="H149" s="18" t="s">
        <v>35</v>
      </c>
      <c r="I149" s="13" t="s">
        <v>23</v>
      </c>
      <c r="J149" s="13" t="s">
        <v>24</v>
      </c>
      <c r="K149" s="13" t="s">
        <v>56</v>
      </c>
      <c r="L149" s="13" t="s">
        <v>57</v>
      </c>
      <c r="M149" s="13" t="s">
        <v>1621</v>
      </c>
      <c r="N149" s="4" t="s">
        <v>232</v>
      </c>
      <c r="O149" s="4" t="s">
        <v>28</v>
      </c>
      <c r="P149" s="1" t="s">
        <v>39</v>
      </c>
      <c r="Q149" s="1" t="s">
        <v>5</v>
      </c>
      <c r="R149" s="1" t="s">
        <v>5</v>
      </c>
      <c r="S149" s="1" t="s">
        <v>5</v>
      </c>
      <c r="T149" s="1" t="s">
        <v>5</v>
      </c>
      <c r="U149" s="1" t="s">
        <v>5</v>
      </c>
      <c r="V149" s="1" t="s">
        <v>5</v>
      </c>
      <c r="W149" s="1" t="s">
        <v>5</v>
      </c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3">
        <f t="shared" si="32"/>
        <v>1</v>
      </c>
      <c r="AU149" s="3">
        <f t="shared" si="33"/>
        <v>0</v>
      </c>
      <c r="AV149" s="3">
        <f t="shared" si="34"/>
        <v>0</v>
      </c>
      <c r="AW149" s="3">
        <f t="shared" si="35"/>
        <v>0</v>
      </c>
      <c r="AX149" s="3">
        <f t="shared" si="36"/>
        <v>0</v>
      </c>
      <c r="AY149" s="3">
        <f t="shared" si="37"/>
        <v>7</v>
      </c>
      <c r="AZ149" s="3">
        <f t="shared" si="38"/>
        <v>0</v>
      </c>
      <c r="BA149" s="3">
        <f t="shared" si="39"/>
        <v>0</v>
      </c>
      <c r="BB149" s="3">
        <f t="shared" si="40"/>
        <v>0</v>
      </c>
      <c r="BC149" s="3">
        <f t="shared" si="41"/>
        <v>0</v>
      </c>
      <c r="BD149" s="3">
        <f t="shared" si="42"/>
        <v>0</v>
      </c>
      <c r="BE149" s="3">
        <f t="shared" si="43"/>
        <v>0</v>
      </c>
      <c r="BF149" s="3">
        <f t="shared" si="44"/>
        <v>0</v>
      </c>
      <c r="BG149" s="3">
        <f t="shared" si="45"/>
        <v>0</v>
      </c>
      <c r="BH149" s="3">
        <f t="shared" si="46"/>
        <v>0</v>
      </c>
      <c r="BI149" s="3">
        <f t="shared" si="47"/>
        <v>8</v>
      </c>
    </row>
    <row r="150" spans="1:61" x14ac:dyDescent="0.25">
      <c r="A150" s="29">
        <v>145</v>
      </c>
      <c r="B150" s="3" t="s">
        <v>145</v>
      </c>
      <c r="C150" s="13" t="s">
        <v>146</v>
      </c>
      <c r="D150" s="13" t="s">
        <v>147</v>
      </c>
      <c r="E150" s="13" t="s">
        <v>148</v>
      </c>
      <c r="F150" s="18" t="s">
        <v>1546</v>
      </c>
      <c r="G150" s="18">
        <v>45740</v>
      </c>
      <c r="H150" s="18" t="s">
        <v>35</v>
      </c>
      <c r="I150" s="13" t="s">
        <v>23</v>
      </c>
      <c r="J150" s="13" t="s">
        <v>24</v>
      </c>
      <c r="K150" s="13" t="s">
        <v>56</v>
      </c>
      <c r="L150" s="13" t="s">
        <v>150</v>
      </c>
      <c r="M150" s="13" t="s">
        <v>1621</v>
      </c>
      <c r="N150" s="4" t="s">
        <v>151</v>
      </c>
      <c r="O150" s="4" t="s">
        <v>28</v>
      </c>
      <c r="P150" s="1" t="s">
        <v>39</v>
      </c>
      <c r="Q150" s="1" t="s">
        <v>5</v>
      </c>
      <c r="R150" s="1" t="s">
        <v>5</v>
      </c>
      <c r="S150" s="1" t="s">
        <v>5</v>
      </c>
      <c r="T150" s="1" t="s">
        <v>5</v>
      </c>
      <c r="U150" s="1" t="s">
        <v>5</v>
      </c>
      <c r="V150" s="1" t="s">
        <v>5</v>
      </c>
      <c r="W150" s="1" t="s">
        <v>5</v>
      </c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3">
        <f t="shared" si="32"/>
        <v>1</v>
      </c>
      <c r="AU150" s="3">
        <f t="shared" si="33"/>
        <v>0</v>
      </c>
      <c r="AV150" s="3">
        <f t="shared" si="34"/>
        <v>0</v>
      </c>
      <c r="AW150" s="3">
        <f t="shared" si="35"/>
        <v>0</v>
      </c>
      <c r="AX150" s="3">
        <f t="shared" si="36"/>
        <v>0</v>
      </c>
      <c r="AY150" s="3">
        <f t="shared" si="37"/>
        <v>7</v>
      </c>
      <c r="AZ150" s="3">
        <f t="shared" si="38"/>
        <v>0</v>
      </c>
      <c r="BA150" s="3">
        <f t="shared" si="39"/>
        <v>0</v>
      </c>
      <c r="BB150" s="3">
        <f t="shared" si="40"/>
        <v>0</v>
      </c>
      <c r="BC150" s="3">
        <f t="shared" si="41"/>
        <v>0</v>
      </c>
      <c r="BD150" s="3">
        <f t="shared" si="42"/>
        <v>0</v>
      </c>
      <c r="BE150" s="3">
        <f t="shared" si="43"/>
        <v>0</v>
      </c>
      <c r="BF150" s="3">
        <f t="shared" si="44"/>
        <v>0</v>
      </c>
      <c r="BG150" s="3">
        <f t="shared" si="45"/>
        <v>0</v>
      </c>
      <c r="BH150" s="3">
        <f t="shared" si="46"/>
        <v>0</v>
      </c>
      <c r="BI150" s="3">
        <f t="shared" si="47"/>
        <v>8</v>
      </c>
    </row>
    <row r="151" spans="1:61" x14ac:dyDescent="0.25">
      <c r="A151" s="29">
        <v>147</v>
      </c>
      <c r="B151" s="3" t="s">
        <v>583</v>
      </c>
      <c r="C151" s="13" t="s">
        <v>584</v>
      </c>
      <c r="D151" s="13" t="s">
        <v>157</v>
      </c>
      <c r="E151" s="13" t="s">
        <v>585</v>
      </c>
      <c r="F151" s="18" t="s">
        <v>1522</v>
      </c>
      <c r="G151" s="18">
        <v>45741</v>
      </c>
      <c r="H151" s="18" t="s">
        <v>35</v>
      </c>
      <c r="I151" s="13" t="s">
        <v>23</v>
      </c>
      <c r="J151" s="13" t="s">
        <v>24</v>
      </c>
      <c r="K151" s="13" t="s">
        <v>43</v>
      </c>
      <c r="L151" s="13" t="s">
        <v>44</v>
      </c>
      <c r="M151" s="13" t="s">
        <v>1621</v>
      </c>
      <c r="N151" s="4" t="s">
        <v>586</v>
      </c>
      <c r="O151" s="4" t="s">
        <v>28</v>
      </c>
      <c r="P151" s="1" t="s">
        <v>29</v>
      </c>
      <c r="Q151" s="1" t="s">
        <v>5</v>
      </c>
      <c r="R151" s="1" t="s">
        <v>5</v>
      </c>
      <c r="S151" s="1" t="s">
        <v>5</v>
      </c>
      <c r="T151" s="1" t="s">
        <v>5</v>
      </c>
      <c r="U151" s="1" t="s">
        <v>5</v>
      </c>
      <c r="V151" s="1" t="s">
        <v>5</v>
      </c>
      <c r="W151" s="1" t="s">
        <v>5</v>
      </c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3">
        <f t="shared" si="32"/>
        <v>0</v>
      </c>
      <c r="AU151" s="3">
        <f t="shared" si="33"/>
        <v>1</v>
      </c>
      <c r="AV151" s="3">
        <f t="shared" si="34"/>
        <v>0</v>
      </c>
      <c r="AW151" s="3">
        <f t="shared" si="35"/>
        <v>0</v>
      </c>
      <c r="AX151" s="3">
        <f t="shared" si="36"/>
        <v>0</v>
      </c>
      <c r="AY151" s="3">
        <f t="shared" si="37"/>
        <v>7</v>
      </c>
      <c r="AZ151" s="3">
        <f t="shared" si="38"/>
        <v>0</v>
      </c>
      <c r="BA151" s="3">
        <f t="shared" si="39"/>
        <v>0</v>
      </c>
      <c r="BB151" s="3">
        <f t="shared" si="40"/>
        <v>0</v>
      </c>
      <c r="BC151" s="3">
        <f t="shared" si="41"/>
        <v>0</v>
      </c>
      <c r="BD151" s="3">
        <f t="shared" si="42"/>
        <v>0</v>
      </c>
      <c r="BE151" s="3">
        <f t="shared" si="43"/>
        <v>0</v>
      </c>
      <c r="BF151" s="3">
        <f t="shared" si="44"/>
        <v>0</v>
      </c>
      <c r="BG151" s="3">
        <f t="shared" si="45"/>
        <v>0</v>
      </c>
      <c r="BH151" s="3">
        <f t="shared" si="46"/>
        <v>0</v>
      </c>
      <c r="BI151" s="3">
        <f t="shared" si="47"/>
        <v>8</v>
      </c>
    </row>
    <row r="152" spans="1:61" x14ac:dyDescent="0.25">
      <c r="A152" s="29">
        <v>146</v>
      </c>
      <c r="B152" s="3" t="s">
        <v>977</v>
      </c>
      <c r="C152" s="13" t="s">
        <v>795</v>
      </c>
      <c r="D152" s="13" t="s">
        <v>978</v>
      </c>
      <c r="E152" s="13" t="s">
        <v>979</v>
      </c>
      <c r="F152" s="18" t="s">
        <v>34</v>
      </c>
      <c r="G152" s="18">
        <v>45741</v>
      </c>
      <c r="H152" s="18" t="s">
        <v>35</v>
      </c>
      <c r="I152" s="13" t="s">
        <v>23</v>
      </c>
      <c r="J152" s="13" t="s">
        <v>24</v>
      </c>
      <c r="K152" s="13" t="s">
        <v>56</v>
      </c>
      <c r="L152" s="13" t="s">
        <v>57</v>
      </c>
      <c r="M152" s="13" t="s">
        <v>1621</v>
      </c>
      <c r="N152" s="4" t="s">
        <v>980</v>
      </c>
      <c r="O152" s="4" t="s">
        <v>28</v>
      </c>
      <c r="P152" s="1" t="s">
        <v>39</v>
      </c>
      <c r="Q152" s="1" t="s">
        <v>5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5</v>
      </c>
      <c r="W152" s="1" t="s">
        <v>5</v>
      </c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3">
        <f t="shared" si="32"/>
        <v>1</v>
      </c>
      <c r="AU152" s="3">
        <f t="shared" si="33"/>
        <v>0</v>
      </c>
      <c r="AV152" s="3">
        <f t="shared" si="34"/>
        <v>0</v>
      </c>
      <c r="AW152" s="3">
        <f t="shared" si="35"/>
        <v>0</v>
      </c>
      <c r="AX152" s="3">
        <f t="shared" si="36"/>
        <v>0</v>
      </c>
      <c r="AY152" s="3">
        <f t="shared" si="37"/>
        <v>7</v>
      </c>
      <c r="AZ152" s="3">
        <f t="shared" si="38"/>
        <v>0</v>
      </c>
      <c r="BA152" s="3">
        <f t="shared" si="39"/>
        <v>0</v>
      </c>
      <c r="BB152" s="3">
        <f t="shared" si="40"/>
        <v>0</v>
      </c>
      <c r="BC152" s="3">
        <f t="shared" si="41"/>
        <v>0</v>
      </c>
      <c r="BD152" s="3">
        <f t="shared" si="42"/>
        <v>0</v>
      </c>
      <c r="BE152" s="3">
        <f t="shared" si="43"/>
        <v>0</v>
      </c>
      <c r="BF152" s="3">
        <f t="shared" si="44"/>
        <v>0</v>
      </c>
      <c r="BG152" s="3">
        <f t="shared" si="45"/>
        <v>0</v>
      </c>
      <c r="BH152" s="3">
        <f t="shared" si="46"/>
        <v>0</v>
      </c>
      <c r="BI152" s="3">
        <f t="shared" si="47"/>
        <v>8</v>
      </c>
    </row>
    <row r="153" spans="1:61" x14ac:dyDescent="0.25">
      <c r="A153" s="29">
        <v>148</v>
      </c>
      <c r="B153" s="3" t="s">
        <v>1092</v>
      </c>
      <c r="C153" s="13" t="s">
        <v>1093</v>
      </c>
      <c r="D153" s="13" t="s">
        <v>202</v>
      </c>
      <c r="E153" s="13" t="s">
        <v>1094</v>
      </c>
      <c r="F153" s="18" t="s">
        <v>138</v>
      </c>
      <c r="G153" s="18">
        <v>45741</v>
      </c>
      <c r="H153" s="18" t="s">
        <v>35</v>
      </c>
      <c r="I153" s="13" t="s">
        <v>23</v>
      </c>
      <c r="J153" s="13" t="s">
        <v>24</v>
      </c>
      <c r="K153" s="13" t="s">
        <v>25</v>
      </c>
      <c r="L153" s="13" t="s">
        <v>26</v>
      </c>
      <c r="M153" s="13" t="s">
        <v>1621</v>
      </c>
      <c r="N153" s="4" t="s">
        <v>1095</v>
      </c>
      <c r="O153" s="4" t="s">
        <v>28</v>
      </c>
      <c r="P153" s="1" t="s">
        <v>5</v>
      </c>
      <c r="Q153" s="1" t="s">
        <v>39</v>
      </c>
      <c r="R153" s="1" t="s">
        <v>39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3">
        <f t="shared" si="32"/>
        <v>2</v>
      </c>
      <c r="AU153" s="3">
        <f t="shared" si="33"/>
        <v>0</v>
      </c>
      <c r="AV153" s="3">
        <f t="shared" si="34"/>
        <v>0</v>
      </c>
      <c r="AW153" s="3">
        <f t="shared" si="35"/>
        <v>0</v>
      </c>
      <c r="AX153" s="3">
        <f t="shared" si="36"/>
        <v>0</v>
      </c>
      <c r="AY153" s="3">
        <f t="shared" si="37"/>
        <v>1</v>
      </c>
      <c r="AZ153" s="3">
        <f t="shared" si="38"/>
        <v>0</v>
      </c>
      <c r="BA153" s="3">
        <f t="shared" si="39"/>
        <v>0</v>
      </c>
      <c r="BB153" s="3">
        <f t="shared" si="40"/>
        <v>0</v>
      </c>
      <c r="BC153" s="3">
        <f t="shared" si="41"/>
        <v>0</v>
      </c>
      <c r="BD153" s="3">
        <f t="shared" si="42"/>
        <v>0</v>
      </c>
      <c r="BE153" s="3">
        <f t="shared" si="43"/>
        <v>0</v>
      </c>
      <c r="BF153" s="3">
        <f t="shared" si="44"/>
        <v>0</v>
      </c>
      <c r="BG153" s="3">
        <f t="shared" si="45"/>
        <v>0</v>
      </c>
      <c r="BH153" s="3">
        <f t="shared" si="46"/>
        <v>0</v>
      </c>
      <c r="BI153" s="3">
        <f t="shared" si="47"/>
        <v>3</v>
      </c>
    </row>
    <row r="154" spans="1:61" x14ac:dyDescent="0.25">
      <c r="A154" s="29">
        <v>149</v>
      </c>
      <c r="B154" s="3" t="s">
        <v>950</v>
      </c>
      <c r="C154" s="13" t="s">
        <v>951</v>
      </c>
      <c r="D154" s="13" t="s">
        <v>110</v>
      </c>
      <c r="E154" s="13" t="s">
        <v>952</v>
      </c>
      <c r="F154" s="18" t="s">
        <v>1529</v>
      </c>
      <c r="G154" s="18">
        <v>45742</v>
      </c>
      <c r="H154" s="18" t="s">
        <v>35</v>
      </c>
      <c r="I154" s="13" t="s">
        <v>23</v>
      </c>
      <c r="J154" s="13" t="s">
        <v>24</v>
      </c>
      <c r="K154" s="13" t="s">
        <v>25</v>
      </c>
      <c r="L154" s="13" t="s">
        <v>26</v>
      </c>
      <c r="M154" s="13" t="s">
        <v>1621</v>
      </c>
      <c r="N154" s="4" t="s">
        <v>953</v>
      </c>
      <c r="O154" s="4" t="s">
        <v>28</v>
      </c>
      <c r="P154" s="1" t="s">
        <v>5</v>
      </c>
      <c r="Q154" s="1" t="s">
        <v>39</v>
      </c>
      <c r="R154" s="1" t="s">
        <v>39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3"/>
      <c r="AJ154" s="3"/>
      <c r="AK154" s="3"/>
      <c r="AL154" s="3"/>
      <c r="AM154" s="3"/>
      <c r="AN154" s="3"/>
      <c r="AO154" s="1"/>
      <c r="AP154" s="1"/>
      <c r="AQ154" s="1"/>
      <c r="AR154" s="1"/>
      <c r="AS154" s="1"/>
      <c r="AT154" s="3">
        <f t="shared" si="32"/>
        <v>2</v>
      </c>
      <c r="AU154" s="3">
        <f t="shared" si="33"/>
        <v>0</v>
      </c>
      <c r="AV154" s="3">
        <f t="shared" si="34"/>
        <v>0</v>
      </c>
      <c r="AW154" s="3">
        <f t="shared" si="35"/>
        <v>0</v>
      </c>
      <c r="AX154" s="3">
        <f t="shared" si="36"/>
        <v>0</v>
      </c>
      <c r="AY154" s="3">
        <f t="shared" si="37"/>
        <v>1</v>
      </c>
      <c r="AZ154" s="3">
        <f t="shared" si="38"/>
        <v>0</v>
      </c>
      <c r="BA154" s="3">
        <f t="shared" si="39"/>
        <v>0</v>
      </c>
      <c r="BB154" s="3">
        <f t="shared" si="40"/>
        <v>0</v>
      </c>
      <c r="BC154" s="3">
        <f t="shared" si="41"/>
        <v>0</v>
      </c>
      <c r="BD154" s="3">
        <f t="shared" si="42"/>
        <v>0</v>
      </c>
      <c r="BE154" s="3">
        <f t="shared" si="43"/>
        <v>0</v>
      </c>
      <c r="BF154" s="3">
        <f t="shared" si="44"/>
        <v>0</v>
      </c>
      <c r="BG154" s="3">
        <f t="shared" si="45"/>
        <v>0</v>
      </c>
      <c r="BH154" s="3">
        <f t="shared" si="46"/>
        <v>0</v>
      </c>
      <c r="BI154" s="3">
        <f t="shared" si="47"/>
        <v>3</v>
      </c>
    </row>
    <row r="155" spans="1:61" x14ac:dyDescent="0.25">
      <c r="A155" s="29">
        <v>150</v>
      </c>
      <c r="B155" s="3" t="s">
        <v>651</v>
      </c>
      <c r="C155" s="13" t="s">
        <v>652</v>
      </c>
      <c r="D155" s="13" t="s">
        <v>653</v>
      </c>
      <c r="E155" s="13" t="s">
        <v>654</v>
      </c>
      <c r="F155" s="18" t="s">
        <v>1533</v>
      </c>
      <c r="G155" s="18">
        <v>45742</v>
      </c>
      <c r="H155" s="18" t="s">
        <v>35</v>
      </c>
      <c r="I155" s="13" t="s">
        <v>23</v>
      </c>
      <c r="J155" s="13" t="s">
        <v>24</v>
      </c>
      <c r="K155" s="13" t="s">
        <v>43</v>
      </c>
      <c r="L155" s="13" t="s">
        <v>1568</v>
      </c>
      <c r="M155" s="13" t="s">
        <v>1621</v>
      </c>
      <c r="N155" s="4" t="s">
        <v>655</v>
      </c>
      <c r="O155" s="4" t="s">
        <v>28</v>
      </c>
      <c r="P155" s="1" t="s">
        <v>29</v>
      </c>
      <c r="Q155" s="1" t="s">
        <v>5</v>
      </c>
      <c r="R155" s="1" t="s">
        <v>5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3"/>
      <c r="AP155" s="3"/>
      <c r="AQ155" s="3"/>
      <c r="AR155" s="3"/>
      <c r="AS155" s="3"/>
      <c r="AT155" s="3">
        <f t="shared" si="32"/>
        <v>0</v>
      </c>
      <c r="AU155" s="3">
        <f t="shared" si="33"/>
        <v>1</v>
      </c>
      <c r="AV155" s="3">
        <f t="shared" si="34"/>
        <v>0</v>
      </c>
      <c r="AW155" s="3">
        <f t="shared" si="35"/>
        <v>0</v>
      </c>
      <c r="AX155" s="3">
        <f t="shared" si="36"/>
        <v>0</v>
      </c>
      <c r="AY155" s="3">
        <f t="shared" si="37"/>
        <v>7</v>
      </c>
      <c r="AZ155" s="3">
        <f t="shared" si="38"/>
        <v>0</v>
      </c>
      <c r="BA155" s="3">
        <f t="shared" si="39"/>
        <v>0</v>
      </c>
      <c r="BB155" s="3">
        <f t="shared" si="40"/>
        <v>0</v>
      </c>
      <c r="BC155" s="3">
        <f t="shared" si="41"/>
        <v>0</v>
      </c>
      <c r="BD155" s="3">
        <f t="shared" si="42"/>
        <v>0</v>
      </c>
      <c r="BE155" s="3">
        <f t="shared" si="43"/>
        <v>0</v>
      </c>
      <c r="BF155" s="3">
        <f t="shared" si="44"/>
        <v>0</v>
      </c>
      <c r="BG155" s="3">
        <f t="shared" si="45"/>
        <v>0</v>
      </c>
      <c r="BH155" s="3">
        <f t="shared" si="46"/>
        <v>0</v>
      </c>
      <c r="BI155" s="3">
        <f t="shared" si="47"/>
        <v>8</v>
      </c>
    </row>
    <row r="156" spans="1:61" x14ac:dyDescent="0.25">
      <c r="A156" s="29">
        <v>151</v>
      </c>
      <c r="B156" s="3" t="s">
        <v>995</v>
      </c>
      <c r="C156" s="13" t="s">
        <v>41</v>
      </c>
      <c r="D156" s="13" t="s">
        <v>996</v>
      </c>
      <c r="E156" s="13" t="s">
        <v>569</v>
      </c>
      <c r="F156" s="18" t="s">
        <v>1546</v>
      </c>
      <c r="G156" s="18">
        <v>45742</v>
      </c>
      <c r="H156" s="18" t="s">
        <v>35</v>
      </c>
      <c r="I156" s="13" t="s">
        <v>23</v>
      </c>
      <c r="J156" s="13" t="s">
        <v>24</v>
      </c>
      <c r="K156" s="13" t="s">
        <v>36</v>
      </c>
      <c r="L156" s="13" t="s">
        <v>150</v>
      </c>
      <c r="M156" s="13" t="s">
        <v>1621</v>
      </c>
      <c r="N156" s="4" t="s">
        <v>997</v>
      </c>
      <c r="O156" s="4" t="s">
        <v>28</v>
      </c>
      <c r="P156" s="1" t="s">
        <v>5</v>
      </c>
      <c r="Q156" s="1" t="s">
        <v>29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3">
        <f t="shared" si="32"/>
        <v>0</v>
      </c>
      <c r="AU156" s="3">
        <f t="shared" si="33"/>
        <v>1</v>
      </c>
      <c r="AV156" s="3">
        <f t="shared" si="34"/>
        <v>0</v>
      </c>
      <c r="AW156" s="3">
        <f t="shared" si="35"/>
        <v>0</v>
      </c>
      <c r="AX156" s="3">
        <f t="shared" si="36"/>
        <v>0</v>
      </c>
      <c r="AY156" s="3">
        <f t="shared" si="37"/>
        <v>1</v>
      </c>
      <c r="AZ156" s="3">
        <f t="shared" si="38"/>
        <v>0</v>
      </c>
      <c r="BA156" s="3">
        <f t="shared" si="39"/>
        <v>0</v>
      </c>
      <c r="BB156" s="3">
        <f t="shared" si="40"/>
        <v>0</v>
      </c>
      <c r="BC156" s="3">
        <f t="shared" si="41"/>
        <v>0</v>
      </c>
      <c r="BD156" s="3">
        <f t="shared" si="42"/>
        <v>0</v>
      </c>
      <c r="BE156" s="3">
        <f t="shared" si="43"/>
        <v>0</v>
      </c>
      <c r="BF156" s="3">
        <f t="shared" si="44"/>
        <v>0</v>
      </c>
      <c r="BG156" s="3">
        <f t="shared" si="45"/>
        <v>0</v>
      </c>
      <c r="BH156" s="3">
        <f t="shared" si="46"/>
        <v>0</v>
      </c>
      <c r="BI156" s="3">
        <f t="shared" si="47"/>
        <v>2</v>
      </c>
    </row>
    <row r="157" spans="1:61" x14ac:dyDescent="0.25">
      <c r="A157" s="29">
        <v>152</v>
      </c>
      <c r="B157" s="3" t="s">
        <v>638</v>
      </c>
      <c r="C157" s="13" t="s">
        <v>427</v>
      </c>
      <c r="D157" s="13" t="s">
        <v>632</v>
      </c>
      <c r="E157" s="13" t="s">
        <v>639</v>
      </c>
      <c r="F157" s="18" t="s">
        <v>1552</v>
      </c>
      <c r="G157" s="18">
        <v>45742</v>
      </c>
      <c r="H157" s="18" t="s">
        <v>35</v>
      </c>
      <c r="I157" s="13" t="s">
        <v>23</v>
      </c>
      <c r="J157" s="13" t="s">
        <v>24</v>
      </c>
      <c r="K157" s="13" t="s">
        <v>36</v>
      </c>
      <c r="L157" s="13" t="s">
        <v>68</v>
      </c>
      <c r="M157" s="13" t="s">
        <v>1621</v>
      </c>
      <c r="N157" s="4" t="s">
        <v>640</v>
      </c>
      <c r="O157" s="4" t="s">
        <v>28</v>
      </c>
      <c r="P157" s="1" t="s">
        <v>5</v>
      </c>
      <c r="Q157" s="1" t="s">
        <v>29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3">
        <f t="shared" si="32"/>
        <v>0</v>
      </c>
      <c r="AU157" s="3">
        <f t="shared" si="33"/>
        <v>1</v>
      </c>
      <c r="AV157" s="3">
        <f t="shared" si="34"/>
        <v>0</v>
      </c>
      <c r="AW157" s="3">
        <f t="shared" si="35"/>
        <v>0</v>
      </c>
      <c r="AX157" s="3">
        <f t="shared" si="36"/>
        <v>0</v>
      </c>
      <c r="AY157" s="3">
        <f t="shared" si="37"/>
        <v>1</v>
      </c>
      <c r="AZ157" s="3">
        <f t="shared" si="38"/>
        <v>0</v>
      </c>
      <c r="BA157" s="3">
        <f t="shared" si="39"/>
        <v>0</v>
      </c>
      <c r="BB157" s="3">
        <f t="shared" si="40"/>
        <v>0</v>
      </c>
      <c r="BC157" s="3">
        <f t="shared" si="41"/>
        <v>0</v>
      </c>
      <c r="BD157" s="3">
        <f t="shared" si="42"/>
        <v>0</v>
      </c>
      <c r="BE157" s="3">
        <f t="shared" si="43"/>
        <v>0</v>
      </c>
      <c r="BF157" s="3">
        <f t="shared" si="44"/>
        <v>0</v>
      </c>
      <c r="BG157" s="3">
        <f t="shared" si="45"/>
        <v>0</v>
      </c>
      <c r="BH157" s="3">
        <f t="shared" si="46"/>
        <v>0</v>
      </c>
      <c r="BI157" s="3">
        <f t="shared" si="47"/>
        <v>2</v>
      </c>
    </row>
    <row r="158" spans="1:61" x14ac:dyDescent="0.25">
      <c r="A158" s="29">
        <v>153</v>
      </c>
      <c r="B158" s="3" t="s">
        <v>448</v>
      </c>
      <c r="C158" s="13" t="s">
        <v>449</v>
      </c>
      <c r="D158" s="13" t="s">
        <v>41</v>
      </c>
      <c r="E158" s="13" t="s">
        <v>450</v>
      </c>
      <c r="F158" s="18" t="s">
        <v>67</v>
      </c>
      <c r="G158" s="18">
        <v>45748</v>
      </c>
      <c r="H158" s="18" t="s">
        <v>35</v>
      </c>
      <c r="I158" s="13" t="s">
        <v>23</v>
      </c>
      <c r="J158" s="13" t="s">
        <v>24</v>
      </c>
      <c r="K158" s="13" t="s">
        <v>43</v>
      </c>
      <c r="L158" s="13" t="s">
        <v>44</v>
      </c>
      <c r="M158" s="13" t="s">
        <v>1621</v>
      </c>
      <c r="N158" s="4" t="s">
        <v>451</v>
      </c>
      <c r="O158" s="4" t="s">
        <v>28</v>
      </c>
      <c r="P158" s="1" t="s">
        <v>29</v>
      </c>
      <c r="Q158" s="1" t="s">
        <v>5</v>
      </c>
      <c r="R158" s="1" t="s">
        <v>5</v>
      </c>
      <c r="S158" s="1" t="s">
        <v>5</v>
      </c>
      <c r="T158" s="1" t="s">
        <v>5</v>
      </c>
      <c r="U158" s="1" t="s">
        <v>5</v>
      </c>
      <c r="V158" s="1" t="s">
        <v>5</v>
      </c>
      <c r="W158" s="1" t="s">
        <v>5</v>
      </c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3">
        <f t="shared" si="32"/>
        <v>0</v>
      </c>
      <c r="AU158" s="3">
        <f t="shared" si="33"/>
        <v>1</v>
      </c>
      <c r="AV158" s="3">
        <f t="shared" si="34"/>
        <v>0</v>
      </c>
      <c r="AW158" s="3">
        <f t="shared" si="35"/>
        <v>0</v>
      </c>
      <c r="AX158" s="3">
        <f t="shared" si="36"/>
        <v>0</v>
      </c>
      <c r="AY158" s="3">
        <f t="shared" si="37"/>
        <v>7</v>
      </c>
      <c r="AZ158" s="3">
        <f t="shared" si="38"/>
        <v>0</v>
      </c>
      <c r="BA158" s="3">
        <f t="shared" si="39"/>
        <v>0</v>
      </c>
      <c r="BB158" s="3">
        <f t="shared" si="40"/>
        <v>0</v>
      </c>
      <c r="BC158" s="3">
        <f t="shared" si="41"/>
        <v>0</v>
      </c>
      <c r="BD158" s="3">
        <f t="shared" si="42"/>
        <v>0</v>
      </c>
      <c r="BE158" s="3">
        <f t="shared" si="43"/>
        <v>0</v>
      </c>
      <c r="BF158" s="3">
        <f t="shared" si="44"/>
        <v>0</v>
      </c>
      <c r="BG158" s="3">
        <f t="shared" si="45"/>
        <v>0</v>
      </c>
      <c r="BH158" s="3">
        <f t="shared" si="46"/>
        <v>0</v>
      </c>
      <c r="BI158" s="3">
        <f t="shared" si="47"/>
        <v>8</v>
      </c>
    </row>
    <row r="159" spans="1:61" x14ac:dyDescent="0.25">
      <c r="A159" s="29">
        <v>155</v>
      </c>
      <c r="B159" s="3" t="s">
        <v>515</v>
      </c>
      <c r="C159" s="13" t="s">
        <v>146</v>
      </c>
      <c r="D159" s="13" t="s">
        <v>516</v>
      </c>
      <c r="E159" s="13" t="s">
        <v>517</v>
      </c>
      <c r="F159" s="18" t="s">
        <v>1522</v>
      </c>
      <c r="G159" s="18">
        <v>45748</v>
      </c>
      <c r="H159" s="18" t="s">
        <v>35</v>
      </c>
      <c r="I159" s="13" t="s">
        <v>23</v>
      </c>
      <c r="J159" s="13" t="s">
        <v>24</v>
      </c>
      <c r="K159" s="13" t="s">
        <v>43</v>
      </c>
      <c r="L159" s="13" t="s">
        <v>44</v>
      </c>
      <c r="M159" s="13" t="s">
        <v>1621</v>
      </c>
      <c r="N159" s="4" t="s">
        <v>518</v>
      </c>
      <c r="O159" s="4" t="s">
        <v>28</v>
      </c>
      <c r="P159" s="1" t="s">
        <v>29</v>
      </c>
      <c r="Q159" s="1" t="s">
        <v>5</v>
      </c>
      <c r="R159" s="1" t="s">
        <v>5</v>
      </c>
      <c r="S159" s="1" t="s">
        <v>5</v>
      </c>
      <c r="T159" s="1" t="s">
        <v>5</v>
      </c>
      <c r="U159" s="1" t="s">
        <v>5</v>
      </c>
      <c r="V159" s="1" t="s">
        <v>5</v>
      </c>
      <c r="W159" s="1" t="s">
        <v>5</v>
      </c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3">
        <f t="shared" si="32"/>
        <v>0</v>
      </c>
      <c r="AU159" s="3">
        <f t="shared" si="33"/>
        <v>1</v>
      </c>
      <c r="AV159" s="3">
        <f t="shared" si="34"/>
        <v>0</v>
      </c>
      <c r="AW159" s="3">
        <f t="shared" si="35"/>
        <v>0</v>
      </c>
      <c r="AX159" s="3">
        <f t="shared" si="36"/>
        <v>0</v>
      </c>
      <c r="AY159" s="3">
        <f t="shared" si="37"/>
        <v>7</v>
      </c>
      <c r="AZ159" s="3">
        <f t="shared" si="38"/>
        <v>0</v>
      </c>
      <c r="BA159" s="3">
        <f t="shared" si="39"/>
        <v>0</v>
      </c>
      <c r="BB159" s="3">
        <f t="shared" si="40"/>
        <v>0</v>
      </c>
      <c r="BC159" s="3">
        <f t="shared" si="41"/>
        <v>0</v>
      </c>
      <c r="BD159" s="3">
        <f t="shared" si="42"/>
        <v>0</v>
      </c>
      <c r="BE159" s="3">
        <f t="shared" si="43"/>
        <v>0</v>
      </c>
      <c r="BF159" s="3">
        <f t="shared" si="44"/>
        <v>0</v>
      </c>
      <c r="BG159" s="3">
        <f t="shared" si="45"/>
        <v>0</v>
      </c>
      <c r="BH159" s="3">
        <f t="shared" si="46"/>
        <v>0</v>
      </c>
      <c r="BI159" s="3">
        <f t="shared" si="47"/>
        <v>8</v>
      </c>
    </row>
    <row r="160" spans="1:61" x14ac:dyDescent="0.25">
      <c r="A160" s="29">
        <v>154</v>
      </c>
      <c r="B160" s="3" t="s">
        <v>471</v>
      </c>
      <c r="C160" s="13" t="s">
        <v>472</v>
      </c>
      <c r="D160" s="13" t="s">
        <v>473</v>
      </c>
      <c r="E160" s="13" t="s">
        <v>474</v>
      </c>
      <c r="F160" s="18" t="s">
        <v>404</v>
      </c>
      <c r="G160" s="18">
        <v>45748</v>
      </c>
      <c r="H160" s="18" t="s">
        <v>35</v>
      </c>
      <c r="I160" s="13" t="s">
        <v>23</v>
      </c>
      <c r="J160" s="13" t="s">
        <v>24</v>
      </c>
      <c r="K160" s="13" t="s">
        <v>377</v>
      </c>
      <c r="L160" s="13" t="s">
        <v>216</v>
      </c>
      <c r="M160" s="13" t="s">
        <v>1621</v>
      </c>
      <c r="N160" s="4" t="s">
        <v>475</v>
      </c>
      <c r="O160" s="4" t="s">
        <v>407</v>
      </c>
      <c r="P160" s="1" t="s">
        <v>39</v>
      </c>
      <c r="Q160" s="1" t="s">
        <v>5</v>
      </c>
      <c r="R160" s="1" t="s">
        <v>5</v>
      </c>
      <c r="S160" s="1" t="s">
        <v>5</v>
      </c>
      <c r="T160" s="1" t="s">
        <v>5</v>
      </c>
      <c r="U160" s="1" t="s">
        <v>5</v>
      </c>
      <c r="V160" s="1" t="s">
        <v>5</v>
      </c>
      <c r="W160" s="1" t="s">
        <v>5</v>
      </c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3">
        <f t="shared" si="32"/>
        <v>1</v>
      </c>
      <c r="AU160" s="3">
        <f t="shared" si="33"/>
        <v>0</v>
      </c>
      <c r="AV160" s="3">
        <f t="shared" si="34"/>
        <v>0</v>
      </c>
      <c r="AW160" s="3">
        <f t="shared" si="35"/>
        <v>0</v>
      </c>
      <c r="AX160" s="3">
        <f t="shared" si="36"/>
        <v>0</v>
      </c>
      <c r="AY160" s="3">
        <f t="shared" si="37"/>
        <v>7</v>
      </c>
      <c r="AZ160" s="3">
        <f t="shared" si="38"/>
        <v>0</v>
      </c>
      <c r="BA160" s="3">
        <f t="shared" si="39"/>
        <v>0</v>
      </c>
      <c r="BB160" s="3">
        <f t="shared" si="40"/>
        <v>0</v>
      </c>
      <c r="BC160" s="3">
        <f t="shared" si="41"/>
        <v>0</v>
      </c>
      <c r="BD160" s="3">
        <f t="shared" si="42"/>
        <v>0</v>
      </c>
      <c r="BE160" s="3">
        <f t="shared" si="43"/>
        <v>0</v>
      </c>
      <c r="BF160" s="3">
        <f t="shared" si="44"/>
        <v>0</v>
      </c>
      <c r="BG160" s="3">
        <f t="shared" si="45"/>
        <v>0</v>
      </c>
      <c r="BH160" s="3">
        <f t="shared" si="46"/>
        <v>0</v>
      </c>
      <c r="BI160" s="3">
        <f t="shared" si="47"/>
        <v>8</v>
      </c>
    </row>
    <row r="161" spans="1:61" x14ac:dyDescent="0.25">
      <c r="A161" s="29">
        <v>156</v>
      </c>
      <c r="B161" s="3" t="s">
        <v>505</v>
      </c>
      <c r="C161" s="13" t="s">
        <v>506</v>
      </c>
      <c r="D161" s="13" t="s">
        <v>507</v>
      </c>
      <c r="E161" s="13" t="s">
        <v>508</v>
      </c>
      <c r="F161" s="22" t="s">
        <v>1541</v>
      </c>
      <c r="G161" s="25">
        <v>45748</v>
      </c>
      <c r="H161" s="25" t="s">
        <v>35</v>
      </c>
      <c r="I161" s="22" t="s">
        <v>23</v>
      </c>
      <c r="J161" s="22" t="s">
        <v>24</v>
      </c>
      <c r="K161" s="13" t="s">
        <v>84</v>
      </c>
      <c r="L161" s="13" t="s">
        <v>85</v>
      </c>
      <c r="M161" s="13" t="s">
        <v>1621</v>
      </c>
      <c r="N161" s="4" t="s">
        <v>509</v>
      </c>
      <c r="O161" s="4" t="s">
        <v>84</v>
      </c>
      <c r="P161" s="1" t="s">
        <v>39</v>
      </c>
      <c r="Q161" s="1" t="s">
        <v>39</v>
      </c>
      <c r="R161" s="1" t="s">
        <v>5</v>
      </c>
      <c r="S161" s="1" t="s">
        <v>5</v>
      </c>
      <c r="T161" s="1" t="s">
        <v>5</v>
      </c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3">
        <f t="shared" si="32"/>
        <v>2</v>
      </c>
      <c r="AU161" s="3">
        <f t="shared" si="33"/>
        <v>0</v>
      </c>
      <c r="AV161" s="3">
        <f t="shared" si="34"/>
        <v>0</v>
      </c>
      <c r="AW161" s="3">
        <f t="shared" si="35"/>
        <v>0</v>
      </c>
      <c r="AX161" s="3">
        <f t="shared" si="36"/>
        <v>0</v>
      </c>
      <c r="AY161" s="3">
        <f t="shared" si="37"/>
        <v>3</v>
      </c>
      <c r="AZ161" s="3">
        <f t="shared" si="38"/>
        <v>0</v>
      </c>
      <c r="BA161" s="3">
        <f t="shared" si="39"/>
        <v>0</v>
      </c>
      <c r="BB161" s="3">
        <f t="shared" si="40"/>
        <v>0</v>
      </c>
      <c r="BC161" s="3">
        <f t="shared" si="41"/>
        <v>0</v>
      </c>
      <c r="BD161" s="3">
        <f t="shared" si="42"/>
        <v>0</v>
      </c>
      <c r="BE161" s="3">
        <f t="shared" si="43"/>
        <v>0</v>
      </c>
      <c r="BF161" s="3">
        <f t="shared" si="44"/>
        <v>0</v>
      </c>
      <c r="BG161" s="3">
        <f t="shared" si="45"/>
        <v>0</v>
      </c>
      <c r="BH161" s="3">
        <f t="shared" si="46"/>
        <v>0</v>
      </c>
      <c r="BI161" s="3">
        <f t="shared" si="47"/>
        <v>5</v>
      </c>
    </row>
    <row r="162" spans="1:61" x14ac:dyDescent="0.25">
      <c r="A162" s="29">
        <v>157</v>
      </c>
      <c r="B162" s="3" t="s">
        <v>716</v>
      </c>
      <c r="C162" s="13" t="s">
        <v>653</v>
      </c>
      <c r="D162" s="13" t="s">
        <v>717</v>
      </c>
      <c r="E162" s="13" t="s">
        <v>718</v>
      </c>
      <c r="F162" s="22" t="s">
        <v>371</v>
      </c>
      <c r="G162" s="25">
        <v>45748</v>
      </c>
      <c r="H162" s="25" t="s">
        <v>35</v>
      </c>
      <c r="I162" s="22" t="s">
        <v>23</v>
      </c>
      <c r="J162" s="22" t="s">
        <v>24</v>
      </c>
      <c r="K162" s="13" t="s">
        <v>84</v>
      </c>
      <c r="L162" s="13" t="s">
        <v>446</v>
      </c>
      <c r="M162" s="13" t="s">
        <v>1621</v>
      </c>
      <c r="N162" s="4" t="s">
        <v>719</v>
      </c>
      <c r="O162" s="4" t="s">
        <v>84</v>
      </c>
      <c r="P162" s="1" t="s">
        <v>92</v>
      </c>
      <c r="Q162" s="1" t="s">
        <v>92</v>
      </c>
      <c r="R162" s="1" t="s">
        <v>92</v>
      </c>
      <c r="S162" s="1" t="s">
        <v>92</v>
      </c>
      <c r="T162" s="1" t="s">
        <v>92</v>
      </c>
      <c r="U162" s="1" t="s">
        <v>92</v>
      </c>
      <c r="V162" s="1" t="s">
        <v>92</v>
      </c>
      <c r="W162" s="1" t="s">
        <v>92</v>
      </c>
      <c r="X162" s="1" t="s">
        <v>92</v>
      </c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3">
        <f t="shared" si="32"/>
        <v>0</v>
      </c>
      <c r="AU162" s="3">
        <f t="shared" si="33"/>
        <v>0</v>
      </c>
      <c r="AV162" s="3">
        <f t="shared" si="34"/>
        <v>0</v>
      </c>
      <c r="AW162" s="3">
        <f t="shared" si="35"/>
        <v>0</v>
      </c>
      <c r="AX162" s="3">
        <f t="shared" si="36"/>
        <v>0</v>
      </c>
      <c r="AY162" s="3">
        <f t="shared" si="37"/>
        <v>0</v>
      </c>
      <c r="AZ162" s="3">
        <f t="shared" si="38"/>
        <v>0</v>
      </c>
      <c r="BA162" s="3">
        <f t="shared" si="39"/>
        <v>9</v>
      </c>
      <c r="BB162" s="3">
        <f t="shared" si="40"/>
        <v>0</v>
      </c>
      <c r="BC162" s="3">
        <f t="shared" si="41"/>
        <v>0</v>
      </c>
      <c r="BD162" s="3">
        <f t="shared" si="42"/>
        <v>0</v>
      </c>
      <c r="BE162" s="3">
        <f t="shared" si="43"/>
        <v>0</v>
      </c>
      <c r="BF162" s="3">
        <f t="shared" si="44"/>
        <v>0</v>
      </c>
      <c r="BG162" s="3">
        <f t="shared" si="45"/>
        <v>0</v>
      </c>
      <c r="BH162" s="3">
        <f t="shared" si="46"/>
        <v>0</v>
      </c>
      <c r="BI162" s="3">
        <f t="shared" si="47"/>
        <v>0</v>
      </c>
    </row>
    <row r="163" spans="1:61" x14ac:dyDescent="0.25">
      <c r="A163" s="29">
        <v>158</v>
      </c>
      <c r="B163" s="3" t="s">
        <v>1114</v>
      </c>
      <c r="C163" s="13" t="s">
        <v>1115</v>
      </c>
      <c r="D163" s="13" t="s">
        <v>1116</v>
      </c>
      <c r="E163" s="13" t="s">
        <v>1117</v>
      </c>
      <c r="F163" s="22" t="s">
        <v>1557</v>
      </c>
      <c r="G163" s="25">
        <v>45748</v>
      </c>
      <c r="H163" s="25" t="s">
        <v>35</v>
      </c>
      <c r="I163" s="22" t="s">
        <v>23</v>
      </c>
      <c r="J163" s="22" t="s">
        <v>24</v>
      </c>
      <c r="K163" s="13" t="s">
        <v>84</v>
      </c>
      <c r="L163" s="13" t="s">
        <v>1459</v>
      </c>
      <c r="M163" s="13" t="s">
        <v>1</v>
      </c>
      <c r="N163" s="4" t="s">
        <v>1118</v>
      </c>
      <c r="O163" s="4" t="s">
        <v>84</v>
      </c>
      <c r="P163" s="1" t="s">
        <v>39</v>
      </c>
      <c r="Q163" s="1" t="s">
        <v>39</v>
      </c>
      <c r="R163" s="1" t="s">
        <v>5</v>
      </c>
      <c r="S163" s="1" t="s">
        <v>5</v>
      </c>
      <c r="T163" s="1" t="s">
        <v>5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3">
        <f t="shared" si="32"/>
        <v>2</v>
      </c>
      <c r="AU163" s="3">
        <f t="shared" si="33"/>
        <v>0</v>
      </c>
      <c r="AV163" s="3">
        <f t="shared" si="34"/>
        <v>0</v>
      </c>
      <c r="AW163" s="3">
        <f t="shared" si="35"/>
        <v>0</v>
      </c>
      <c r="AX163" s="3">
        <f t="shared" si="36"/>
        <v>0</v>
      </c>
      <c r="AY163" s="3">
        <f t="shared" si="37"/>
        <v>3</v>
      </c>
      <c r="AZ163" s="3">
        <f t="shared" si="38"/>
        <v>0</v>
      </c>
      <c r="BA163" s="3">
        <f t="shared" si="39"/>
        <v>0</v>
      </c>
      <c r="BB163" s="3">
        <f t="shared" si="40"/>
        <v>0</v>
      </c>
      <c r="BC163" s="3">
        <f t="shared" si="41"/>
        <v>0</v>
      </c>
      <c r="BD163" s="3">
        <f t="shared" si="42"/>
        <v>0</v>
      </c>
      <c r="BE163" s="3">
        <f t="shared" si="43"/>
        <v>0</v>
      </c>
      <c r="BF163" s="3">
        <f t="shared" si="44"/>
        <v>0</v>
      </c>
      <c r="BG163" s="3">
        <f t="shared" si="45"/>
        <v>0</v>
      </c>
      <c r="BH163" s="3">
        <f t="shared" si="46"/>
        <v>0</v>
      </c>
      <c r="BI163" s="3">
        <f t="shared" si="47"/>
        <v>5</v>
      </c>
    </row>
    <row r="164" spans="1:61" x14ac:dyDescent="0.25">
      <c r="A164" s="29">
        <v>159</v>
      </c>
      <c r="B164" s="3" t="s">
        <v>1122</v>
      </c>
      <c r="C164" s="13" t="s">
        <v>432</v>
      </c>
      <c r="D164" s="13" t="s">
        <v>375</v>
      </c>
      <c r="E164" s="13" t="s">
        <v>1123</v>
      </c>
      <c r="F164" s="22" t="s">
        <v>1124</v>
      </c>
      <c r="G164" s="25">
        <v>45748</v>
      </c>
      <c r="H164" s="25" t="s">
        <v>35</v>
      </c>
      <c r="I164" s="22" t="s">
        <v>23</v>
      </c>
      <c r="J164" s="22" t="s">
        <v>24</v>
      </c>
      <c r="K164" s="13" t="s">
        <v>84</v>
      </c>
      <c r="L164" s="13" t="s">
        <v>85</v>
      </c>
      <c r="M164" s="13" t="s">
        <v>1621</v>
      </c>
      <c r="N164" s="4" t="s">
        <v>1125</v>
      </c>
      <c r="O164" s="4" t="s">
        <v>84</v>
      </c>
      <c r="P164" s="1" t="s">
        <v>39</v>
      </c>
      <c r="Q164" s="1" t="s">
        <v>39</v>
      </c>
      <c r="R164" s="1" t="s">
        <v>5</v>
      </c>
      <c r="S164" s="1" t="s">
        <v>5</v>
      </c>
      <c r="T164" s="1" t="s">
        <v>5</v>
      </c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3">
        <f t="shared" si="32"/>
        <v>2</v>
      </c>
      <c r="AU164" s="3">
        <f t="shared" si="33"/>
        <v>0</v>
      </c>
      <c r="AV164" s="3">
        <f t="shared" si="34"/>
        <v>0</v>
      </c>
      <c r="AW164" s="3">
        <f t="shared" si="35"/>
        <v>0</v>
      </c>
      <c r="AX164" s="3">
        <f t="shared" si="36"/>
        <v>0</v>
      </c>
      <c r="AY164" s="3">
        <f t="shared" si="37"/>
        <v>3</v>
      </c>
      <c r="AZ164" s="3">
        <f t="shared" si="38"/>
        <v>0</v>
      </c>
      <c r="BA164" s="3">
        <f t="shared" si="39"/>
        <v>0</v>
      </c>
      <c r="BB164" s="3">
        <f t="shared" si="40"/>
        <v>0</v>
      </c>
      <c r="BC164" s="3">
        <f t="shared" si="41"/>
        <v>0</v>
      </c>
      <c r="BD164" s="3">
        <f t="shared" si="42"/>
        <v>0</v>
      </c>
      <c r="BE164" s="3">
        <f t="shared" si="43"/>
        <v>0</v>
      </c>
      <c r="BF164" s="3">
        <f t="shared" si="44"/>
        <v>0</v>
      </c>
      <c r="BG164" s="3">
        <f t="shared" si="45"/>
        <v>0</v>
      </c>
      <c r="BH164" s="3">
        <f t="shared" si="46"/>
        <v>0</v>
      </c>
      <c r="BI164" s="3">
        <f t="shared" si="47"/>
        <v>5</v>
      </c>
    </row>
    <row r="165" spans="1:61" x14ac:dyDescent="0.25">
      <c r="A165" s="29">
        <v>160</v>
      </c>
      <c r="B165" s="3" t="s">
        <v>1256</v>
      </c>
      <c r="C165" s="13" t="s">
        <v>222</v>
      </c>
      <c r="D165" s="13" t="s">
        <v>41</v>
      </c>
      <c r="E165" s="13" t="s">
        <v>1257</v>
      </c>
      <c r="F165" s="22" t="s">
        <v>1258</v>
      </c>
      <c r="G165" s="25">
        <v>45748</v>
      </c>
      <c r="H165" s="25" t="s">
        <v>35</v>
      </c>
      <c r="I165" s="22" t="s">
        <v>23</v>
      </c>
      <c r="J165" s="22" t="s">
        <v>24</v>
      </c>
      <c r="K165" s="13" t="s">
        <v>84</v>
      </c>
      <c r="L165" s="13" t="s">
        <v>1259</v>
      </c>
      <c r="M165" s="13" t="s">
        <v>1621</v>
      </c>
      <c r="N165" s="4" t="s">
        <v>1260</v>
      </c>
      <c r="O165" s="4" t="s">
        <v>84</v>
      </c>
      <c r="P165" s="1" t="s">
        <v>39</v>
      </c>
      <c r="Q165" s="1" t="s">
        <v>39</v>
      </c>
      <c r="R165" s="1" t="s">
        <v>5</v>
      </c>
      <c r="S165" s="1" t="s">
        <v>5</v>
      </c>
      <c r="T165" s="1" t="s">
        <v>5</v>
      </c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3">
        <f t="shared" si="32"/>
        <v>2</v>
      </c>
      <c r="AU165" s="3">
        <f t="shared" si="33"/>
        <v>0</v>
      </c>
      <c r="AV165" s="3">
        <f t="shared" si="34"/>
        <v>0</v>
      </c>
      <c r="AW165" s="3">
        <f t="shared" si="35"/>
        <v>0</v>
      </c>
      <c r="AX165" s="3">
        <f t="shared" si="36"/>
        <v>0</v>
      </c>
      <c r="AY165" s="3">
        <f t="shared" si="37"/>
        <v>3</v>
      </c>
      <c r="AZ165" s="3">
        <f t="shared" si="38"/>
        <v>0</v>
      </c>
      <c r="BA165" s="3">
        <f t="shared" si="39"/>
        <v>0</v>
      </c>
      <c r="BB165" s="3">
        <f t="shared" si="40"/>
        <v>0</v>
      </c>
      <c r="BC165" s="3">
        <f t="shared" si="41"/>
        <v>0</v>
      </c>
      <c r="BD165" s="3">
        <f t="shared" si="42"/>
        <v>0</v>
      </c>
      <c r="BE165" s="3">
        <f t="shared" si="43"/>
        <v>0</v>
      </c>
      <c r="BF165" s="3">
        <f t="shared" si="44"/>
        <v>0</v>
      </c>
      <c r="BG165" s="3">
        <f t="shared" si="45"/>
        <v>0</v>
      </c>
      <c r="BH165" s="3">
        <f t="shared" si="46"/>
        <v>0</v>
      </c>
      <c r="BI165" s="3">
        <f t="shared" si="47"/>
        <v>5</v>
      </c>
    </row>
    <row r="166" spans="1:61" x14ac:dyDescent="0.25">
      <c r="A166" s="29">
        <v>161</v>
      </c>
      <c r="B166" s="3" t="s">
        <v>134</v>
      </c>
      <c r="C166" s="13" t="s">
        <v>135</v>
      </c>
      <c r="D166" s="13" t="s">
        <v>136</v>
      </c>
      <c r="E166" s="13" t="s">
        <v>137</v>
      </c>
      <c r="F166" s="18" t="s">
        <v>138</v>
      </c>
      <c r="G166" s="18">
        <v>45749</v>
      </c>
      <c r="H166" s="18" t="s">
        <v>35</v>
      </c>
      <c r="I166" s="13" t="s">
        <v>23</v>
      </c>
      <c r="J166" s="13" t="s">
        <v>24</v>
      </c>
      <c r="K166" s="13" t="s">
        <v>25</v>
      </c>
      <c r="L166" s="13" t="s">
        <v>26</v>
      </c>
      <c r="M166" s="13" t="s">
        <v>1621</v>
      </c>
      <c r="N166" s="4" t="s">
        <v>139</v>
      </c>
      <c r="O166" s="4" t="s">
        <v>28</v>
      </c>
      <c r="P166" s="1" t="s">
        <v>92</v>
      </c>
      <c r="Q166" s="1" t="s">
        <v>92</v>
      </c>
      <c r="R166" s="1" t="s">
        <v>92</v>
      </c>
      <c r="S166" s="1" t="s">
        <v>92</v>
      </c>
      <c r="T166" s="1" t="s">
        <v>92</v>
      </c>
      <c r="U166" s="1" t="s">
        <v>92</v>
      </c>
      <c r="V166" s="1" t="s">
        <v>92</v>
      </c>
      <c r="W166" s="1" t="s">
        <v>92</v>
      </c>
      <c r="X166" s="1" t="s">
        <v>92</v>
      </c>
      <c r="Y166" s="1" t="s">
        <v>92</v>
      </c>
      <c r="Z166" s="1" t="s">
        <v>92</v>
      </c>
      <c r="AA166" s="1" t="s">
        <v>92</v>
      </c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3">
        <f t="shared" si="32"/>
        <v>0</v>
      </c>
      <c r="AU166" s="3">
        <f t="shared" si="33"/>
        <v>0</v>
      </c>
      <c r="AV166" s="3">
        <f t="shared" si="34"/>
        <v>0</v>
      </c>
      <c r="AW166" s="3">
        <f t="shared" si="35"/>
        <v>0</v>
      </c>
      <c r="AX166" s="3">
        <f t="shared" si="36"/>
        <v>0</v>
      </c>
      <c r="AY166" s="3">
        <f t="shared" si="37"/>
        <v>0</v>
      </c>
      <c r="AZ166" s="3">
        <f t="shared" si="38"/>
        <v>0</v>
      </c>
      <c r="BA166" s="3">
        <f t="shared" si="39"/>
        <v>12</v>
      </c>
      <c r="BB166" s="3">
        <f t="shared" si="40"/>
        <v>0</v>
      </c>
      <c r="BC166" s="3">
        <f t="shared" si="41"/>
        <v>0</v>
      </c>
      <c r="BD166" s="3">
        <f t="shared" si="42"/>
        <v>0</v>
      </c>
      <c r="BE166" s="3">
        <f t="shared" si="43"/>
        <v>0</v>
      </c>
      <c r="BF166" s="3">
        <f t="shared" si="44"/>
        <v>0</v>
      </c>
      <c r="BG166" s="3">
        <f t="shared" si="45"/>
        <v>0</v>
      </c>
      <c r="BH166" s="3">
        <f t="shared" si="46"/>
        <v>0</v>
      </c>
      <c r="BI166" s="3">
        <f t="shared" si="47"/>
        <v>0</v>
      </c>
    </row>
    <row r="167" spans="1:61" x14ac:dyDescent="0.25">
      <c r="A167" s="29">
        <v>164</v>
      </c>
      <c r="B167" s="3" t="s">
        <v>784</v>
      </c>
      <c r="C167" s="13" t="s">
        <v>516</v>
      </c>
      <c r="D167" s="13" t="s">
        <v>631</v>
      </c>
      <c r="E167" s="13" t="s">
        <v>296</v>
      </c>
      <c r="F167" s="18" t="s">
        <v>1522</v>
      </c>
      <c r="G167" s="18">
        <v>45749</v>
      </c>
      <c r="H167" s="18" t="s">
        <v>35</v>
      </c>
      <c r="I167" s="13" t="s">
        <v>23</v>
      </c>
      <c r="J167" s="13" t="s">
        <v>24</v>
      </c>
      <c r="K167" s="13" t="s">
        <v>25</v>
      </c>
      <c r="L167" s="13" t="s">
        <v>26</v>
      </c>
      <c r="M167" s="13" t="s">
        <v>1621</v>
      </c>
      <c r="N167" s="4" t="s">
        <v>785</v>
      </c>
      <c r="O167" s="4" t="s">
        <v>28</v>
      </c>
      <c r="P167" s="1" t="s">
        <v>5</v>
      </c>
      <c r="Q167" s="1" t="s">
        <v>39</v>
      </c>
      <c r="R167" s="1" t="s">
        <v>39</v>
      </c>
      <c r="S167" s="1"/>
      <c r="T167" s="3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3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3">
        <f t="shared" si="32"/>
        <v>2</v>
      </c>
      <c r="AU167" s="3">
        <f t="shared" si="33"/>
        <v>0</v>
      </c>
      <c r="AV167" s="3">
        <f t="shared" si="34"/>
        <v>0</v>
      </c>
      <c r="AW167" s="3">
        <f t="shared" si="35"/>
        <v>0</v>
      </c>
      <c r="AX167" s="3">
        <f t="shared" si="36"/>
        <v>0</v>
      </c>
      <c r="AY167" s="3">
        <f t="shared" si="37"/>
        <v>1</v>
      </c>
      <c r="AZ167" s="3">
        <f t="shared" si="38"/>
        <v>0</v>
      </c>
      <c r="BA167" s="3">
        <f t="shared" si="39"/>
        <v>0</v>
      </c>
      <c r="BB167" s="3">
        <f t="shared" si="40"/>
        <v>0</v>
      </c>
      <c r="BC167" s="3">
        <f t="shared" si="41"/>
        <v>0</v>
      </c>
      <c r="BD167" s="3">
        <f t="shared" si="42"/>
        <v>0</v>
      </c>
      <c r="BE167" s="3">
        <f t="shared" si="43"/>
        <v>0</v>
      </c>
      <c r="BF167" s="3">
        <f t="shared" si="44"/>
        <v>0</v>
      </c>
      <c r="BG167" s="3">
        <f t="shared" si="45"/>
        <v>0</v>
      </c>
      <c r="BH167" s="3">
        <f t="shared" si="46"/>
        <v>0</v>
      </c>
      <c r="BI167" s="3">
        <f t="shared" si="47"/>
        <v>3</v>
      </c>
    </row>
    <row r="168" spans="1:61" x14ac:dyDescent="0.25">
      <c r="A168" s="29">
        <v>162</v>
      </c>
      <c r="B168" s="3" t="s">
        <v>52</v>
      </c>
      <c r="C168" s="13" t="s">
        <v>41</v>
      </c>
      <c r="D168" s="13" t="s">
        <v>53</v>
      </c>
      <c r="E168" s="13" t="s">
        <v>54</v>
      </c>
      <c r="F168" s="18" t="s">
        <v>55</v>
      </c>
      <c r="G168" s="18">
        <v>45749</v>
      </c>
      <c r="H168" s="18" t="s">
        <v>35</v>
      </c>
      <c r="I168" s="13" t="s">
        <v>23</v>
      </c>
      <c r="J168" s="13" t="s">
        <v>24</v>
      </c>
      <c r="K168" s="13" t="s">
        <v>56</v>
      </c>
      <c r="L168" s="13" t="s">
        <v>57</v>
      </c>
      <c r="M168" s="13" t="s">
        <v>1621</v>
      </c>
      <c r="N168" s="4" t="s">
        <v>58</v>
      </c>
      <c r="O168" s="4" t="s">
        <v>28</v>
      </c>
      <c r="P168" s="1" t="s">
        <v>59</v>
      </c>
      <c r="Q168" s="1" t="s">
        <v>59</v>
      </c>
      <c r="R168" s="1" t="s">
        <v>59</v>
      </c>
      <c r="S168" s="1" t="s">
        <v>59</v>
      </c>
      <c r="T168" s="1" t="s">
        <v>59</v>
      </c>
      <c r="U168" s="1" t="s">
        <v>59</v>
      </c>
      <c r="V168" s="1" t="s">
        <v>59</v>
      </c>
      <c r="W168" s="1" t="s">
        <v>59</v>
      </c>
      <c r="X168" s="1" t="s">
        <v>59</v>
      </c>
      <c r="Y168" s="1" t="s">
        <v>59</v>
      </c>
      <c r="Z168" s="1" t="s">
        <v>59</v>
      </c>
      <c r="AA168" s="1" t="s">
        <v>59</v>
      </c>
      <c r="AB168" s="1" t="s">
        <v>59</v>
      </c>
      <c r="AC168" s="1" t="s">
        <v>59</v>
      </c>
      <c r="AD168" s="1" t="s">
        <v>59</v>
      </c>
      <c r="AE168" s="1" t="s">
        <v>59</v>
      </c>
      <c r="AF168" s="1" t="s">
        <v>59</v>
      </c>
      <c r="AG168" s="1" t="s">
        <v>59</v>
      </c>
      <c r="AH168" s="1" t="s">
        <v>59</v>
      </c>
      <c r="AI168" s="1" t="s">
        <v>59</v>
      </c>
      <c r="AJ168" s="1" t="s">
        <v>59</v>
      </c>
      <c r="AK168" s="1" t="s">
        <v>59</v>
      </c>
      <c r="AL168" s="1" t="s">
        <v>59</v>
      </c>
      <c r="AM168" s="1" t="s">
        <v>59</v>
      </c>
      <c r="AN168" s="1" t="s">
        <v>59</v>
      </c>
      <c r="AO168" s="1" t="s">
        <v>59</v>
      </c>
      <c r="AP168" s="1" t="s">
        <v>59</v>
      </c>
      <c r="AQ168" s="1" t="s">
        <v>59</v>
      </c>
      <c r="AR168" s="1" t="s">
        <v>59</v>
      </c>
      <c r="AS168" s="1" t="s">
        <v>59</v>
      </c>
      <c r="AT168" s="3">
        <f t="shared" si="32"/>
        <v>0</v>
      </c>
      <c r="AU168" s="3">
        <f t="shared" si="33"/>
        <v>0</v>
      </c>
      <c r="AV168" s="3">
        <f t="shared" si="34"/>
        <v>0</v>
      </c>
      <c r="AW168" s="3">
        <f t="shared" si="35"/>
        <v>0</v>
      </c>
      <c r="AX168" s="3">
        <f t="shared" si="36"/>
        <v>0</v>
      </c>
      <c r="AY168" s="3">
        <f t="shared" si="37"/>
        <v>0</v>
      </c>
      <c r="AZ168" s="3">
        <f t="shared" si="38"/>
        <v>0</v>
      </c>
      <c r="BA168" s="3">
        <f t="shared" si="39"/>
        <v>0</v>
      </c>
      <c r="BB168" s="3">
        <f t="shared" si="40"/>
        <v>0</v>
      </c>
      <c r="BC168" s="3">
        <f t="shared" si="41"/>
        <v>30</v>
      </c>
      <c r="BD168" s="3">
        <f t="shared" si="42"/>
        <v>0</v>
      </c>
      <c r="BE168" s="3">
        <f t="shared" si="43"/>
        <v>0</v>
      </c>
      <c r="BF168" s="3">
        <f t="shared" si="44"/>
        <v>0</v>
      </c>
      <c r="BG168" s="3">
        <f t="shared" si="45"/>
        <v>0</v>
      </c>
      <c r="BH168" s="3">
        <f t="shared" si="46"/>
        <v>0</v>
      </c>
      <c r="BI168" s="3">
        <f t="shared" si="47"/>
        <v>30</v>
      </c>
    </row>
    <row r="169" spans="1:61" x14ac:dyDescent="0.25">
      <c r="A169" s="29">
        <v>163</v>
      </c>
      <c r="B169" s="3" t="s">
        <v>122</v>
      </c>
      <c r="C169" s="13" t="s">
        <v>123</v>
      </c>
      <c r="D169" s="13" t="s">
        <v>124</v>
      </c>
      <c r="E169" s="13" t="s">
        <v>125</v>
      </c>
      <c r="F169" s="18" t="s">
        <v>34</v>
      </c>
      <c r="G169" s="18">
        <v>45749</v>
      </c>
      <c r="H169" s="18" t="s">
        <v>35</v>
      </c>
      <c r="I169" s="13" t="s">
        <v>23</v>
      </c>
      <c r="J169" s="13" t="s">
        <v>24</v>
      </c>
      <c r="K169" s="13" t="s">
        <v>43</v>
      </c>
      <c r="L169" s="13" t="s">
        <v>44</v>
      </c>
      <c r="M169" s="13" t="s">
        <v>1621</v>
      </c>
      <c r="N169" s="4" t="s">
        <v>126</v>
      </c>
      <c r="O169" s="4" t="s">
        <v>28</v>
      </c>
      <c r="P169" s="1" t="s">
        <v>29</v>
      </c>
      <c r="Q169" s="1" t="s">
        <v>5</v>
      </c>
      <c r="R169" s="1" t="s">
        <v>5</v>
      </c>
      <c r="S169" s="1" t="s">
        <v>5</v>
      </c>
      <c r="T169" s="1" t="s">
        <v>5</v>
      </c>
      <c r="U169" s="1" t="s">
        <v>5</v>
      </c>
      <c r="V169" s="1" t="s">
        <v>5</v>
      </c>
      <c r="W169" s="1" t="s">
        <v>5</v>
      </c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3">
        <f t="shared" si="32"/>
        <v>0</v>
      </c>
      <c r="AU169" s="3">
        <f t="shared" si="33"/>
        <v>1</v>
      </c>
      <c r="AV169" s="3">
        <f t="shared" si="34"/>
        <v>0</v>
      </c>
      <c r="AW169" s="3">
        <f t="shared" si="35"/>
        <v>0</v>
      </c>
      <c r="AX169" s="3">
        <f t="shared" si="36"/>
        <v>0</v>
      </c>
      <c r="AY169" s="3">
        <f t="shared" si="37"/>
        <v>7</v>
      </c>
      <c r="AZ169" s="3">
        <f t="shared" si="38"/>
        <v>0</v>
      </c>
      <c r="BA169" s="3">
        <f t="shared" si="39"/>
        <v>0</v>
      </c>
      <c r="BB169" s="3">
        <f t="shared" si="40"/>
        <v>0</v>
      </c>
      <c r="BC169" s="3">
        <f t="shared" si="41"/>
        <v>0</v>
      </c>
      <c r="BD169" s="3">
        <f t="shared" si="42"/>
        <v>0</v>
      </c>
      <c r="BE169" s="3">
        <f t="shared" si="43"/>
        <v>0</v>
      </c>
      <c r="BF169" s="3">
        <f t="shared" si="44"/>
        <v>0</v>
      </c>
      <c r="BG169" s="3">
        <f t="shared" si="45"/>
        <v>0</v>
      </c>
      <c r="BH169" s="3">
        <f t="shared" si="46"/>
        <v>0</v>
      </c>
      <c r="BI169" s="3">
        <f t="shared" si="47"/>
        <v>8</v>
      </c>
    </row>
    <row r="170" spans="1:61" x14ac:dyDescent="0.25">
      <c r="A170" s="29">
        <v>165</v>
      </c>
      <c r="B170" s="3" t="s">
        <v>1044</v>
      </c>
      <c r="C170" s="13" t="s">
        <v>593</v>
      </c>
      <c r="D170" s="13" t="s">
        <v>1045</v>
      </c>
      <c r="E170" s="13" t="s">
        <v>1046</v>
      </c>
      <c r="F170" s="18" t="s">
        <v>1522</v>
      </c>
      <c r="G170" s="18">
        <v>45751</v>
      </c>
      <c r="H170" s="18" t="s">
        <v>35</v>
      </c>
      <c r="I170" s="13" t="s">
        <v>23</v>
      </c>
      <c r="J170" s="13" t="s">
        <v>24</v>
      </c>
      <c r="K170" s="13" t="s">
        <v>36</v>
      </c>
      <c r="L170" s="13" t="s">
        <v>37</v>
      </c>
      <c r="M170" s="13" t="s">
        <v>1621</v>
      </c>
      <c r="N170" s="4" t="s">
        <v>1047</v>
      </c>
      <c r="O170" s="4" t="s">
        <v>28</v>
      </c>
      <c r="P170" s="1" t="s">
        <v>5</v>
      </c>
      <c r="Q170" s="1" t="s">
        <v>29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3">
        <f t="shared" si="32"/>
        <v>0</v>
      </c>
      <c r="AU170" s="3">
        <f t="shared" si="33"/>
        <v>1</v>
      </c>
      <c r="AV170" s="3">
        <f t="shared" si="34"/>
        <v>0</v>
      </c>
      <c r="AW170" s="3">
        <f t="shared" si="35"/>
        <v>0</v>
      </c>
      <c r="AX170" s="3">
        <f t="shared" si="36"/>
        <v>0</v>
      </c>
      <c r="AY170" s="3">
        <f t="shared" si="37"/>
        <v>1</v>
      </c>
      <c r="AZ170" s="3">
        <f t="shared" si="38"/>
        <v>0</v>
      </c>
      <c r="BA170" s="3">
        <f t="shared" si="39"/>
        <v>0</v>
      </c>
      <c r="BB170" s="3">
        <f t="shared" si="40"/>
        <v>0</v>
      </c>
      <c r="BC170" s="3">
        <f t="shared" si="41"/>
        <v>0</v>
      </c>
      <c r="BD170" s="3">
        <f t="shared" si="42"/>
        <v>0</v>
      </c>
      <c r="BE170" s="3">
        <f t="shared" si="43"/>
        <v>0</v>
      </c>
      <c r="BF170" s="3">
        <f t="shared" si="44"/>
        <v>0</v>
      </c>
      <c r="BG170" s="3">
        <f t="shared" si="45"/>
        <v>0</v>
      </c>
      <c r="BH170" s="3">
        <f t="shared" si="46"/>
        <v>0</v>
      </c>
      <c r="BI170" s="3">
        <f t="shared" si="47"/>
        <v>2</v>
      </c>
    </row>
    <row r="171" spans="1:61" x14ac:dyDescent="0.25">
      <c r="A171" s="29">
        <v>166</v>
      </c>
      <c r="B171" s="3" t="s">
        <v>829</v>
      </c>
      <c r="C171" s="13" t="s">
        <v>386</v>
      </c>
      <c r="D171" s="13" t="s">
        <v>830</v>
      </c>
      <c r="E171" s="13" t="s">
        <v>831</v>
      </c>
      <c r="F171" s="18" t="s">
        <v>1533</v>
      </c>
      <c r="G171" s="18">
        <v>45751</v>
      </c>
      <c r="H171" s="18" t="s">
        <v>35</v>
      </c>
      <c r="I171" s="13" t="s">
        <v>23</v>
      </c>
      <c r="J171" s="13" t="s">
        <v>24</v>
      </c>
      <c r="K171" s="13" t="s">
        <v>56</v>
      </c>
      <c r="L171" s="13" t="s">
        <v>1568</v>
      </c>
      <c r="M171" s="13" t="s">
        <v>1621</v>
      </c>
      <c r="N171" s="4" t="s">
        <v>832</v>
      </c>
      <c r="O171" s="4" t="s">
        <v>28</v>
      </c>
      <c r="P171" s="1" t="s">
        <v>39</v>
      </c>
      <c r="Q171" s="1" t="s">
        <v>5</v>
      </c>
      <c r="R171" s="1" t="s">
        <v>5</v>
      </c>
      <c r="S171" s="1" t="s">
        <v>5</v>
      </c>
      <c r="T171" s="1" t="s">
        <v>5</v>
      </c>
      <c r="U171" s="1" t="s">
        <v>5</v>
      </c>
      <c r="V171" s="1" t="s">
        <v>5</v>
      </c>
      <c r="W171" s="1" t="s">
        <v>5</v>
      </c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3">
        <f t="shared" si="32"/>
        <v>1</v>
      </c>
      <c r="AU171" s="3">
        <f t="shared" si="33"/>
        <v>0</v>
      </c>
      <c r="AV171" s="3">
        <f t="shared" si="34"/>
        <v>0</v>
      </c>
      <c r="AW171" s="3">
        <f t="shared" si="35"/>
        <v>0</v>
      </c>
      <c r="AX171" s="3">
        <f t="shared" si="36"/>
        <v>0</v>
      </c>
      <c r="AY171" s="3">
        <f t="shared" si="37"/>
        <v>7</v>
      </c>
      <c r="AZ171" s="3">
        <f t="shared" si="38"/>
        <v>0</v>
      </c>
      <c r="BA171" s="3">
        <f t="shared" si="39"/>
        <v>0</v>
      </c>
      <c r="BB171" s="3">
        <f t="shared" si="40"/>
        <v>0</v>
      </c>
      <c r="BC171" s="3">
        <f t="shared" si="41"/>
        <v>0</v>
      </c>
      <c r="BD171" s="3">
        <f t="shared" si="42"/>
        <v>0</v>
      </c>
      <c r="BE171" s="3">
        <f t="shared" si="43"/>
        <v>0</v>
      </c>
      <c r="BF171" s="3">
        <f t="shared" si="44"/>
        <v>0</v>
      </c>
      <c r="BG171" s="3">
        <f t="shared" si="45"/>
        <v>0</v>
      </c>
      <c r="BH171" s="3">
        <f t="shared" si="46"/>
        <v>0</v>
      </c>
      <c r="BI171" s="3">
        <f t="shared" si="47"/>
        <v>8</v>
      </c>
    </row>
    <row r="172" spans="1:61" x14ac:dyDescent="0.25">
      <c r="A172" s="29">
        <v>167</v>
      </c>
      <c r="B172" s="3" t="s">
        <v>542</v>
      </c>
      <c r="C172" s="13" t="s">
        <v>543</v>
      </c>
      <c r="D172" s="13" t="s">
        <v>544</v>
      </c>
      <c r="E172" s="13" t="s">
        <v>545</v>
      </c>
      <c r="F172" s="18" t="s">
        <v>67</v>
      </c>
      <c r="G172" s="18">
        <v>45751</v>
      </c>
      <c r="H172" s="18" t="s">
        <v>35</v>
      </c>
      <c r="I172" s="13" t="s">
        <v>23</v>
      </c>
      <c r="J172" s="13" t="s">
        <v>24</v>
      </c>
      <c r="K172" s="13" t="s">
        <v>56</v>
      </c>
      <c r="L172" s="13" t="s">
        <v>26</v>
      </c>
      <c r="M172" s="13" t="s">
        <v>1621</v>
      </c>
      <c r="N172" s="4" t="s">
        <v>546</v>
      </c>
      <c r="O172" s="4" t="s">
        <v>28</v>
      </c>
      <c r="P172" s="1" t="s">
        <v>39</v>
      </c>
      <c r="Q172" s="1" t="s">
        <v>5</v>
      </c>
      <c r="R172" s="1" t="s">
        <v>5</v>
      </c>
      <c r="S172" s="1" t="s">
        <v>5</v>
      </c>
      <c r="T172" s="1" t="s">
        <v>5</v>
      </c>
      <c r="U172" s="1" t="s">
        <v>5</v>
      </c>
      <c r="V172" s="1" t="s">
        <v>5</v>
      </c>
      <c r="W172" s="1" t="s">
        <v>5</v>
      </c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3">
        <f t="shared" si="32"/>
        <v>1</v>
      </c>
      <c r="AU172" s="3">
        <f t="shared" si="33"/>
        <v>0</v>
      </c>
      <c r="AV172" s="3">
        <f t="shared" si="34"/>
        <v>0</v>
      </c>
      <c r="AW172" s="3">
        <f t="shared" si="35"/>
        <v>0</v>
      </c>
      <c r="AX172" s="3">
        <f t="shared" si="36"/>
        <v>0</v>
      </c>
      <c r="AY172" s="3">
        <f t="shared" si="37"/>
        <v>7</v>
      </c>
      <c r="AZ172" s="3">
        <f t="shared" si="38"/>
        <v>0</v>
      </c>
      <c r="BA172" s="3">
        <f t="shared" si="39"/>
        <v>0</v>
      </c>
      <c r="BB172" s="3">
        <f t="shared" si="40"/>
        <v>0</v>
      </c>
      <c r="BC172" s="3">
        <f t="shared" si="41"/>
        <v>0</v>
      </c>
      <c r="BD172" s="3">
        <f t="shared" si="42"/>
        <v>0</v>
      </c>
      <c r="BE172" s="3">
        <f t="shared" si="43"/>
        <v>0</v>
      </c>
      <c r="BF172" s="3">
        <f t="shared" si="44"/>
        <v>0</v>
      </c>
      <c r="BG172" s="3">
        <f t="shared" si="45"/>
        <v>0</v>
      </c>
      <c r="BH172" s="3">
        <f t="shared" si="46"/>
        <v>0</v>
      </c>
      <c r="BI172" s="3">
        <f t="shared" si="47"/>
        <v>8</v>
      </c>
    </row>
    <row r="173" spans="1:61" x14ac:dyDescent="0.25">
      <c r="A173" s="29">
        <v>168</v>
      </c>
      <c r="B173" s="3" t="s">
        <v>914</v>
      </c>
      <c r="C173" s="13" t="s">
        <v>821</v>
      </c>
      <c r="D173" s="13" t="s">
        <v>337</v>
      </c>
      <c r="E173" s="13" t="s">
        <v>334</v>
      </c>
      <c r="F173" s="18" t="s">
        <v>138</v>
      </c>
      <c r="G173" s="18">
        <v>45754</v>
      </c>
      <c r="H173" s="18" t="s">
        <v>35</v>
      </c>
      <c r="I173" s="13" t="s">
        <v>23</v>
      </c>
      <c r="J173" s="13" t="s">
        <v>24</v>
      </c>
      <c r="K173" s="13" t="s">
        <v>36</v>
      </c>
      <c r="L173" s="13" t="s">
        <v>26</v>
      </c>
      <c r="M173" s="13" t="s">
        <v>1621</v>
      </c>
      <c r="N173" s="4" t="s">
        <v>915</v>
      </c>
      <c r="O173" s="4" t="s">
        <v>28</v>
      </c>
      <c r="P173" s="1" t="s">
        <v>92</v>
      </c>
      <c r="Q173" s="1" t="s">
        <v>92</v>
      </c>
      <c r="R173" s="1" t="s">
        <v>92</v>
      </c>
      <c r="S173" s="1" t="s">
        <v>92</v>
      </c>
      <c r="T173" s="1" t="s">
        <v>92</v>
      </c>
      <c r="U173" s="1" t="s">
        <v>92</v>
      </c>
      <c r="V173" s="1" t="s">
        <v>92</v>
      </c>
      <c r="W173" s="1" t="s">
        <v>92</v>
      </c>
      <c r="X173" s="1" t="s">
        <v>92</v>
      </c>
      <c r="Y173" s="1" t="s">
        <v>92</v>
      </c>
      <c r="Z173" s="1" t="s">
        <v>92</v>
      </c>
      <c r="AA173" s="1" t="s">
        <v>92</v>
      </c>
      <c r="AB173" s="1" t="s">
        <v>92</v>
      </c>
      <c r="AC173" s="1" t="s">
        <v>92</v>
      </c>
      <c r="AD173" s="1" t="s">
        <v>92</v>
      </c>
      <c r="AE173" s="1" t="s">
        <v>92</v>
      </c>
      <c r="AF173" s="1" t="s">
        <v>92</v>
      </c>
      <c r="AG173" s="1" t="s">
        <v>92</v>
      </c>
      <c r="AH173" s="1" t="s">
        <v>92</v>
      </c>
      <c r="AI173" s="1" t="s">
        <v>92</v>
      </c>
      <c r="AJ173" s="1" t="s">
        <v>92</v>
      </c>
      <c r="AK173" s="1" t="s">
        <v>92</v>
      </c>
      <c r="AL173" s="1" t="s">
        <v>92</v>
      </c>
      <c r="AM173" s="1" t="s">
        <v>92</v>
      </c>
      <c r="AN173" s="1" t="s">
        <v>92</v>
      </c>
      <c r="AO173" s="1" t="s">
        <v>92</v>
      </c>
      <c r="AP173" s="1" t="s">
        <v>92</v>
      </c>
      <c r="AQ173" s="1" t="s">
        <v>92</v>
      </c>
      <c r="AR173" s="1" t="s">
        <v>92</v>
      </c>
      <c r="AS173" s="1" t="s">
        <v>92</v>
      </c>
      <c r="AT173" s="3">
        <f t="shared" si="32"/>
        <v>0</v>
      </c>
      <c r="AU173" s="3">
        <f t="shared" si="33"/>
        <v>0</v>
      </c>
      <c r="AV173" s="3">
        <f t="shared" si="34"/>
        <v>0</v>
      </c>
      <c r="AW173" s="3">
        <f t="shared" si="35"/>
        <v>0</v>
      </c>
      <c r="AX173" s="3">
        <f t="shared" si="36"/>
        <v>0</v>
      </c>
      <c r="AY173" s="3">
        <f t="shared" si="37"/>
        <v>0</v>
      </c>
      <c r="AZ173" s="3">
        <f t="shared" si="38"/>
        <v>0</v>
      </c>
      <c r="BA173" s="3">
        <f t="shared" si="39"/>
        <v>30</v>
      </c>
      <c r="BB173" s="3">
        <f t="shared" si="40"/>
        <v>0</v>
      </c>
      <c r="BC173" s="3">
        <f t="shared" si="41"/>
        <v>0</v>
      </c>
      <c r="BD173" s="3">
        <f t="shared" si="42"/>
        <v>0</v>
      </c>
      <c r="BE173" s="3">
        <f t="shared" si="43"/>
        <v>0</v>
      </c>
      <c r="BF173" s="3">
        <f t="shared" si="44"/>
        <v>0</v>
      </c>
      <c r="BG173" s="3">
        <f t="shared" si="45"/>
        <v>0</v>
      </c>
      <c r="BH173" s="3">
        <f t="shared" si="46"/>
        <v>0</v>
      </c>
      <c r="BI173" s="3">
        <f t="shared" si="47"/>
        <v>0</v>
      </c>
    </row>
    <row r="174" spans="1:61" x14ac:dyDescent="0.25">
      <c r="A174" s="29">
        <v>169</v>
      </c>
      <c r="B174" s="3" t="s">
        <v>909</v>
      </c>
      <c r="C174" s="13" t="s">
        <v>910</v>
      </c>
      <c r="D174" s="13" t="s">
        <v>911</v>
      </c>
      <c r="E174" s="13" t="s">
        <v>912</v>
      </c>
      <c r="F174" s="18" t="s">
        <v>55</v>
      </c>
      <c r="G174" s="18">
        <v>45755</v>
      </c>
      <c r="H174" s="18" t="s">
        <v>35</v>
      </c>
      <c r="I174" s="13" t="s">
        <v>23</v>
      </c>
      <c r="J174" s="13" t="s">
        <v>24</v>
      </c>
      <c r="K174" s="13" t="s">
        <v>56</v>
      </c>
      <c r="L174" s="13" t="s">
        <v>57</v>
      </c>
      <c r="M174" s="13" t="s">
        <v>1621</v>
      </c>
      <c r="N174" s="4" t="s">
        <v>913</v>
      </c>
      <c r="O174" s="4" t="s">
        <v>28</v>
      </c>
      <c r="P174" s="1" t="s">
        <v>39</v>
      </c>
      <c r="Q174" s="1" t="s">
        <v>5</v>
      </c>
      <c r="R174" s="1" t="s">
        <v>5</v>
      </c>
      <c r="S174" s="1" t="s">
        <v>5</v>
      </c>
      <c r="T174" s="1" t="s">
        <v>5</v>
      </c>
      <c r="U174" s="1" t="s">
        <v>5</v>
      </c>
      <c r="V174" s="1" t="s">
        <v>5</v>
      </c>
      <c r="W174" s="1" t="s">
        <v>5</v>
      </c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3">
        <f t="shared" si="32"/>
        <v>1</v>
      </c>
      <c r="AU174" s="3">
        <f t="shared" si="33"/>
        <v>0</v>
      </c>
      <c r="AV174" s="3">
        <f t="shared" si="34"/>
        <v>0</v>
      </c>
      <c r="AW174" s="3">
        <f t="shared" si="35"/>
        <v>0</v>
      </c>
      <c r="AX174" s="3">
        <f t="shared" si="36"/>
        <v>0</v>
      </c>
      <c r="AY174" s="3">
        <f t="shared" si="37"/>
        <v>7</v>
      </c>
      <c r="AZ174" s="3">
        <f t="shared" si="38"/>
        <v>0</v>
      </c>
      <c r="BA174" s="3">
        <f t="shared" si="39"/>
        <v>0</v>
      </c>
      <c r="BB174" s="3">
        <f t="shared" si="40"/>
        <v>0</v>
      </c>
      <c r="BC174" s="3">
        <f t="shared" si="41"/>
        <v>0</v>
      </c>
      <c r="BD174" s="3">
        <f t="shared" si="42"/>
        <v>0</v>
      </c>
      <c r="BE174" s="3">
        <f t="shared" si="43"/>
        <v>0</v>
      </c>
      <c r="BF174" s="3">
        <f t="shared" si="44"/>
        <v>0</v>
      </c>
      <c r="BG174" s="3">
        <f t="shared" si="45"/>
        <v>0</v>
      </c>
      <c r="BH174" s="3">
        <f t="shared" si="46"/>
        <v>0</v>
      </c>
      <c r="BI174" s="3">
        <f t="shared" si="47"/>
        <v>8</v>
      </c>
    </row>
    <row r="175" spans="1:61" x14ac:dyDescent="0.25">
      <c r="A175" s="29">
        <v>170</v>
      </c>
      <c r="B175" s="3" t="s">
        <v>566</v>
      </c>
      <c r="C175" s="13" t="s">
        <v>567</v>
      </c>
      <c r="D175" s="13" t="s">
        <v>568</v>
      </c>
      <c r="E175" s="13" t="s">
        <v>569</v>
      </c>
      <c r="F175" s="18" t="s">
        <v>1522</v>
      </c>
      <c r="G175" s="18">
        <v>45755</v>
      </c>
      <c r="H175" s="18" t="s">
        <v>35</v>
      </c>
      <c r="I175" s="13" t="s">
        <v>23</v>
      </c>
      <c r="J175" s="13" t="s">
        <v>24</v>
      </c>
      <c r="K175" s="13" t="s">
        <v>56</v>
      </c>
      <c r="L175" s="13" t="s">
        <v>57</v>
      </c>
      <c r="M175" s="13" t="s">
        <v>1621</v>
      </c>
      <c r="N175" s="4" t="s">
        <v>570</v>
      </c>
      <c r="O175" s="4" t="s">
        <v>28</v>
      </c>
      <c r="P175" s="1" t="s">
        <v>39</v>
      </c>
      <c r="Q175" s="1" t="s">
        <v>5</v>
      </c>
      <c r="R175" s="1" t="s">
        <v>5</v>
      </c>
      <c r="S175" s="1" t="s">
        <v>5</v>
      </c>
      <c r="T175" s="1" t="s">
        <v>5</v>
      </c>
      <c r="U175" s="1" t="s">
        <v>5</v>
      </c>
      <c r="V175" s="1" t="s">
        <v>5</v>
      </c>
      <c r="W175" s="1" t="s">
        <v>5</v>
      </c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3">
        <f t="shared" si="32"/>
        <v>1</v>
      </c>
      <c r="AU175" s="3">
        <f t="shared" si="33"/>
        <v>0</v>
      </c>
      <c r="AV175" s="3">
        <f t="shared" si="34"/>
        <v>0</v>
      </c>
      <c r="AW175" s="3">
        <f t="shared" si="35"/>
        <v>0</v>
      </c>
      <c r="AX175" s="3">
        <f t="shared" si="36"/>
        <v>0</v>
      </c>
      <c r="AY175" s="3">
        <f t="shared" si="37"/>
        <v>7</v>
      </c>
      <c r="AZ175" s="3">
        <f t="shared" si="38"/>
        <v>0</v>
      </c>
      <c r="BA175" s="3">
        <f t="shared" si="39"/>
        <v>0</v>
      </c>
      <c r="BB175" s="3">
        <f t="shared" si="40"/>
        <v>0</v>
      </c>
      <c r="BC175" s="3">
        <f t="shared" si="41"/>
        <v>0</v>
      </c>
      <c r="BD175" s="3">
        <f t="shared" si="42"/>
        <v>0</v>
      </c>
      <c r="BE175" s="3">
        <f t="shared" si="43"/>
        <v>0</v>
      </c>
      <c r="BF175" s="3">
        <f t="shared" si="44"/>
        <v>0</v>
      </c>
      <c r="BG175" s="3">
        <f t="shared" si="45"/>
        <v>0</v>
      </c>
      <c r="BH175" s="3">
        <f t="shared" si="46"/>
        <v>0</v>
      </c>
      <c r="BI175" s="3">
        <f t="shared" si="47"/>
        <v>8</v>
      </c>
    </row>
    <row r="176" spans="1:61" x14ac:dyDescent="0.25">
      <c r="A176" s="29">
        <v>171</v>
      </c>
      <c r="B176" s="3" t="s">
        <v>160</v>
      </c>
      <c r="C176" s="13" t="s">
        <v>129</v>
      </c>
      <c r="D176" s="13" t="s">
        <v>161</v>
      </c>
      <c r="E176" s="13" t="s">
        <v>162</v>
      </c>
      <c r="F176" s="18" t="s">
        <v>163</v>
      </c>
      <c r="G176" s="18">
        <v>45755</v>
      </c>
      <c r="H176" s="18" t="s">
        <v>35</v>
      </c>
      <c r="I176" s="13" t="s">
        <v>23</v>
      </c>
      <c r="J176" s="13" t="s">
        <v>24</v>
      </c>
      <c r="K176" s="13" t="s">
        <v>43</v>
      </c>
      <c r="L176" s="13" t="s">
        <v>44</v>
      </c>
      <c r="M176" s="13" t="s">
        <v>1621</v>
      </c>
      <c r="N176" s="4" t="s">
        <v>164</v>
      </c>
      <c r="O176" s="4" t="s">
        <v>28</v>
      </c>
      <c r="P176" s="1" t="s">
        <v>29</v>
      </c>
      <c r="Q176" s="1" t="s">
        <v>5</v>
      </c>
      <c r="R176" s="1" t="s">
        <v>5</v>
      </c>
      <c r="S176" s="1" t="s">
        <v>5</v>
      </c>
      <c r="T176" s="1" t="s">
        <v>5</v>
      </c>
      <c r="U176" s="1" t="s">
        <v>5</v>
      </c>
      <c r="V176" s="1" t="s">
        <v>5</v>
      </c>
      <c r="W176" s="1" t="s">
        <v>5</v>
      </c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3">
        <f t="shared" si="32"/>
        <v>0</v>
      </c>
      <c r="AU176" s="3">
        <f t="shared" si="33"/>
        <v>1</v>
      </c>
      <c r="AV176" s="3">
        <f t="shared" si="34"/>
        <v>0</v>
      </c>
      <c r="AW176" s="3">
        <f t="shared" si="35"/>
        <v>0</v>
      </c>
      <c r="AX176" s="3">
        <f t="shared" si="36"/>
        <v>0</v>
      </c>
      <c r="AY176" s="3">
        <f t="shared" si="37"/>
        <v>7</v>
      </c>
      <c r="AZ176" s="3">
        <f t="shared" si="38"/>
        <v>0</v>
      </c>
      <c r="BA176" s="3">
        <f t="shared" si="39"/>
        <v>0</v>
      </c>
      <c r="BB176" s="3">
        <f t="shared" si="40"/>
        <v>0</v>
      </c>
      <c r="BC176" s="3">
        <f t="shared" si="41"/>
        <v>0</v>
      </c>
      <c r="BD176" s="3">
        <f t="shared" si="42"/>
        <v>0</v>
      </c>
      <c r="BE176" s="3">
        <f t="shared" si="43"/>
        <v>0</v>
      </c>
      <c r="BF176" s="3">
        <f t="shared" si="44"/>
        <v>0</v>
      </c>
      <c r="BG176" s="3">
        <f t="shared" si="45"/>
        <v>0</v>
      </c>
      <c r="BH176" s="3">
        <f t="shared" si="46"/>
        <v>0</v>
      </c>
      <c r="BI176" s="3">
        <f t="shared" si="47"/>
        <v>8</v>
      </c>
    </row>
    <row r="177" spans="1:61" x14ac:dyDescent="0.25">
      <c r="A177" s="29">
        <v>172</v>
      </c>
      <c r="B177" s="3" t="s">
        <v>455</v>
      </c>
      <c r="C177" s="13" t="s">
        <v>287</v>
      </c>
      <c r="D177" s="13" t="s">
        <v>41</v>
      </c>
      <c r="E177" s="13" t="s">
        <v>366</v>
      </c>
      <c r="F177" s="18" t="s">
        <v>1529</v>
      </c>
      <c r="G177" s="18">
        <v>45756</v>
      </c>
      <c r="H177" s="18" t="s">
        <v>35</v>
      </c>
      <c r="I177" s="13" t="s">
        <v>23</v>
      </c>
      <c r="J177" s="13" t="s">
        <v>24</v>
      </c>
      <c r="K177" s="13" t="s">
        <v>43</v>
      </c>
      <c r="L177" s="13" t="s">
        <v>44</v>
      </c>
      <c r="M177" s="13" t="s">
        <v>1621</v>
      </c>
      <c r="N177" s="4" t="s">
        <v>456</v>
      </c>
      <c r="O177" s="4" t="s">
        <v>28</v>
      </c>
      <c r="P177" s="1" t="s">
        <v>92</v>
      </c>
      <c r="Q177" s="1" t="s">
        <v>92</v>
      </c>
      <c r="R177" s="1" t="s">
        <v>92</v>
      </c>
      <c r="S177" s="1" t="s">
        <v>92</v>
      </c>
      <c r="T177" s="1" t="s">
        <v>92</v>
      </c>
      <c r="U177" s="1" t="s">
        <v>92</v>
      </c>
      <c r="V177" s="1" t="s">
        <v>92</v>
      </c>
      <c r="W177" s="1" t="s">
        <v>92</v>
      </c>
      <c r="X177" s="1" t="s">
        <v>92</v>
      </c>
      <c r="Y177" s="1" t="s">
        <v>92</v>
      </c>
      <c r="Z177" s="1" t="s">
        <v>92</v>
      </c>
      <c r="AA177" s="1" t="s">
        <v>92</v>
      </c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3">
        <f t="shared" si="32"/>
        <v>0</v>
      </c>
      <c r="AU177" s="3">
        <f t="shared" si="33"/>
        <v>0</v>
      </c>
      <c r="AV177" s="3">
        <f t="shared" si="34"/>
        <v>0</v>
      </c>
      <c r="AW177" s="3">
        <f t="shared" si="35"/>
        <v>0</v>
      </c>
      <c r="AX177" s="3">
        <f t="shared" si="36"/>
        <v>0</v>
      </c>
      <c r="AY177" s="3">
        <f t="shared" si="37"/>
        <v>0</v>
      </c>
      <c r="AZ177" s="3">
        <f t="shared" si="38"/>
        <v>0</v>
      </c>
      <c r="BA177" s="3">
        <f t="shared" si="39"/>
        <v>12</v>
      </c>
      <c r="BB177" s="3">
        <f t="shared" si="40"/>
        <v>0</v>
      </c>
      <c r="BC177" s="3">
        <f t="shared" si="41"/>
        <v>0</v>
      </c>
      <c r="BD177" s="3">
        <f t="shared" si="42"/>
        <v>0</v>
      </c>
      <c r="BE177" s="3">
        <f t="shared" si="43"/>
        <v>0</v>
      </c>
      <c r="BF177" s="3">
        <f t="shared" si="44"/>
        <v>0</v>
      </c>
      <c r="BG177" s="3">
        <f t="shared" si="45"/>
        <v>0</v>
      </c>
      <c r="BH177" s="3">
        <f t="shared" si="46"/>
        <v>0</v>
      </c>
      <c r="BI177" s="3">
        <f t="shared" si="47"/>
        <v>0</v>
      </c>
    </row>
    <row r="178" spans="1:61" x14ac:dyDescent="0.25">
      <c r="A178" s="29">
        <v>173</v>
      </c>
      <c r="B178" s="3" t="s">
        <v>764</v>
      </c>
      <c r="C178" s="13" t="s">
        <v>391</v>
      </c>
      <c r="D178" s="13" t="s">
        <v>249</v>
      </c>
      <c r="E178" s="13" t="s">
        <v>765</v>
      </c>
      <c r="F178" s="18" t="s">
        <v>1522</v>
      </c>
      <c r="G178" s="18">
        <v>45757</v>
      </c>
      <c r="H178" s="18" t="s">
        <v>35</v>
      </c>
      <c r="I178" s="13" t="s">
        <v>23</v>
      </c>
      <c r="J178" s="13" t="s">
        <v>24</v>
      </c>
      <c r="K178" s="13" t="s">
        <v>36</v>
      </c>
      <c r="L178" s="13" t="s">
        <v>37</v>
      </c>
      <c r="M178" s="13" t="s">
        <v>1621</v>
      </c>
      <c r="N178" s="4" t="s">
        <v>766</v>
      </c>
      <c r="O178" s="4" t="s">
        <v>28</v>
      </c>
      <c r="P178" s="1" t="s">
        <v>5</v>
      </c>
      <c r="Q178" s="1" t="s">
        <v>29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3">
        <f t="shared" si="32"/>
        <v>0</v>
      </c>
      <c r="AU178" s="3">
        <f t="shared" si="33"/>
        <v>1</v>
      </c>
      <c r="AV178" s="3">
        <f t="shared" si="34"/>
        <v>0</v>
      </c>
      <c r="AW178" s="3">
        <f t="shared" si="35"/>
        <v>0</v>
      </c>
      <c r="AX178" s="3">
        <f t="shared" si="36"/>
        <v>0</v>
      </c>
      <c r="AY178" s="3">
        <f t="shared" si="37"/>
        <v>1</v>
      </c>
      <c r="AZ178" s="3">
        <f t="shared" si="38"/>
        <v>0</v>
      </c>
      <c r="BA178" s="3">
        <f t="shared" si="39"/>
        <v>0</v>
      </c>
      <c r="BB178" s="3">
        <f t="shared" si="40"/>
        <v>0</v>
      </c>
      <c r="BC178" s="3">
        <f t="shared" si="41"/>
        <v>0</v>
      </c>
      <c r="BD178" s="3">
        <f t="shared" si="42"/>
        <v>0</v>
      </c>
      <c r="BE178" s="3">
        <f t="shared" si="43"/>
        <v>0</v>
      </c>
      <c r="BF178" s="3">
        <f t="shared" si="44"/>
        <v>0</v>
      </c>
      <c r="BG178" s="3">
        <f t="shared" si="45"/>
        <v>0</v>
      </c>
      <c r="BH178" s="3">
        <f t="shared" si="46"/>
        <v>0</v>
      </c>
      <c r="BI178" s="3">
        <f t="shared" si="47"/>
        <v>2</v>
      </c>
    </row>
    <row r="179" spans="1:61" x14ac:dyDescent="0.25">
      <c r="A179" s="29">
        <v>174</v>
      </c>
      <c r="B179" s="3" t="s">
        <v>839</v>
      </c>
      <c r="C179" s="13" t="s">
        <v>840</v>
      </c>
      <c r="D179" s="13" t="s">
        <v>841</v>
      </c>
      <c r="E179" s="13" t="s">
        <v>842</v>
      </c>
      <c r="F179" s="18" t="s">
        <v>149</v>
      </c>
      <c r="G179" s="18">
        <v>45761</v>
      </c>
      <c r="H179" s="18" t="s">
        <v>35</v>
      </c>
      <c r="I179" s="13" t="s">
        <v>23</v>
      </c>
      <c r="J179" s="13" t="s">
        <v>24</v>
      </c>
      <c r="K179" s="13" t="s">
        <v>36</v>
      </c>
      <c r="L179" s="13" t="s">
        <v>150</v>
      </c>
      <c r="M179" s="13" t="s">
        <v>1621</v>
      </c>
      <c r="N179" s="4" t="s">
        <v>843</v>
      </c>
      <c r="O179" s="4" t="s">
        <v>28</v>
      </c>
      <c r="P179" s="1" t="s">
        <v>5</v>
      </c>
      <c r="Q179" s="1" t="s">
        <v>29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3">
        <f t="shared" si="32"/>
        <v>0</v>
      </c>
      <c r="AU179" s="3">
        <f t="shared" si="33"/>
        <v>1</v>
      </c>
      <c r="AV179" s="3">
        <f t="shared" si="34"/>
        <v>0</v>
      </c>
      <c r="AW179" s="3">
        <f t="shared" si="35"/>
        <v>0</v>
      </c>
      <c r="AX179" s="3">
        <f t="shared" si="36"/>
        <v>0</v>
      </c>
      <c r="AY179" s="3">
        <f t="shared" si="37"/>
        <v>1</v>
      </c>
      <c r="AZ179" s="3">
        <f t="shared" si="38"/>
        <v>0</v>
      </c>
      <c r="BA179" s="3">
        <f t="shared" si="39"/>
        <v>0</v>
      </c>
      <c r="BB179" s="3">
        <f t="shared" si="40"/>
        <v>0</v>
      </c>
      <c r="BC179" s="3">
        <f t="shared" si="41"/>
        <v>0</v>
      </c>
      <c r="BD179" s="3">
        <f t="shared" si="42"/>
        <v>0</v>
      </c>
      <c r="BE179" s="3">
        <f t="shared" si="43"/>
        <v>0</v>
      </c>
      <c r="BF179" s="3">
        <f t="shared" si="44"/>
        <v>0</v>
      </c>
      <c r="BG179" s="3">
        <f t="shared" si="45"/>
        <v>0</v>
      </c>
      <c r="BH179" s="3">
        <f t="shared" si="46"/>
        <v>0</v>
      </c>
      <c r="BI179" s="3">
        <f t="shared" si="47"/>
        <v>2</v>
      </c>
    </row>
    <row r="180" spans="1:61" x14ac:dyDescent="0.25">
      <c r="A180" s="29">
        <v>175</v>
      </c>
      <c r="B180" s="3" t="s">
        <v>1040</v>
      </c>
      <c r="C180" s="13" t="s">
        <v>280</v>
      </c>
      <c r="D180" s="13" t="s">
        <v>1041</v>
      </c>
      <c r="E180" s="13" t="s">
        <v>1042</v>
      </c>
      <c r="F180" s="18" t="s">
        <v>55</v>
      </c>
      <c r="G180" s="18">
        <v>45761</v>
      </c>
      <c r="H180" s="18" t="s">
        <v>35</v>
      </c>
      <c r="I180" s="13" t="s">
        <v>23</v>
      </c>
      <c r="J180" s="13" t="s">
        <v>24</v>
      </c>
      <c r="K180" s="13" t="s">
        <v>226</v>
      </c>
      <c r="L180" s="13" t="s">
        <v>26</v>
      </c>
      <c r="M180" s="13" t="s">
        <v>1621</v>
      </c>
      <c r="N180" s="4" t="s">
        <v>1043</v>
      </c>
      <c r="O180" s="4" t="s">
        <v>28</v>
      </c>
      <c r="P180" s="1" t="s">
        <v>5</v>
      </c>
      <c r="Q180" s="1" t="s">
        <v>39</v>
      </c>
      <c r="R180" s="1" t="s">
        <v>39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3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3">
        <f t="shared" si="32"/>
        <v>2</v>
      </c>
      <c r="AU180" s="3">
        <f t="shared" si="33"/>
        <v>0</v>
      </c>
      <c r="AV180" s="3">
        <f t="shared" si="34"/>
        <v>0</v>
      </c>
      <c r="AW180" s="3">
        <f t="shared" si="35"/>
        <v>0</v>
      </c>
      <c r="AX180" s="3">
        <f t="shared" si="36"/>
        <v>0</v>
      </c>
      <c r="AY180" s="3">
        <f t="shared" si="37"/>
        <v>1</v>
      </c>
      <c r="AZ180" s="3">
        <f t="shared" si="38"/>
        <v>0</v>
      </c>
      <c r="BA180" s="3">
        <f t="shared" si="39"/>
        <v>0</v>
      </c>
      <c r="BB180" s="3">
        <f t="shared" si="40"/>
        <v>0</v>
      </c>
      <c r="BC180" s="3">
        <f t="shared" si="41"/>
        <v>0</v>
      </c>
      <c r="BD180" s="3">
        <f t="shared" si="42"/>
        <v>0</v>
      </c>
      <c r="BE180" s="3">
        <f t="shared" si="43"/>
        <v>0</v>
      </c>
      <c r="BF180" s="3">
        <f t="shared" si="44"/>
        <v>0</v>
      </c>
      <c r="BG180" s="3">
        <f t="shared" si="45"/>
        <v>0</v>
      </c>
      <c r="BH180" s="3">
        <f t="shared" si="46"/>
        <v>0</v>
      </c>
      <c r="BI180" s="3">
        <f t="shared" si="47"/>
        <v>3</v>
      </c>
    </row>
    <row r="181" spans="1:61" x14ac:dyDescent="0.25">
      <c r="A181" s="29">
        <v>176</v>
      </c>
      <c r="B181" s="3" t="s">
        <v>117</v>
      </c>
      <c r="C181" s="13" t="s">
        <v>118</v>
      </c>
      <c r="D181" s="13" t="s">
        <v>119</v>
      </c>
      <c r="E181" s="13" t="s">
        <v>120</v>
      </c>
      <c r="F181" s="18" t="s">
        <v>67</v>
      </c>
      <c r="G181" s="18">
        <v>45761</v>
      </c>
      <c r="H181" s="18" t="s">
        <v>35</v>
      </c>
      <c r="I181" s="13" t="s">
        <v>23</v>
      </c>
      <c r="J181" s="13" t="s">
        <v>24</v>
      </c>
      <c r="K181" s="13" t="s">
        <v>25</v>
      </c>
      <c r="L181" s="13" t="s">
        <v>26</v>
      </c>
      <c r="M181" s="13" t="s">
        <v>1621</v>
      </c>
      <c r="N181" s="4" t="s">
        <v>121</v>
      </c>
      <c r="O181" s="4" t="s">
        <v>28</v>
      </c>
      <c r="P181" s="1" t="s">
        <v>5</v>
      </c>
      <c r="Q181" s="1" t="s">
        <v>39</v>
      </c>
      <c r="R181" s="1" t="s">
        <v>39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3">
        <f t="shared" si="32"/>
        <v>2</v>
      </c>
      <c r="AU181" s="3">
        <f t="shared" si="33"/>
        <v>0</v>
      </c>
      <c r="AV181" s="3">
        <f t="shared" si="34"/>
        <v>0</v>
      </c>
      <c r="AW181" s="3">
        <f t="shared" si="35"/>
        <v>0</v>
      </c>
      <c r="AX181" s="3">
        <f t="shared" si="36"/>
        <v>0</v>
      </c>
      <c r="AY181" s="3">
        <f t="shared" si="37"/>
        <v>1</v>
      </c>
      <c r="AZ181" s="3">
        <f t="shared" si="38"/>
        <v>0</v>
      </c>
      <c r="BA181" s="3">
        <f t="shared" si="39"/>
        <v>0</v>
      </c>
      <c r="BB181" s="3">
        <f t="shared" si="40"/>
        <v>0</v>
      </c>
      <c r="BC181" s="3">
        <f t="shared" si="41"/>
        <v>0</v>
      </c>
      <c r="BD181" s="3">
        <f t="shared" si="42"/>
        <v>0</v>
      </c>
      <c r="BE181" s="3">
        <f t="shared" si="43"/>
        <v>0</v>
      </c>
      <c r="BF181" s="3">
        <f t="shared" si="44"/>
        <v>0</v>
      </c>
      <c r="BG181" s="3">
        <f t="shared" si="45"/>
        <v>0</v>
      </c>
      <c r="BH181" s="3">
        <f t="shared" si="46"/>
        <v>0</v>
      </c>
      <c r="BI181" s="3">
        <f t="shared" si="47"/>
        <v>3</v>
      </c>
    </row>
    <row r="182" spans="1:61" x14ac:dyDescent="0.25">
      <c r="A182" s="29">
        <v>178</v>
      </c>
      <c r="B182" s="3" t="s">
        <v>303</v>
      </c>
      <c r="C182" s="13" t="s">
        <v>304</v>
      </c>
      <c r="D182" s="13" t="s">
        <v>305</v>
      </c>
      <c r="E182" s="13" t="s">
        <v>306</v>
      </c>
      <c r="F182" s="18" t="s">
        <v>102</v>
      </c>
      <c r="G182" s="18">
        <v>45761</v>
      </c>
      <c r="H182" s="18" t="s">
        <v>35</v>
      </c>
      <c r="I182" s="13" t="s">
        <v>23</v>
      </c>
      <c r="J182" s="13" t="s">
        <v>24</v>
      </c>
      <c r="K182" s="13" t="s">
        <v>25</v>
      </c>
      <c r="L182" s="13" t="s">
        <v>26</v>
      </c>
      <c r="M182" s="13" t="s">
        <v>1621</v>
      </c>
      <c r="N182" s="4" t="s">
        <v>307</v>
      </c>
      <c r="O182" s="4" t="s">
        <v>28</v>
      </c>
      <c r="P182" s="1" t="s">
        <v>5</v>
      </c>
      <c r="Q182" s="1" t="s">
        <v>39</v>
      </c>
      <c r="R182" s="1" t="s">
        <v>39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3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3">
        <f t="shared" si="32"/>
        <v>2</v>
      </c>
      <c r="AU182" s="3">
        <f t="shared" si="33"/>
        <v>0</v>
      </c>
      <c r="AV182" s="3">
        <f t="shared" si="34"/>
        <v>0</v>
      </c>
      <c r="AW182" s="3">
        <f t="shared" si="35"/>
        <v>0</v>
      </c>
      <c r="AX182" s="3">
        <f t="shared" si="36"/>
        <v>0</v>
      </c>
      <c r="AY182" s="3">
        <f t="shared" si="37"/>
        <v>1</v>
      </c>
      <c r="AZ182" s="3">
        <f t="shared" si="38"/>
        <v>0</v>
      </c>
      <c r="BA182" s="3">
        <f t="shared" si="39"/>
        <v>0</v>
      </c>
      <c r="BB182" s="3">
        <f t="shared" si="40"/>
        <v>0</v>
      </c>
      <c r="BC182" s="3">
        <f t="shared" si="41"/>
        <v>0</v>
      </c>
      <c r="BD182" s="3">
        <f t="shared" si="42"/>
        <v>0</v>
      </c>
      <c r="BE182" s="3">
        <f t="shared" si="43"/>
        <v>0</v>
      </c>
      <c r="BF182" s="3">
        <f t="shared" si="44"/>
        <v>0</v>
      </c>
      <c r="BG182" s="3">
        <f t="shared" si="45"/>
        <v>0</v>
      </c>
      <c r="BH182" s="3">
        <f t="shared" si="46"/>
        <v>0</v>
      </c>
      <c r="BI182" s="3">
        <f t="shared" si="47"/>
        <v>3</v>
      </c>
    </row>
    <row r="183" spans="1:61" x14ac:dyDescent="0.25">
      <c r="A183" s="29">
        <v>177</v>
      </c>
      <c r="B183" s="3" t="s">
        <v>844</v>
      </c>
      <c r="C183" s="13" t="s">
        <v>845</v>
      </c>
      <c r="D183" s="13" t="s">
        <v>841</v>
      </c>
      <c r="E183" s="13" t="s">
        <v>846</v>
      </c>
      <c r="F183" s="18" t="s">
        <v>1522</v>
      </c>
      <c r="G183" s="18">
        <v>45761</v>
      </c>
      <c r="H183" s="18" t="s">
        <v>35</v>
      </c>
      <c r="I183" s="13" t="s">
        <v>23</v>
      </c>
      <c r="J183" s="13" t="s">
        <v>24</v>
      </c>
      <c r="K183" s="13" t="s">
        <v>36</v>
      </c>
      <c r="L183" s="13" t="s">
        <v>37</v>
      </c>
      <c r="M183" s="13" t="s">
        <v>1621</v>
      </c>
      <c r="N183" s="4" t="s">
        <v>847</v>
      </c>
      <c r="O183" s="4" t="s">
        <v>28</v>
      </c>
      <c r="P183" s="1" t="s">
        <v>5</v>
      </c>
      <c r="Q183" s="1" t="s">
        <v>29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3">
        <f t="shared" si="32"/>
        <v>0</v>
      </c>
      <c r="AU183" s="3">
        <f t="shared" si="33"/>
        <v>1</v>
      </c>
      <c r="AV183" s="3">
        <f t="shared" si="34"/>
        <v>0</v>
      </c>
      <c r="AW183" s="3">
        <f t="shared" si="35"/>
        <v>0</v>
      </c>
      <c r="AX183" s="3">
        <f t="shared" si="36"/>
        <v>0</v>
      </c>
      <c r="AY183" s="3">
        <f t="shared" si="37"/>
        <v>1</v>
      </c>
      <c r="AZ183" s="3">
        <f t="shared" si="38"/>
        <v>0</v>
      </c>
      <c r="BA183" s="3">
        <f t="shared" si="39"/>
        <v>0</v>
      </c>
      <c r="BB183" s="3">
        <f t="shared" si="40"/>
        <v>0</v>
      </c>
      <c r="BC183" s="3">
        <f t="shared" si="41"/>
        <v>0</v>
      </c>
      <c r="BD183" s="3">
        <f t="shared" si="42"/>
        <v>0</v>
      </c>
      <c r="BE183" s="3">
        <f t="shared" si="43"/>
        <v>0</v>
      </c>
      <c r="BF183" s="3">
        <f t="shared" si="44"/>
        <v>0</v>
      </c>
      <c r="BG183" s="3">
        <f t="shared" si="45"/>
        <v>0</v>
      </c>
      <c r="BH183" s="3">
        <f t="shared" si="46"/>
        <v>0</v>
      </c>
      <c r="BI183" s="3">
        <f t="shared" si="47"/>
        <v>2</v>
      </c>
    </row>
    <row r="184" spans="1:61" x14ac:dyDescent="0.25">
      <c r="A184" s="29">
        <v>180</v>
      </c>
      <c r="B184" s="3" t="s">
        <v>281</v>
      </c>
      <c r="C184" s="13" t="s">
        <v>282</v>
      </c>
      <c r="D184" s="13" t="s">
        <v>280</v>
      </c>
      <c r="E184" s="13" t="s">
        <v>283</v>
      </c>
      <c r="F184" s="18" t="s">
        <v>138</v>
      </c>
      <c r="G184" s="18">
        <v>45768</v>
      </c>
      <c r="H184" s="18" t="s">
        <v>35</v>
      </c>
      <c r="I184" s="13" t="s">
        <v>23</v>
      </c>
      <c r="J184" s="13" t="s">
        <v>24</v>
      </c>
      <c r="K184" s="13" t="s">
        <v>36</v>
      </c>
      <c r="L184" s="13" t="s">
        <v>57</v>
      </c>
      <c r="M184" s="13" t="s">
        <v>1621</v>
      </c>
      <c r="N184" s="4" t="s">
        <v>284</v>
      </c>
      <c r="O184" s="4" t="s">
        <v>28</v>
      </c>
      <c r="P184" s="1" t="s">
        <v>5</v>
      </c>
      <c r="Q184" s="1" t="s">
        <v>29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3">
        <f t="shared" si="32"/>
        <v>0</v>
      </c>
      <c r="AU184" s="3">
        <f t="shared" si="33"/>
        <v>1</v>
      </c>
      <c r="AV184" s="3">
        <f t="shared" si="34"/>
        <v>0</v>
      </c>
      <c r="AW184" s="3">
        <f t="shared" si="35"/>
        <v>0</v>
      </c>
      <c r="AX184" s="3">
        <f t="shared" si="36"/>
        <v>0</v>
      </c>
      <c r="AY184" s="3">
        <f t="shared" si="37"/>
        <v>1</v>
      </c>
      <c r="AZ184" s="3">
        <f t="shared" si="38"/>
        <v>0</v>
      </c>
      <c r="BA184" s="3">
        <f t="shared" si="39"/>
        <v>0</v>
      </c>
      <c r="BB184" s="3">
        <f t="shared" si="40"/>
        <v>0</v>
      </c>
      <c r="BC184" s="3">
        <f t="shared" si="41"/>
        <v>0</v>
      </c>
      <c r="BD184" s="3">
        <f t="shared" si="42"/>
        <v>0</v>
      </c>
      <c r="BE184" s="3">
        <f t="shared" si="43"/>
        <v>0</v>
      </c>
      <c r="BF184" s="3">
        <f t="shared" si="44"/>
        <v>0</v>
      </c>
      <c r="BG184" s="3">
        <f t="shared" si="45"/>
        <v>0</v>
      </c>
      <c r="BH184" s="3">
        <f t="shared" si="46"/>
        <v>0</v>
      </c>
      <c r="BI184" s="3">
        <f t="shared" si="47"/>
        <v>2</v>
      </c>
    </row>
    <row r="185" spans="1:61" x14ac:dyDescent="0.25">
      <c r="A185" s="29">
        <v>181</v>
      </c>
      <c r="B185" s="3" t="s">
        <v>1084</v>
      </c>
      <c r="C185" s="13" t="s">
        <v>229</v>
      </c>
      <c r="D185" s="13" t="s">
        <v>1085</v>
      </c>
      <c r="E185" s="13" t="s">
        <v>1086</v>
      </c>
      <c r="F185" s="18" t="s">
        <v>1522</v>
      </c>
      <c r="G185" s="18">
        <v>45768</v>
      </c>
      <c r="H185" s="18" t="s">
        <v>35</v>
      </c>
      <c r="I185" s="13" t="s">
        <v>23</v>
      </c>
      <c r="J185" s="13" t="s">
        <v>24</v>
      </c>
      <c r="K185" s="13" t="s">
        <v>36</v>
      </c>
      <c r="L185" s="13" t="s">
        <v>37</v>
      </c>
      <c r="M185" s="13" t="s">
        <v>1621</v>
      </c>
      <c r="N185" s="4" t="s">
        <v>1087</v>
      </c>
      <c r="O185" s="4" t="s">
        <v>28</v>
      </c>
      <c r="P185" s="1" t="s">
        <v>5</v>
      </c>
      <c r="Q185" s="1" t="s">
        <v>29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3">
        <f t="shared" si="32"/>
        <v>0</v>
      </c>
      <c r="AU185" s="3">
        <f t="shared" si="33"/>
        <v>1</v>
      </c>
      <c r="AV185" s="3">
        <f t="shared" si="34"/>
        <v>0</v>
      </c>
      <c r="AW185" s="3">
        <f t="shared" si="35"/>
        <v>0</v>
      </c>
      <c r="AX185" s="3">
        <f t="shared" si="36"/>
        <v>0</v>
      </c>
      <c r="AY185" s="3">
        <f t="shared" si="37"/>
        <v>1</v>
      </c>
      <c r="AZ185" s="3">
        <f t="shared" si="38"/>
        <v>0</v>
      </c>
      <c r="BA185" s="3">
        <f t="shared" si="39"/>
        <v>0</v>
      </c>
      <c r="BB185" s="3">
        <f t="shared" si="40"/>
        <v>0</v>
      </c>
      <c r="BC185" s="3">
        <f t="shared" si="41"/>
        <v>0</v>
      </c>
      <c r="BD185" s="3">
        <f t="shared" si="42"/>
        <v>0</v>
      </c>
      <c r="BE185" s="3">
        <f t="shared" si="43"/>
        <v>0</v>
      </c>
      <c r="BF185" s="3">
        <f t="shared" si="44"/>
        <v>0</v>
      </c>
      <c r="BG185" s="3">
        <f t="shared" si="45"/>
        <v>0</v>
      </c>
      <c r="BH185" s="3">
        <f t="shared" si="46"/>
        <v>0</v>
      </c>
      <c r="BI185" s="3">
        <f t="shared" si="47"/>
        <v>2</v>
      </c>
    </row>
    <row r="186" spans="1:61" x14ac:dyDescent="0.25">
      <c r="A186" s="29">
        <v>184</v>
      </c>
      <c r="B186" s="3" t="s">
        <v>786</v>
      </c>
      <c r="C186" s="13" t="s">
        <v>787</v>
      </c>
      <c r="D186" s="13" t="s">
        <v>391</v>
      </c>
      <c r="E186" s="13" t="s">
        <v>788</v>
      </c>
      <c r="F186" s="18" t="s">
        <v>1530</v>
      </c>
      <c r="G186" s="18">
        <v>45768</v>
      </c>
      <c r="H186" s="18" t="s">
        <v>35</v>
      </c>
      <c r="I186" s="13" t="s">
        <v>23</v>
      </c>
      <c r="J186" s="13" t="s">
        <v>24</v>
      </c>
      <c r="K186" s="13" t="s">
        <v>56</v>
      </c>
      <c r="L186" s="13" t="s">
        <v>57</v>
      </c>
      <c r="M186" s="13" t="s">
        <v>1621</v>
      </c>
      <c r="N186" s="4" t="s">
        <v>789</v>
      </c>
      <c r="O186" s="4" t="s">
        <v>28</v>
      </c>
      <c r="P186" s="1" t="s">
        <v>39</v>
      </c>
      <c r="Q186" s="1" t="s">
        <v>5</v>
      </c>
      <c r="R186" s="1" t="s">
        <v>5</v>
      </c>
      <c r="S186" s="1" t="s">
        <v>5</v>
      </c>
      <c r="T186" s="1" t="s">
        <v>5</v>
      </c>
      <c r="U186" s="1" t="s">
        <v>5</v>
      </c>
      <c r="V186" s="1" t="s">
        <v>5</v>
      </c>
      <c r="W186" s="1" t="s">
        <v>5</v>
      </c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3">
        <f t="shared" si="32"/>
        <v>1</v>
      </c>
      <c r="AU186" s="3">
        <f t="shared" si="33"/>
        <v>0</v>
      </c>
      <c r="AV186" s="3">
        <f t="shared" si="34"/>
        <v>0</v>
      </c>
      <c r="AW186" s="3">
        <f t="shared" si="35"/>
        <v>0</v>
      </c>
      <c r="AX186" s="3">
        <f t="shared" si="36"/>
        <v>0</v>
      </c>
      <c r="AY186" s="3">
        <f t="shared" si="37"/>
        <v>7</v>
      </c>
      <c r="AZ186" s="3">
        <f t="shared" si="38"/>
        <v>0</v>
      </c>
      <c r="BA186" s="3">
        <f t="shared" si="39"/>
        <v>0</v>
      </c>
      <c r="BB186" s="3">
        <f t="shared" si="40"/>
        <v>0</v>
      </c>
      <c r="BC186" s="3">
        <f t="shared" si="41"/>
        <v>0</v>
      </c>
      <c r="BD186" s="3">
        <f t="shared" si="42"/>
        <v>0</v>
      </c>
      <c r="BE186" s="3">
        <f t="shared" si="43"/>
        <v>0</v>
      </c>
      <c r="BF186" s="3">
        <f t="shared" si="44"/>
        <v>0</v>
      </c>
      <c r="BG186" s="3">
        <f t="shared" si="45"/>
        <v>0</v>
      </c>
      <c r="BH186" s="3">
        <f t="shared" si="46"/>
        <v>0</v>
      </c>
      <c r="BI186" s="3">
        <f t="shared" si="47"/>
        <v>8</v>
      </c>
    </row>
    <row r="187" spans="1:61" x14ac:dyDescent="0.25">
      <c r="A187" s="29">
        <v>183</v>
      </c>
      <c r="B187" s="3" t="s">
        <v>313</v>
      </c>
      <c r="C187" s="13" t="s">
        <v>314</v>
      </c>
      <c r="D187" s="13" t="s">
        <v>315</v>
      </c>
      <c r="E187" s="13" t="s">
        <v>316</v>
      </c>
      <c r="F187" s="18" t="s">
        <v>1522</v>
      </c>
      <c r="G187" s="18">
        <v>45768</v>
      </c>
      <c r="H187" s="18" t="s">
        <v>35</v>
      </c>
      <c r="I187" s="13" t="s">
        <v>23</v>
      </c>
      <c r="J187" s="13" t="s">
        <v>24</v>
      </c>
      <c r="K187" s="13" t="s">
        <v>43</v>
      </c>
      <c r="L187" s="13" t="s">
        <v>44</v>
      </c>
      <c r="M187" s="13" t="s">
        <v>1621</v>
      </c>
      <c r="N187" s="4" t="s">
        <v>317</v>
      </c>
      <c r="O187" s="4" t="s">
        <v>28</v>
      </c>
      <c r="P187" s="1" t="s">
        <v>29</v>
      </c>
      <c r="Q187" s="1" t="s">
        <v>5</v>
      </c>
      <c r="R187" s="1" t="s">
        <v>5</v>
      </c>
      <c r="S187" s="1" t="s">
        <v>5</v>
      </c>
      <c r="T187" s="1" t="s">
        <v>5</v>
      </c>
      <c r="U187" s="1" t="s">
        <v>5</v>
      </c>
      <c r="V187" s="1" t="s">
        <v>5</v>
      </c>
      <c r="W187" s="1" t="s">
        <v>5</v>
      </c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3"/>
      <c r="AP187" s="1"/>
      <c r="AQ187" s="1"/>
      <c r="AR187" s="1"/>
      <c r="AS187" s="1"/>
      <c r="AT187" s="3">
        <f t="shared" si="32"/>
        <v>0</v>
      </c>
      <c r="AU187" s="3">
        <f t="shared" si="33"/>
        <v>1</v>
      </c>
      <c r="AV187" s="3">
        <f t="shared" si="34"/>
        <v>0</v>
      </c>
      <c r="AW187" s="3">
        <f t="shared" si="35"/>
        <v>0</v>
      </c>
      <c r="AX187" s="3">
        <f t="shared" si="36"/>
        <v>0</v>
      </c>
      <c r="AY187" s="3">
        <f t="shared" si="37"/>
        <v>7</v>
      </c>
      <c r="AZ187" s="3">
        <f t="shared" si="38"/>
        <v>0</v>
      </c>
      <c r="BA187" s="3">
        <f t="shared" si="39"/>
        <v>0</v>
      </c>
      <c r="BB187" s="3">
        <f t="shared" si="40"/>
        <v>0</v>
      </c>
      <c r="BC187" s="3">
        <f t="shared" si="41"/>
        <v>0</v>
      </c>
      <c r="BD187" s="3">
        <f t="shared" si="42"/>
        <v>0</v>
      </c>
      <c r="BE187" s="3">
        <f t="shared" si="43"/>
        <v>0</v>
      </c>
      <c r="BF187" s="3">
        <f t="shared" si="44"/>
        <v>0</v>
      </c>
      <c r="BG187" s="3">
        <f t="shared" si="45"/>
        <v>0</v>
      </c>
      <c r="BH187" s="3">
        <f t="shared" si="46"/>
        <v>0</v>
      </c>
      <c r="BI187" s="3">
        <f t="shared" si="47"/>
        <v>8</v>
      </c>
    </row>
    <row r="188" spans="1:61" x14ac:dyDescent="0.25">
      <c r="A188" s="29">
        <v>185</v>
      </c>
      <c r="B188" s="3" t="s">
        <v>479</v>
      </c>
      <c r="C188" s="13" t="s">
        <v>480</v>
      </c>
      <c r="D188" s="13" t="s">
        <v>481</v>
      </c>
      <c r="E188" s="13" t="s">
        <v>482</v>
      </c>
      <c r="F188" s="18" t="s">
        <v>1522</v>
      </c>
      <c r="G188" s="18">
        <v>45768</v>
      </c>
      <c r="H188" s="18" t="s">
        <v>35</v>
      </c>
      <c r="I188" s="13" t="s">
        <v>23</v>
      </c>
      <c r="J188" s="13" t="s">
        <v>24</v>
      </c>
      <c r="K188" s="13" t="s">
        <v>43</v>
      </c>
      <c r="L188" s="13" t="s">
        <v>44</v>
      </c>
      <c r="M188" s="13" t="s">
        <v>1621</v>
      </c>
      <c r="N188" s="4" t="s">
        <v>483</v>
      </c>
      <c r="O188" s="4" t="s">
        <v>28</v>
      </c>
      <c r="P188" s="1" t="s">
        <v>29</v>
      </c>
      <c r="Q188" s="1" t="s">
        <v>5</v>
      </c>
      <c r="R188" s="1" t="s">
        <v>5</v>
      </c>
      <c r="S188" s="1" t="s">
        <v>5</v>
      </c>
      <c r="T188" s="1" t="s">
        <v>5</v>
      </c>
      <c r="U188" s="1" t="s">
        <v>5</v>
      </c>
      <c r="V188" s="1" t="s">
        <v>5</v>
      </c>
      <c r="W188" s="1" t="s">
        <v>5</v>
      </c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3"/>
      <c r="AP188" s="3"/>
      <c r="AQ188" s="3"/>
      <c r="AR188" s="3"/>
      <c r="AS188" s="3"/>
      <c r="AT188" s="3">
        <f t="shared" si="32"/>
        <v>0</v>
      </c>
      <c r="AU188" s="3">
        <f t="shared" si="33"/>
        <v>1</v>
      </c>
      <c r="AV188" s="3">
        <f t="shared" si="34"/>
        <v>0</v>
      </c>
      <c r="AW188" s="3">
        <f t="shared" si="35"/>
        <v>0</v>
      </c>
      <c r="AX188" s="3">
        <f t="shared" si="36"/>
        <v>0</v>
      </c>
      <c r="AY188" s="3">
        <f t="shared" si="37"/>
        <v>7</v>
      </c>
      <c r="AZ188" s="3">
        <f t="shared" si="38"/>
        <v>0</v>
      </c>
      <c r="BA188" s="3">
        <f t="shared" si="39"/>
        <v>0</v>
      </c>
      <c r="BB188" s="3">
        <f t="shared" si="40"/>
        <v>0</v>
      </c>
      <c r="BC188" s="3">
        <f t="shared" si="41"/>
        <v>0</v>
      </c>
      <c r="BD188" s="3">
        <f t="shared" si="42"/>
        <v>0</v>
      </c>
      <c r="BE188" s="3">
        <f t="shared" si="43"/>
        <v>0</v>
      </c>
      <c r="BF188" s="3">
        <f t="shared" si="44"/>
        <v>0</v>
      </c>
      <c r="BG188" s="3">
        <f t="shared" si="45"/>
        <v>0</v>
      </c>
      <c r="BH188" s="3">
        <f t="shared" si="46"/>
        <v>0</v>
      </c>
      <c r="BI188" s="3">
        <f t="shared" si="47"/>
        <v>8</v>
      </c>
    </row>
    <row r="189" spans="1:61" x14ac:dyDescent="0.25">
      <c r="A189" s="29">
        <v>186</v>
      </c>
      <c r="B189" s="3" t="s">
        <v>190</v>
      </c>
      <c r="C189" s="13" t="s">
        <v>191</v>
      </c>
      <c r="D189" s="13" t="s">
        <v>192</v>
      </c>
      <c r="E189" s="13" t="s">
        <v>193</v>
      </c>
      <c r="F189" s="18" t="s">
        <v>102</v>
      </c>
      <c r="G189" s="18">
        <v>45768</v>
      </c>
      <c r="H189" s="18" t="s">
        <v>35</v>
      </c>
      <c r="I189" s="13" t="s">
        <v>23</v>
      </c>
      <c r="J189" s="13" t="s">
        <v>24</v>
      </c>
      <c r="K189" s="13" t="s">
        <v>56</v>
      </c>
      <c r="L189" s="13" t="s">
        <v>85</v>
      </c>
      <c r="M189" s="13" t="s">
        <v>1621</v>
      </c>
      <c r="N189" s="4" t="s">
        <v>194</v>
      </c>
      <c r="O189" s="4" t="s">
        <v>28</v>
      </c>
      <c r="P189" s="1" t="s">
        <v>39</v>
      </c>
      <c r="Q189" s="1" t="s">
        <v>5</v>
      </c>
      <c r="R189" s="1" t="s">
        <v>5</v>
      </c>
      <c r="S189" s="1" t="s">
        <v>5</v>
      </c>
      <c r="T189" s="1" t="s">
        <v>5</v>
      </c>
      <c r="U189" s="1" t="s">
        <v>5</v>
      </c>
      <c r="V189" s="1" t="s">
        <v>5</v>
      </c>
      <c r="W189" s="1" t="s">
        <v>5</v>
      </c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3">
        <f t="shared" si="32"/>
        <v>1</v>
      </c>
      <c r="AU189" s="3">
        <f t="shared" si="33"/>
        <v>0</v>
      </c>
      <c r="AV189" s="3">
        <f t="shared" si="34"/>
        <v>0</v>
      </c>
      <c r="AW189" s="3">
        <f t="shared" si="35"/>
        <v>0</v>
      </c>
      <c r="AX189" s="3">
        <f t="shared" si="36"/>
        <v>0</v>
      </c>
      <c r="AY189" s="3">
        <f t="shared" si="37"/>
        <v>7</v>
      </c>
      <c r="AZ189" s="3">
        <f t="shared" si="38"/>
        <v>0</v>
      </c>
      <c r="BA189" s="3">
        <f t="shared" si="39"/>
        <v>0</v>
      </c>
      <c r="BB189" s="3">
        <f t="shared" si="40"/>
        <v>0</v>
      </c>
      <c r="BC189" s="3">
        <f t="shared" si="41"/>
        <v>0</v>
      </c>
      <c r="BD189" s="3">
        <f t="shared" si="42"/>
        <v>0</v>
      </c>
      <c r="BE189" s="3">
        <f t="shared" si="43"/>
        <v>0</v>
      </c>
      <c r="BF189" s="3">
        <f t="shared" si="44"/>
        <v>0</v>
      </c>
      <c r="BG189" s="3">
        <f t="shared" si="45"/>
        <v>0</v>
      </c>
      <c r="BH189" s="3">
        <f t="shared" si="46"/>
        <v>0</v>
      </c>
      <c r="BI189" s="3">
        <f t="shared" si="47"/>
        <v>8</v>
      </c>
    </row>
    <row r="190" spans="1:61" x14ac:dyDescent="0.25">
      <c r="A190" s="29">
        <v>187</v>
      </c>
      <c r="B190" s="3" t="s">
        <v>238</v>
      </c>
      <c r="C190" s="13" t="s">
        <v>239</v>
      </c>
      <c r="D190" s="13" t="s">
        <v>240</v>
      </c>
      <c r="E190" s="13" t="s">
        <v>241</v>
      </c>
      <c r="F190" s="18" t="s">
        <v>1530</v>
      </c>
      <c r="G190" s="18">
        <v>45768</v>
      </c>
      <c r="H190" s="18" t="s">
        <v>35</v>
      </c>
      <c r="I190" s="13" t="s">
        <v>23</v>
      </c>
      <c r="J190" s="13" t="s">
        <v>24</v>
      </c>
      <c r="K190" s="13" t="s">
        <v>56</v>
      </c>
      <c r="L190" s="13" t="s">
        <v>26</v>
      </c>
      <c r="M190" s="13" t="s">
        <v>1621</v>
      </c>
      <c r="N190" s="4" t="s">
        <v>242</v>
      </c>
      <c r="O190" s="4" t="s">
        <v>28</v>
      </c>
      <c r="P190" s="1" t="s">
        <v>510</v>
      </c>
      <c r="Q190" s="1" t="s">
        <v>5</v>
      </c>
      <c r="R190" s="1" t="s">
        <v>5</v>
      </c>
      <c r="S190" s="1" t="s">
        <v>5</v>
      </c>
      <c r="T190" s="1" t="s">
        <v>5</v>
      </c>
      <c r="U190" s="1" t="s">
        <v>5</v>
      </c>
      <c r="V190" s="1" t="s">
        <v>5</v>
      </c>
      <c r="W190" s="1" t="s">
        <v>5</v>
      </c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3">
        <f t="shared" si="32"/>
        <v>0</v>
      </c>
      <c r="AU190" s="3">
        <f t="shared" si="33"/>
        <v>0</v>
      </c>
      <c r="AV190" s="3">
        <f t="shared" si="34"/>
        <v>0</v>
      </c>
      <c r="AW190" s="3">
        <f t="shared" si="35"/>
        <v>1</v>
      </c>
      <c r="AX190" s="3">
        <f t="shared" si="36"/>
        <v>0</v>
      </c>
      <c r="AY190" s="3">
        <f t="shared" si="37"/>
        <v>7</v>
      </c>
      <c r="AZ190" s="3">
        <f t="shared" si="38"/>
        <v>0</v>
      </c>
      <c r="BA190" s="3">
        <f t="shared" si="39"/>
        <v>0</v>
      </c>
      <c r="BB190" s="3">
        <f t="shared" si="40"/>
        <v>0</v>
      </c>
      <c r="BC190" s="3">
        <f t="shared" si="41"/>
        <v>0</v>
      </c>
      <c r="BD190" s="3">
        <f t="shared" si="42"/>
        <v>0</v>
      </c>
      <c r="BE190" s="3">
        <f t="shared" si="43"/>
        <v>0</v>
      </c>
      <c r="BF190" s="3">
        <f t="shared" si="44"/>
        <v>0</v>
      </c>
      <c r="BG190" s="3">
        <f t="shared" si="45"/>
        <v>0</v>
      </c>
      <c r="BH190" s="3">
        <f t="shared" si="46"/>
        <v>0</v>
      </c>
      <c r="BI190" s="3">
        <f t="shared" si="47"/>
        <v>8</v>
      </c>
    </row>
    <row r="191" spans="1:61" x14ac:dyDescent="0.25">
      <c r="A191" s="29">
        <v>182</v>
      </c>
      <c r="B191" s="3" t="s">
        <v>152</v>
      </c>
      <c r="C191" s="13" t="s">
        <v>153</v>
      </c>
      <c r="D191" s="13" t="s">
        <v>147</v>
      </c>
      <c r="E191" s="13" t="s">
        <v>154</v>
      </c>
      <c r="F191" s="18" t="s">
        <v>34</v>
      </c>
      <c r="G191" s="18">
        <v>45768</v>
      </c>
      <c r="H191" s="18" t="s">
        <v>35</v>
      </c>
      <c r="I191" s="13" t="s">
        <v>23</v>
      </c>
      <c r="J191" s="13" t="s">
        <v>24</v>
      </c>
      <c r="K191" s="13" t="s">
        <v>25</v>
      </c>
      <c r="L191" s="13" t="s">
        <v>26</v>
      </c>
      <c r="M191" s="13" t="s">
        <v>1621</v>
      </c>
      <c r="N191" s="4" t="s">
        <v>155</v>
      </c>
      <c r="O191" s="4" t="s">
        <v>28</v>
      </c>
      <c r="P191" s="1" t="s">
        <v>5</v>
      </c>
      <c r="Q191" s="1" t="s">
        <v>39</v>
      </c>
      <c r="R191" s="1" t="s">
        <v>39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3">
        <f t="shared" si="32"/>
        <v>2</v>
      </c>
      <c r="AU191" s="3">
        <f t="shared" si="33"/>
        <v>0</v>
      </c>
      <c r="AV191" s="3">
        <f t="shared" si="34"/>
        <v>0</v>
      </c>
      <c r="AW191" s="3">
        <f t="shared" si="35"/>
        <v>0</v>
      </c>
      <c r="AX191" s="3">
        <f t="shared" si="36"/>
        <v>0</v>
      </c>
      <c r="AY191" s="3">
        <f t="shared" si="37"/>
        <v>1</v>
      </c>
      <c r="AZ191" s="3">
        <f t="shared" si="38"/>
        <v>0</v>
      </c>
      <c r="BA191" s="3">
        <f t="shared" si="39"/>
        <v>0</v>
      </c>
      <c r="BB191" s="3">
        <f t="shared" si="40"/>
        <v>0</v>
      </c>
      <c r="BC191" s="3">
        <f t="shared" si="41"/>
        <v>0</v>
      </c>
      <c r="BD191" s="3">
        <f t="shared" si="42"/>
        <v>0</v>
      </c>
      <c r="BE191" s="3">
        <f t="shared" si="43"/>
        <v>0</v>
      </c>
      <c r="BF191" s="3">
        <f t="shared" si="44"/>
        <v>0</v>
      </c>
      <c r="BG191" s="3">
        <f t="shared" si="45"/>
        <v>0</v>
      </c>
      <c r="BH191" s="3">
        <f t="shared" si="46"/>
        <v>0</v>
      </c>
      <c r="BI191" s="3">
        <f t="shared" si="47"/>
        <v>3</v>
      </c>
    </row>
    <row r="192" spans="1:61" x14ac:dyDescent="0.25">
      <c r="A192" s="29">
        <v>188</v>
      </c>
      <c r="B192" s="3" t="s">
        <v>209</v>
      </c>
      <c r="C192" s="13" t="s">
        <v>146</v>
      </c>
      <c r="D192" s="13" t="s">
        <v>206</v>
      </c>
      <c r="E192" s="13" t="s">
        <v>210</v>
      </c>
      <c r="F192" s="18" t="s">
        <v>138</v>
      </c>
      <c r="G192" s="18">
        <v>45768</v>
      </c>
      <c r="H192" s="18" t="s">
        <v>35</v>
      </c>
      <c r="I192" s="13" t="s">
        <v>23</v>
      </c>
      <c r="J192" s="13" t="s">
        <v>24</v>
      </c>
      <c r="K192" s="13" t="s">
        <v>43</v>
      </c>
      <c r="L192" s="13" t="s">
        <v>44</v>
      </c>
      <c r="M192" s="13" t="s">
        <v>1621</v>
      </c>
      <c r="N192" s="4" t="s">
        <v>211</v>
      </c>
      <c r="O192" s="4" t="s">
        <v>28</v>
      </c>
      <c r="P192" s="1" t="s">
        <v>29</v>
      </c>
      <c r="Q192" s="1" t="s">
        <v>5</v>
      </c>
      <c r="R192" s="1" t="s">
        <v>5</v>
      </c>
      <c r="S192" s="1" t="s">
        <v>5</v>
      </c>
      <c r="T192" s="1" t="s">
        <v>5</v>
      </c>
      <c r="U192" s="1" t="s">
        <v>5</v>
      </c>
      <c r="V192" s="1" t="s">
        <v>5</v>
      </c>
      <c r="W192" s="1" t="s">
        <v>5</v>
      </c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3">
        <f t="shared" si="32"/>
        <v>0</v>
      </c>
      <c r="AU192" s="3">
        <f t="shared" si="33"/>
        <v>1</v>
      </c>
      <c r="AV192" s="3">
        <f t="shared" si="34"/>
        <v>0</v>
      </c>
      <c r="AW192" s="3">
        <f t="shared" si="35"/>
        <v>0</v>
      </c>
      <c r="AX192" s="3">
        <f t="shared" si="36"/>
        <v>0</v>
      </c>
      <c r="AY192" s="3">
        <f t="shared" si="37"/>
        <v>7</v>
      </c>
      <c r="AZ192" s="3">
        <f t="shared" si="38"/>
        <v>0</v>
      </c>
      <c r="BA192" s="3">
        <f t="shared" si="39"/>
        <v>0</v>
      </c>
      <c r="BB192" s="3">
        <f t="shared" si="40"/>
        <v>0</v>
      </c>
      <c r="BC192" s="3">
        <f t="shared" si="41"/>
        <v>0</v>
      </c>
      <c r="BD192" s="3">
        <f t="shared" si="42"/>
        <v>0</v>
      </c>
      <c r="BE192" s="3">
        <f t="shared" si="43"/>
        <v>0</v>
      </c>
      <c r="BF192" s="3">
        <f t="shared" si="44"/>
        <v>0</v>
      </c>
      <c r="BG192" s="3">
        <f t="shared" si="45"/>
        <v>0</v>
      </c>
      <c r="BH192" s="3">
        <f t="shared" si="46"/>
        <v>0</v>
      </c>
      <c r="BI192" s="3">
        <f t="shared" si="47"/>
        <v>8</v>
      </c>
    </row>
    <row r="193" spans="1:126" x14ac:dyDescent="0.25">
      <c r="A193" s="29">
        <v>190</v>
      </c>
      <c r="B193" s="3" t="s">
        <v>689</v>
      </c>
      <c r="C193" s="13" t="s">
        <v>690</v>
      </c>
      <c r="D193" s="13" t="s">
        <v>691</v>
      </c>
      <c r="E193" s="13" t="s">
        <v>692</v>
      </c>
      <c r="F193" s="18" t="s">
        <v>1522</v>
      </c>
      <c r="G193" s="18">
        <v>45768</v>
      </c>
      <c r="H193" s="18" t="s">
        <v>35</v>
      </c>
      <c r="I193" s="13" t="s">
        <v>23</v>
      </c>
      <c r="J193" s="13" t="s">
        <v>24</v>
      </c>
      <c r="K193" s="13" t="s">
        <v>43</v>
      </c>
      <c r="L193" s="13" t="s">
        <v>44</v>
      </c>
      <c r="M193" s="13" t="s">
        <v>1621</v>
      </c>
      <c r="N193" s="4" t="s">
        <v>693</v>
      </c>
      <c r="O193" s="4" t="s">
        <v>28</v>
      </c>
      <c r="P193" s="1" t="s">
        <v>92</v>
      </c>
      <c r="Q193" s="1" t="s">
        <v>92</v>
      </c>
      <c r="R193" s="1" t="s">
        <v>92</v>
      </c>
      <c r="S193" s="1" t="s">
        <v>92</v>
      </c>
      <c r="T193" s="1" t="s">
        <v>92</v>
      </c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3">
        <f t="shared" si="32"/>
        <v>0</v>
      </c>
      <c r="AU193" s="3">
        <f t="shared" si="33"/>
        <v>0</v>
      </c>
      <c r="AV193" s="3">
        <f t="shared" si="34"/>
        <v>0</v>
      </c>
      <c r="AW193" s="3">
        <f t="shared" si="35"/>
        <v>0</v>
      </c>
      <c r="AX193" s="3">
        <f t="shared" si="36"/>
        <v>0</v>
      </c>
      <c r="AY193" s="3">
        <f t="shared" si="37"/>
        <v>0</v>
      </c>
      <c r="AZ193" s="3">
        <f t="shared" si="38"/>
        <v>0</v>
      </c>
      <c r="BA193" s="3">
        <f t="shared" si="39"/>
        <v>5</v>
      </c>
      <c r="BB193" s="3">
        <f t="shared" si="40"/>
        <v>0</v>
      </c>
      <c r="BC193" s="3">
        <f t="shared" si="41"/>
        <v>0</v>
      </c>
      <c r="BD193" s="3">
        <f t="shared" si="42"/>
        <v>0</v>
      </c>
      <c r="BE193" s="3">
        <f t="shared" si="43"/>
        <v>0</v>
      </c>
      <c r="BF193" s="3">
        <f t="shared" si="44"/>
        <v>0</v>
      </c>
      <c r="BG193" s="3">
        <f t="shared" si="45"/>
        <v>0</v>
      </c>
      <c r="BH193" s="3">
        <f t="shared" si="46"/>
        <v>0</v>
      </c>
      <c r="BI193" s="3">
        <f t="shared" si="47"/>
        <v>0</v>
      </c>
    </row>
    <row r="194" spans="1:126" x14ac:dyDescent="0.25">
      <c r="A194" s="29">
        <v>189</v>
      </c>
      <c r="B194" s="3" t="s">
        <v>248</v>
      </c>
      <c r="C194" s="13" t="s">
        <v>249</v>
      </c>
      <c r="D194" s="13" t="s">
        <v>250</v>
      </c>
      <c r="E194" s="13" t="s">
        <v>251</v>
      </c>
      <c r="F194" s="18" t="s">
        <v>1522</v>
      </c>
      <c r="G194" s="18">
        <v>45768</v>
      </c>
      <c r="H194" s="18" t="s">
        <v>35</v>
      </c>
      <c r="I194" s="13" t="s">
        <v>23</v>
      </c>
      <c r="J194" s="13" t="s">
        <v>24</v>
      </c>
      <c r="K194" s="13" t="s">
        <v>43</v>
      </c>
      <c r="L194" s="13" t="s">
        <v>44</v>
      </c>
      <c r="M194" s="13" t="s">
        <v>1621</v>
      </c>
      <c r="N194" s="4" t="s">
        <v>252</v>
      </c>
      <c r="O194" s="4" t="s">
        <v>28</v>
      </c>
      <c r="P194" s="1" t="s">
        <v>29</v>
      </c>
      <c r="Q194" s="1" t="s">
        <v>5</v>
      </c>
      <c r="R194" s="1" t="s">
        <v>5</v>
      </c>
      <c r="S194" s="1" t="s">
        <v>5</v>
      </c>
      <c r="T194" s="1" t="s">
        <v>5</v>
      </c>
      <c r="U194" s="1" t="s">
        <v>5</v>
      </c>
      <c r="V194" s="1" t="s">
        <v>5</v>
      </c>
      <c r="W194" s="1" t="s">
        <v>5</v>
      </c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3">
        <f t="shared" si="32"/>
        <v>0</v>
      </c>
      <c r="AU194" s="3">
        <f t="shared" si="33"/>
        <v>1</v>
      </c>
      <c r="AV194" s="3">
        <f t="shared" si="34"/>
        <v>0</v>
      </c>
      <c r="AW194" s="3">
        <f t="shared" si="35"/>
        <v>0</v>
      </c>
      <c r="AX194" s="3">
        <f t="shared" si="36"/>
        <v>0</v>
      </c>
      <c r="AY194" s="3">
        <f t="shared" si="37"/>
        <v>7</v>
      </c>
      <c r="AZ194" s="3">
        <f t="shared" si="38"/>
        <v>0</v>
      </c>
      <c r="BA194" s="3">
        <f t="shared" si="39"/>
        <v>0</v>
      </c>
      <c r="BB194" s="3">
        <f t="shared" si="40"/>
        <v>0</v>
      </c>
      <c r="BC194" s="3">
        <f t="shared" si="41"/>
        <v>0</v>
      </c>
      <c r="BD194" s="3">
        <f t="shared" si="42"/>
        <v>0</v>
      </c>
      <c r="BE194" s="3">
        <f t="shared" si="43"/>
        <v>0</v>
      </c>
      <c r="BF194" s="3">
        <f t="shared" si="44"/>
        <v>0</v>
      </c>
      <c r="BG194" s="3">
        <f t="shared" si="45"/>
        <v>0</v>
      </c>
      <c r="BH194" s="3">
        <f t="shared" si="46"/>
        <v>0</v>
      </c>
      <c r="BI194" s="3">
        <f t="shared" si="47"/>
        <v>8</v>
      </c>
    </row>
    <row r="195" spans="1:126" x14ac:dyDescent="0.25">
      <c r="A195" s="29">
        <v>194</v>
      </c>
      <c r="B195" s="3" t="s">
        <v>761</v>
      </c>
      <c r="C195" s="13" t="s">
        <v>280</v>
      </c>
      <c r="D195" s="13" t="s">
        <v>213</v>
      </c>
      <c r="E195" s="13" t="s">
        <v>762</v>
      </c>
      <c r="F195" s="18" t="s">
        <v>1542</v>
      </c>
      <c r="G195" s="18">
        <v>45768</v>
      </c>
      <c r="H195" s="18" t="s">
        <v>35</v>
      </c>
      <c r="I195" s="13" t="s">
        <v>23</v>
      </c>
      <c r="J195" s="13" t="s">
        <v>24</v>
      </c>
      <c r="K195" s="13" t="s">
        <v>405</v>
      </c>
      <c r="L195" s="13" t="s">
        <v>68</v>
      </c>
      <c r="M195" s="13" t="s">
        <v>1621</v>
      </c>
      <c r="N195" s="4" t="s">
        <v>763</v>
      </c>
      <c r="O195" s="4" t="s">
        <v>28</v>
      </c>
      <c r="P195" s="1" t="s">
        <v>5</v>
      </c>
      <c r="Q195" s="1" t="s">
        <v>39</v>
      </c>
      <c r="R195" s="1" t="s">
        <v>39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3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3">
        <f t="shared" si="32"/>
        <v>2</v>
      </c>
      <c r="AU195" s="3">
        <f t="shared" si="33"/>
        <v>0</v>
      </c>
      <c r="AV195" s="3">
        <f t="shared" si="34"/>
        <v>0</v>
      </c>
      <c r="AW195" s="3">
        <f t="shared" si="35"/>
        <v>0</v>
      </c>
      <c r="AX195" s="3">
        <f t="shared" si="36"/>
        <v>0</v>
      </c>
      <c r="AY195" s="3">
        <f t="shared" si="37"/>
        <v>1</v>
      </c>
      <c r="AZ195" s="3">
        <f t="shared" si="38"/>
        <v>0</v>
      </c>
      <c r="BA195" s="3">
        <f t="shared" si="39"/>
        <v>0</v>
      </c>
      <c r="BB195" s="3">
        <f t="shared" si="40"/>
        <v>0</v>
      </c>
      <c r="BC195" s="3">
        <f t="shared" si="41"/>
        <v>0</v>
      </c>
      <c r="BD195" s="3">
        <f t="shared" si="42"/>
        <v>0</v>
      </c>
      <c r="BE195" s="3">
        <f t="shared" si="43"/>
        <v>0</v>
      </c>
      <c r="BF195" s="3">
        <f t="shared" si="44"/>
        <v>0</v>
      </c>
      <c r="BG195" s="3">
        <f t="shared" si="45"/>
        <v>0</v>
      </c>
      <c r="BH195" s="3">
        <f t="shared" si="46"/>
        <v>0</v>
      </c>
      <c r="BI195" s="3">
        <f t="shared" si="47"/>
        <v>3</v>
      </c>
    </row>
    <row r="196" spans="1:126" x14ac:dyDescent="0.25">
      <c r="A196" s="29">
        <v>191</v>
      </c>
      <c r="B196" s="3" t="s">
        <v>661</v>
      </c>
      <c r="C196" s="13" t="s">
        <v>662</v>
      </c>
      <c r="D196" s="13" t="s">
        <v>20</v>
      </c>
      <c r="E196" s="13" t="s">
        <v>663</v>
      </c>
      <c r="F196" s="18" t="s">
        <v>1522</v>
      </c>
      <c r="G196" s="18">
        <v>45768</v>
      </c>
      <c r="H196" s="18" t="s">
        <v>35</v>
      </c>
      <c r="I196" s="13" t="s">
        <v>23</v>
      </c>
      <c r="J196" s="13" t="s">
        <v>24</v>
      </c>
      <c r="K196" s="13" t="s">
        <v>56</v>
      </c>
      <c r="L196" s="13" t="s">
        <v>57</v>
      </c>
      <c r="M196" s="13" t="s">
        <v>1621</v>
      </c>
      <c r="N196" s="4" t="s">
        <v>664</v>
      </c>
      <c r="O196" s="4" t="s">
        <v>28</v>
      </c>
      <c r="P196" s="1" t="s">
        <v>39</v>
      </c>
      <c r="Q196" s="1" t="s">
        <v>5</v>
      </c>
      <c r="R196" s="1" t="s">
        <v>5</v>
      </c>
      <c r="S196" s="1" t="s">
        <v>5</v>
      </c>
      <c r="T196" s="1" t="s">
        <v>5</v>
      </c>
      <c r="U196" s="1" t="s">
        <v>5</v>
      </c>
      <c r="V196" s="1" t="s">
        <v>5</v>
      </c>
      <c r="W196" s="1" t="s">
        <v>5</v>
      </c>
      <c r="X196" s="1"/>
      <c r="Y196" s="1"/>
      <c r="Z196" s="1"/>
      <c r="AA196" s="1"/>
      <c r="AB196" s="1"/>
      <c r="AC196" s="1"/>
      <c r="AD196" s="1"/>
      <c r="AE196" s="1"/>
      <c r="AF196" s="1"/>
      <c r="AG196" s="3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3">
        <f t="shared" si="32"/>
        <v>1</v>
      </c>
      <c r="AU196" s="3">
        <f t="shared" si="33"/>
        <v>0</v>
      </c>
      <c r="AV196" s="3">
        <f t="shared" si="34"/>
        <v>0</v>
      </c>
      <c r="AW196" s="3">
        <f t="shared" si="35"/>
        <v>0</v>
      </c>
      <c r="AX196" s="3">
        <f t="shared" si="36"/>
        <v>0</v>
      </c>
      <c r="AY196" s="3">
        <f t="shared" si="37"/>
        <v>7</v>
      </c>
      <c r="AZ196" s="3">
        <f t="shared" si="38"/>
        <v>0</v>
      </c>
      <c r="BA196" s="3">
        <f t="shared" si="39"/>
        <v>0</v>
      </c>
      <c r="BB196" s="3">
        <f t="shared" si="40"/>
        <v>0</v>
      </c>
      <c r="BC196" s="3">
        <f t="shared" si="41"/>
        <v>0</v>
      </c>
      <c r="BD196" s="3">
        <f t="shared" si="42"/>
        <v>0</v>
      </c>
      <c r="BE196" s="3">
        <f t="shared" si="43"/>
        <v>0</v>
      </c>
      <c r="BF196" s="3">
        <f t="shared" si="44"/>
        <v>0</v>
      </c>
      <c r="BG196" s="3">
        <f t="shared" si="45"/>
        <v>0</v>
      </c>
      <c r="BH196" s="3">
        <f t="shared" si="46"/>
        <v>0</v>
      </c>
      <c r="BI196" s="3">
        <f t="shared" si="47"/>
        <v>8</v>
      </c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</row>
    <row r="197" spans="1:126" x14ac:dyDescent="0.25">
      <c r="A197" s="29">
        <v>192</v>
      </c>
      <c r="B197" s="3" t="s">
        <v>724</v>
      </c>
      <c r="C197" s="13" t="s">
        <v>725</v>
      </c>
      <c r="D197" s="13" t="s">
        <v>726</v>
      </c>
      <c r="E197" s="13" t="s">
        <v>727</v>
      </c>
      <c r="F197" s="18" t="s">
        <v>1552</v>
      </c>
      <c r="G197" s="18">
        <v>45768</v>
      </c>
      <c r="H197" s="18" t="s">
        <v>35</v>
      </c>
      <c r="I197" s="13" t="s">
        <v>23</v>
      </c>
      <c r="J197" s="13" t="s">
        <v>24</v>
      </c>
      <c r="K197" s="13" t="s">
        <v>56</v>
      </c>
      <c r="L197" s="13" t="s">
        <v>68</v>
      </c>
      <c r="M197" s="13" t="s">
        <v>1621</v>
      </c>
      <c r="N197" s="4" t="s">
        <v>728</v>
      </c>
      <c r="O197" s="4" t="s">
        <v>28</v>
      </c>
      <c r="P197" s="1" t="s">
        <v>39</v>
      </c>
      <c r="Q197" s="1" t="s">
        <v>5</v>
      </c>
      <c r="R197" s="1" t="s">
        <v>5</v>
      </c>
      <c r="S197" s="1" t="s">
        <v>5</v>
      </c>
      <c r="T197" s="1" t="s">
        <v>5</v>
      </c>
      <c r="U197" s="1" t="s">
        <v>5</v>
      </c>
      <c r="V197" s="1" t="s">
        <v>5</v>
      </c>
      <c r="W197" s="1" t="s">
        <v>5</v>
      </c>
      <c r="X197" s="1"/>
      <c r="Y197" s="1"/>
      <c r="Z197" s="1"/>
      <c r="AA197" s="1"/>
      <c r="AB197" s="1"/>
      <c r="AC197" s="1"/>
      <c r="AD197" s="1"/>
      <c r="AE197" s="1"/>
      <c r="AF197" s="1"/>
      <c r="AG197" s="3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3">
        <f t="shared" si="32"/>
        <v>1</v>
      </c>
      <c r="AU197" s="3">
        <f t="shared" si="33"/>
        <v>0</v>
      </c>
      <c r="AV197" s="3">
        <f t="shared" si="34"/>
        <v>0</v>
      </c>
      <c r="AW197" s="3">
        <f t="shared" si="35"/>
        <v>0</v>
      </c>
      <c r="AX197" s="3">
        <f t="shared" si="36"/>
        <v>0</v>
      </c>
      <c r="AY197" s="3">
        <f t="shared" si="37"/>
        <v>7</v>
      </c>
      <c r="AZ197" s="3">
        <f t="shared" si="38"/>
        <v>0</v>
      </c>
      <c r="BA197" s="3">
        <f t="shared" si="39"/>
        <v>0</v>
      </c>
      <c r="BB197" s="3">
        <f t="shared" si="40"/>
        <v>0</v>
      </c>
      <c r="BC197" s="3">
        <f t="shared" si="41"/>
        <v>0</v>
      </c>
      <c r="BD197" s="3">
        <f t="shared" si="42"/>
        <v>0</v>
      </c>
      <c r="BE197" s="3">
        <f t="shared" si="43"/>
        <v>0</v>
      </c>
      <c r="BF197" s="3">
        <f t="shared" si="44"/>
        <v>0</v>
      </c>
      <c r="BG197" s="3">
        <f t="shared" si="45"/>
        <v>0</v>
      </c>
      <c r="BH197" s="3">
        <f t="shared" si="46"/>
        <v>0</v>
      </c>
      <c r="BI197" s="3">
        <f t="shared" si="47"/>
        <v>8</v>
      </c>
    </row>
    <row r="198" spans="1:126" x14ac:dyDescent="0.25">
      <c r="A198" s="29">
        <v>193</v>
      </c>
      <c r="B198" s="3" t="s">
        <v>697</v>
      </c>
      <c r="C198" s="13" t="s">
        <v>698</v>
      </c>
      <c r="D198" s="13" t="s">
        <v>690</v>
      </c>
      <c r="E198" s="13" t="s">
        <v>1653</v>
      </c>
      <c r="F198" s="18" t="s">
        <v>1561</v>
      </c>
      <c r="G198" s="18">
        <v>45768</v>
      </c>
      <c r="H198" s="18" t="s">
        <v>35</v>
      </c>
      <c r="I198" s="13" t="s">
        <v>23</v>
      </c>
      <c r="J198" s="13" t="s">
        <v>24</v>
      </c>
      <c r="K198" s="13" t="s">
        <v>56</v>
      </c>
      <c r="L198" s="13" t="s">
        <v>57</v>
      </c>
      <c r="M198" s="13" t="s">
        <v>1621</v>
      </c>
      <c r="N198" s="4" t="s">
        <v>699</v>
      </c>
      <c r="O198" s="4" t="s">
        <v>28</v>
      </c>
      <c r="P198" s="1" t="s">
        <v>39</v>
      </c>
      <c r="Q198" s="3" t="s">
        <v>5</v>
      </c>
      <c r="R198" s="3" t="s">
        <v>5</v>
      </c>
      <c r="S198" s="3" t="s">
        <v>5</v>
      </c>
      <c r="T198" s="3" t="s">
        <v>5</v>
      </c>
      <c r="U198" s="3" t="s">
        <v>5</v>
      </c>
      <c r="V198" s="3" t="s">
        <v>5</v>
      </c>
      <c r="W198" s="3" t="s">
        <v>5</v>
      </c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3">
        <f t="shared" si="32"/>
        <v>1</v>
      </c>
      <c r="AU198" s="3">
        <f t="shared" si="33"/>
        <v>0</v>
      </c>
      <c r="AV198" s="3">
        <f t="shared" si="34"/>
        <v>0</v>
      </c>
      <c r="AW198" s="3">
        <f t="shared" si="35"/>
        <v>0</v>
      </c>
      <c r="AX198" s="3">
        <f t="shared" si="36"/>
        <v>0</v>
      </c>
      <c r="AY198" s="3">
        <f t="shared" si="37"/>
        <v>7</v>
      </c>
      <c r="AZ198" s="3">
        <f t="shared" si="38"/>
        <v>0</v>
      </c>
      <c r="BA198" s="3">
        <f t="shared" si="39"/>
        <v>0</v>
      </c>
      <c r="BB198" s="3">
        <f t="shared" si="40"/>
        <v>0</v>
      </c>
      <c r="BC198" s="3">
        <f t="shared" si="41"/>
        <v>0</v>
      </c>
      <c r="BD198" s="3">
        <f t="shared" si="42"/>
        <v>0</v>
      </c>
      <c r="BE198" s="3">
        <f t="shared" si="43"/>
        <v>0</v>
      </c>
      <c r="BF198" s="3">
        <f t="shared" si="44"/>
        <v>0</v>
      </c>
      <c r="BG198" s="3">
        <f t="shared" si="45"/>
        <v>0</v>
      </c>
      <c r="BH198" s="3">
        <f t="shared" si="46"/>
        <v>0</v>
      </c>
      <c r="BI198" s="3">
        <f t="shared" si="47"/>
        <v>8</v>
      </c>
    </row>
    <row r="199" spans="1:126" x14ac:dyDescent="0.25">
      <c r="A199" s="29">
        <v>195</v>
      </c>
      <c r="B199" s="3" t="s">
        <v>346</v>
      </c>
      <c r="C199" s="13" t="s">
        <v>347</v>
      </c>
      <c r="D199" s="13" t="s">
        <v>348</v>
      </c>
      <c r="E199" s="13" t="s">
        <v>349</v>
      </c>
      <c r="F199" s="18" t="s">
        <v>1522</v>
      </c>
      <c r="G199" s="18">
        <v>45768</v>
      </c>
      <c r="H199" s="18" t="s">
        <v>35</v>
      </c>
      <c r="I199" s="13" t="s">
        <v>23</v>
      </c>
      <c r="J199" s="13" t="s">
        <v>24</v>
      </c>
      <c r="K199" s="13" t="s">
        <v>56</v>
      </c>
      <c r="L199" s="13" t="s">
        <v>57</v>
      </c>
      <c r="M199" s="13" t="s">
        <v>1621</v>
      </c>
      <c r="N199" s="4" t="s">
        <v>350</v>
      </c>
      <c r="O199" s="4" t="s">
        <v>28</v>
      </c>
      <c r="P199" s="1" t="s">
        <v>39</v>
      </c>
      <c r="Q199" s="3" t="s">
        <v>5</v>
      </c>
      <c r="R199" s="3" t="s">
        <v>5</v>
      </c>
      <c r="S199" s="3" t="s">
        <v>5</v>
      </c>
      <c r="T199" s="3" t="s">
        <v>5</v>
      </c>
      <c r="U199" s="3" t="s">
        <v>5</v>
      </c>
      <c r="V199" s="3" t="s">
        <v>5</v>
      </c>
      <c r="W199" s="3" t="s">
        <v>5</v>
      </c>
      <c r="X199" s="1"/>
      <c r="Y199" s="1"/>
      <c r="Z199" s="1"/>
      <c r="AA199" s="1"/>
      <c r="AB199" s="3"/>
      <c r="AC199" s="3"/>
      <c r="AD199" s="3"/>
      <c r="AE199" s="3"/>
      <c r="AF199" s="3"/>
      <c r="AG199" s="3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3">
        <f t="shared" ref="AT199:AT262" si="48">+COUNTIF(P199:AS199,"A")</f>
        <v>1</v>
      </c>
      <c r="AU199" s="3">
        <f t="shared" ref="AU199:AU262" si="49">+COUNTIF(P199:AS199,"B")</f>
        <v>0</v>
      </c>
      <c r="AV199" s="3">
        <f t="shared" ref="AV199:AV262" si="50">+COUNTIF(P199:AS199,"ES")</f>
        <v>0</v>
      </c>
      <c r="AW199" s="3">
        <f t="shared" ref="AW199:AW262" si="51">+COUNTIF(P199:AS199,"T")</f>
        <v>0</v>
      </c>
      <c r="AX199" s="3">
        <f t="shared" ref="AX199:AX262" si="52">+COUNTIF(P199:AS199,"EC")</f>
        <v>0</v>
      </c>
      <c r="AY199" s="3">
        <f t="shared" ref="AY199:AY262" si="53">+COUNTIF(P199:AS199,"D")</f>
        <v>7</v>
      </c>
      <c r="AZ199" s="3">
        <f t="shared" ref="AZ199:AZ262" si="54">+COUNTIF(P199:AS199,"F")</f>
        <v>0</v>
      </c>
      <c r="BA199" s="3">
        <f t="shared" ref="BA199:BA262" si="55">+COUNTIF(P199:AS199,"LM")</f>
        <v>0</v>
      </c>
      <c r="BB199" s="3">
        <f t="shared" ref="BB199:BB262" si="56">+COUNTIF(P199:AS199,"PSG")</f>
        <v>0</v>
      </c>
      <c r="BC199" s="3">
        <f t="shared" ref="BC199:BC262" si="57">+COUNTIF(P199:AS199,"PS")</f>
        <v>0</v>
      </c>
      <c r="BD199" s="3">
        <f t="shared" ref="BD199:BD262" si="58">+COUNTIF(P199:AS199,"AD")</f>
        <v>0</v>
      </c>
      <c r="BE199" s="3">
        <f t="shared" ref="BE199:BE262" si="59">+COUNTIF(P199:AS199,"V")</f>
        <v>0</v>
      </c>
      <c r="BF199" s="3">
        <f t="shared" ref="BF199:BF262" si="60">+COUNTIF(P199:AS199,"IMM")</f>
        <v>0</v>
      </c>
      <c r="BG199" s="3">
        <f t="shared" ref="BG199:BG262" si="61">+COUNTIF(P199:AS199,"PCG")</f>
        <v>0</v>
      </c>
      <c r="BH199" s="3">
        <f t="shared" ref="BH199:BH262" si="62">+COUNTIF(P199:AS199,"AC")</f>
        <v>0</v>
      </c>
      <c r="BI199" s="3">
        <f t="shared" ref="BI199:BI262" si="63">AT199+AU199+AV199+AW199+AX199+AY199+BC199+BD199+BE199+BF199+BG199+BH199</f>
        <v>8</v>
      </c>
    </row>
    <row r="200" spans="1:126" x14ac:dyDescent="0.25">
      <c r="A200" s="29">
        <v>196</v>
      </c>
      <c r="B200" s="3" t="s">
        <v>1051</v>
      </c>
      <c r="C200" s="13" t="s">
        <v>440</v>
      </c>
      <c r="D200" s="13" t="s">
        <v>1052</v>
      </c>
      <c r="E200" s="13" t="s">
        <v>1053</v>
      </c>
      <c r="F200" s="18" t="s">
        <v>55</v>
      </c>
      <c r="G200" s="18">
        <v>45768</v>
      </c>
      <c r="H200" s="18" t="s">
        <v>35</v>
      </c>
      <c r="I200" s="13" t="s">
        <v>23</v>
      </c>
      <c r="J200" s="13" t="s">
        <v>24</v>
      </c>
      <c r="K200" s="13" t="s">
        <v>36</v>
      </c>
      <c r="L200" s="13" t="s">
        <v>26</v>
      </c>
      <c r="M200" s="13" t="s">
        <v>1621</v>
      </c>
      <c r="N200" s="4" t="s">
        <v>1054</v>
      </c>
      <c r="O200" s="4" t="s">
        <v>28</v>
      </c>
      <c r="P200" s="1" t="s">
        <v>5</v>
      </c>
      <c r="Q200" s="1" t="s">
        <v>29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3">
        <f t="shared" si="48"/>
        <v>0</v>
      </c>
      <c r="AU200" s="3">
        <f t="shared" si="49"/>
        <v>1</v>
      </c>
      <c r="AV200" s="3">
        <f t="shared" si="50"/>
        <v>0</v>
      </c>
      <c r="AW200" s="3">
        <f t="shared" si="51"/>
        <v>0</v>
      </c>
      <c r="AX200" s="3">
        <f t="shared" si="52"/>
        <v>0</v>
      </c>
      <c r="AY200" s="3">
        <f t="shared" si="53"/>
        <v>1</v>
      </c>
      <c r="AZ200" s="3">
        <f t="shared" si="54"/>
        <v>0</v>
      </c>
      <c r="BA200" s="3">
        <f t="shared" si="55"/>
        <v>0</v>
      </c>
      <c r="BB200" s="3">
        <f t="shared" si="56"/>
        <v>0</v>
      </c>
      <c r="BC200" s="3">
        <f t="shared" si="57"/>
        <v>0</v>
      </c>
      <c r="BD200" s="3">
        <f t="shared" si="58"/>
        <v>0</v>
      </c>
      <c r="BE200" s="3">
        <f t="shared" si="59"/>
        <v>0</v>
      </c>
      <c r="BF200" s="3">
        <f t="shared" si="60"/>
        <v>0</v>
      </c>
      <c r="BG200" s="3">
        <f t="shared" si="61"/>
        <v>0</v>
      </c>
      <c r="BH200" s="3">
        <f t="shared" si="62"/>
        <v>0</v>
      </c>
      <c r="BI200" s="3">
        <f t="shared" si="63"/>
        <v>2</v>
      </c>
    </row>
    <row r="201" spans="1:126" x14ac:dyDescent="0.25">
      <c r="A201" s="29">
        <v>197</v>
      </c>
      <c r="B201" s="3" t="s">
        <v>1060</v>
      </c>
      <c r="C201" s="13" t="s">
        <v>1061</v>
      </c>
      <c r="D201" s="13" t="s">
        <v>1062</v>
      </c>
      <c r="E201" s="13" t="s">
        <v>1063</v>
      </c>
      <c r="F201" s="18" t="s">
        <v>138</v>
      </c>
      <c r="G201" s="18">
        <v>45770</v>
      </c>
      <c r="H201" s="18" t="s">
        <v>35</v>
      </c>
      <c r="I201" s="13" t="s">
        <v>23</v>
      </c>
      <c r="J201" s="13" t="s">
        <v>24</v>
      </c>
      <c r="K201" s="13" t="s">
        <v>84</v>
      </c>
      <c r="L201" s="13" t="s">
        <v>57</v>
      </c>
      <c r="M201" s="13" t="s">
        <v>1621</v>
      </c>
      <c r="N201" s="4" t="s">
        <v>1064</v>
      </c>
      <c r="O201" s="4" t="s">
        <v>84</v>
      </c>
      <c r="P201" s="1" t="s">
        <v>39</v>
      </c>
      <c r="Q201" s="1" t="s">
        <v>39</v>
      </c>
      <c r="R201" s="1" t="s">
        <v>5</v>
      </c>
      <c r="S201" s="1" t="s">
        <v>5</v>
      </c>
      <c r="T201" s="1" t="s">
        <v>5</v>
      </c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3">
        <f t="shared" si="48"/>
        <v>2</v>
      </c>
      <c r="AU201" s="3">
        <f t="shared" si="49"/>
        <v>0</v>
      </c>
      <c r="AV201" s="3">
        <f t="shared" si="50"/>
        <v>0</v>
      </c>
      <c r="AW201" s="3">
        <f t="shared" si="51"/>
        <v>0</v>
      </c>
      <c r="AX201" s="3">
        <f t="shared" si="52"/>
        <v>0</v>
      </c>
      <c r="AY201" s="3">
        <f t="shared" si="53"/>
        <v>3</v>
      </c>
      <c r="AZ201" s="3">
        <f t="shared" si="54"/>
        <v>0</v>
      </c>
      <c r="BA201" s="3">
        <f t="shared" si="55"/>
        <v>0</v>
      </c>
      <c r="BB201" s="3">
        <f t="shared" si="56"/>
        <v>0</v>
      </c>
      <c r="BC201" s="3">
        <f t="shared" si="57"/>
        <v>0</v>
      </c>
      <c r="BD201" s="3">
        <f t="shared" si="58"/>
        <v>0</v>
      </c>
      <c r="BE201" s="3">
        <f t="shared" si="59"/>
        <v>0</v>
      </c>
      <c r="BF201" s="3">
        <f t="shared" si="60"/>
        <v>0</v>
      </c>
      <c r="BG201" s="3">
        <f t="shared" si="61"/>
        <v>0</v>
      </c>
      <c r="BH201" s="3">
        <f t="shared" si="62"/>
        <v>0</v>
      </c>
      <c r="BI201" s="3">
        <f t="shared" si="63"/>
        <v>5</v>
      </c>
    </row>
    <row r="202" spans="1:126" x14ac:dyDescent="0.25">
      <c r="A202" s="29">
        <v>199</v>
      </c>
      <c r="B202" s="3" t="s">
        <v>815</v>
      </c>
      <c r="C202" s="13" t="s">
        <v>816</v>
      </c>
      <c r="D202" s="13" t="s">
        <v>817</v>
      </c>
      <c r="E202" s="13" t="s">
        <v>818</v>
      </c>
      <c r="F202" s="18" t="s">
        <v>67</v>
      </c>
      <c r="G202" s="18">
        <v>45770</v>
      </c>
      <c r="H202" s="18" t="s">
        <v>35</v>
      </c>
      <c r="I202" s="13" t="s">
        <v>23</v>
      </c>
      <c r="J202" s="13" t="s">
        <v>24</v>
      </c>
      <c r="K202" s="13" t="s">
        <v>25</v>
      </c>
      <c r="L202" s="13" t="s">
        <v>26</v>
      </c>
      <c r="M202" s="13" t="s">
        <v>1621</v>
      </c>
      <c r="N202" s="4" t="s">
        <v>819</v>
      </c>
      <c r="O202" s="4" t="s">
        <v>28</v>
      </c>
      <c r="P202" s="1" t="s">
        <v>5</v>
      </c>
      <c r="Q202" s="1" t="s">
        <v>39</v>
      </c>
      <c r="R202" s="1" t="s">
        <v>39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3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3">
        <f t="shared" si="48"/>
        <v>2</v>
      </c>
      <c r="AU202" s="3">
        <f t="shared" si="49"/>
        <v>0</v>
      </c>
      <c r="AV202" s="3">
        <f t="shared" si="50"/>
        <v>0</v>
      </c>
      <c r="AW202" s="3">
        <f t="shared" si="51"/>
        <v>0</v>
      </c>
      <c r="AX202" s="3">
        <f t="shared" si="52"/>
        <v>0</v>
      </c>
      <c r="AY202" s="3">
        <f t="shared" si="53"/>
        <v>1</v>
      </c>
      <c r="AZ202" s="3">
        <f t="shared" si="54"/>
        <v>0</v>
      </c>
      <c r="BA202" s="3">
        <f t="shared" si="55"/>
        <v>0</v>
      </c>
      <c r="BB202" s="3">
        <f t="shared" si="56"/>
        <v>0</v>
      </c>
      <c r="BC202" s="3">
        <f t="shared" si="57"/>
        <v>0</v>
      </c>
      <c r="BD202" s="3">
        <f t="shared" si="58"/>
        <v>0</v>
      </c>
      <c r="BE202" s="3">
        <f t="shared" si="59"/>
        <v>0</v>
      </c>
      <c r="BF202" s="3">
        <f t="shared" si="60"/>
        <v>0</v>
      </c>
      <c r="BG202" s="3">
        <f t="shared" si="61"/>
        <v>0</v>
      </c>
      <c r="BH202" s="3">
        <f t="shared" si="62"/>
        <v>0</v>
      </c>
      <c r="BI202" s="3">
        <f t="shared" si="63"/>
        <v>3</v>
      </c>
    </row>
    <row r="203" spans="1:126" x14ac:dyDescent="0.25">
      <c r="A203" s="29">
        <v>198</v>
      </c>
      <c r="B203" s="3" t="s">
        <v>93</v>
      </c>
      <c r="C203" s="13" t="s">
        <v>94</v>
      </c>
      <c r="D203" s="13" t="s">
        <v>95</v>
      </c>
      <c r="E203" s="13" t="s">
        <v>96</v>
      </c>
      <c r="F203" s="18" t="s">
        <v>55</v>
      </c>
      <c r="G203" s="18">
        <v>45770</v>
      </c>
      <c r="H203" s="18" t="s">
        <v>35</v>
      </c>
      <c r="I203" s="13" t="s">
        <v>23</v>
      </c>
      <c r="J203" s="13" t="s">
        <v>24</v>
      </c>
      <c r="K203" s="13" t="s">
        <v>36</v>
      </c>
      <c r="L203" s="13" t="s">
        <v>37</v>
      </c>
      <c r="M203" s="13" t="s">
        <v>1621</v>
      </c>
      <c r="N203" s="4" t="s">
        <v>97</v>
      </c>
      <c r="O203" s="4" t="s">
        <v>28</v>
      </c>
      <c r="P203" s="1" t="s">
        <v>5</v>
      </c>
      <c r="Q203" s="1" t="s">
        <v>1674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3">
        <f t="shared" si="48"/>
        <v>0</v>
      </c>
      <c r="AU203" s="3">
        <f t="shared" si="49"/>
        <v>0</v>
      </c>
      <c r="AV203" s="3">
        <f t="shared" si="50"/>
        <v>0</v>
      </c>
      <c r="AW203" s="3">
        <f t="shared" si="51"/>
        <v>0</v>
      </c>
      <c r="AX203" s="3">
        <f t="shared" si="52"/>
        <v>0</v>
      </c>
      <c r="AY203" s="3">
        <f t="shared" si="53"/>
        <v>1</v>
      </c>
      <c r="AZ203" s="3">
        <f t="shared" si="54"/>
        <v>1</v>
      </c>
      <c r="BA203" s="3">
        <f t="shared" si="55"/>
        <v>0</v>
      </c>
      <c r="BB203" s="3">
        <f t="shared" si="56"/>
        <v>0</v>
      </c>
      <c r="BC203" s="3">
        <f t="shared" si="57"/>
        <v>0</v>
      </c>
      <c r="BD203" s="3">
        <f t="shared" si="58"/>
        <v>0</v>
      </c>
      <c r="BE203" s="3">
        <f t="shared" si="59"/>
        <v>0</v>
      </c>
      <c r="BF203" s="3">
        <f t="shared" si="60"/>
        <v>0</v>
      </c>
      <c r="BG203" s="3">
        <f t="shared" si="61"/>
        <v>0</v>
      </c>
      <c r="BH203" s="3">
        <f t="shared" si="62"/>
        <v>0</v>
      </c>
      <c r="BI203" s="3">
        <f t="shared" si="63"/>
        <v>1</v>
      </c>
    </row>
    <row r="204" spans="1:126" x14ac:dyDescent="0.25">
      <c r="A204" s="29">
        <v>201</v>
      </c>
      <c r="B204" s="3" t="s">
        <v>998</v>
      </c>
      <c r="C204" s="13" t="s">
        <v>999</v>
      </c>
      <c r="D204" s="13" t="s">
        <v>1000</v>
      </c>
      <c r="E204" s="13" t="s">
        <v>1001</v>
      </c>
      <c r="F204" s="18" t="s">
        <v>67</v>
      </c>
      <c r="G204" s="18">
        <v>45782</v>
      </c>
      <c r="H204" s="18" t="s">
        <v>35</v>
      </c>
      <c r="I204" s="13" t="s">
        <v>23</v>
      </c>
      <c r="J204" s="13" t="s">
        <v>24</v>
      </c>
      <c r="K204" s="13" t="s">
        <v>36</v>
      </c>
      <c r="L204" s="13" t="s">
        <v>37</v>
      </c>
      <c r="M204" s="13" t="s">
        <v>1621</v>
      </c>
      <c r="N204" s="4">
        <v>939194374</v>
      </c>
      <c r="O204" s="4" t="s">
        <v>28</v>
      </c>
      <c r="P204" s="1" t="s">
        <v>5</v>
      </c>
      <c r="Q204" s="1" t="s">
        <v>29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3">
        <f t="shared" si="48"/>
        <v>0</v>
      </c>
      <c r="AU204" s="3">
        <f t="shared" si="49"/>
        <v>1</v>
      </c>
      <c r="AV204" s="3">
        <f t="shared" si="50"/>
        <v>0</v>
      </c>
      <c r="AW204" s="3">
        <f t="shared" si="51"/>
        <v>0</v>
      </c>
      <c r="AX204" s="3">
        <f t="shared" si="52"/>
        <v>0</v>
      </c>
      <c r="AY204" s="3">
        <f t="shared" si="53"/>
        <v>1</v>
      </c>
      <c r="AZ204" s="3">
        <f t="shared" si="54"/>
        <v>0</v>
      </c>
      <c r="BA204" s="3">
        <f t="shared" si="55"/>
        <v>0</v>
      </c>
      <c r="BB204" s="3">
        <f t="shared" si="56"/>
        <v>0</v>
      </c>
      <c r="BC204" s="3">
        <f t="shared" si="57"/>
        <v>0</v>
      </c>
      <c r="BD204" s="3">
        <f t="shared" si="58"/>
        <v>0</v>
      </c>
      <c r="BE204" s="3">
        <f t="shared" si="59"/>
        <v>0</v>
      </c>
      <c r="BF204" s="3">
        <f t="shared" si="60"/>
        <v>0</v>
      </c>
      <c r="BG204" s="3">
        <f t="shared" si="61"/>
        <v>0</v>
      </c>
      <c r="BH204" s="3">
        <f t="shared" si="62"/>
        <v>0</v>
      </c>
      <c r="BI204" s="3">
        <f t="shared" si="63"/>
        <v>2</v>
      </c>
    </row>
    <row r="205" spans="1:126" x14ac:dyDescent="0.25">
      <c r="A205" s="29">
        <v>200</v>
      </c>
      <c r="B205" s="3" t="s">
        <v>127</v>
      </c>
      <c r="C205" s="13" t="s">
        <v>128</v>
      </c>
      <c r="D205" s="13" t="s">
        <v>129</v>
      </c>
      <c r="E205" s="13" t="s">
        <v>130</v>
      </c>
      <c r="F205" s="22" t="s">
        <v>188</v>
      </c>
      <c r="G205" s="25">
        <v>45782</v>
      </c>
      <c r="H205" s="25" t="s">
        <v>35</v>
      </c>
      <c r="I205" s="22" t="s">
        <v>131</v>
      </c>
      <c r="J205" s="22" t="s">
        <v>132</v>
      </c>
      <c r="K205" s="13" t="s">
        <v>84</v>
      </c>
      <c r="L205" s="13" t="s">
        <v>1459</v>
      </c>
      <c r="M205" s="13" t="s">
        <v>1</v>
      </c>
      <c r="N205" s="4" t="s">
        <v>133</v>
      </c>
      <c r="O205" s="4" t="s">
        <v>84</v>
      </c>
      <c r="P205" s="1" t="s">
        <v>39</v>
      </c>
      <c r="Q205" s="1" t="s">
        <v>39</v>
      </c>
      <c r="R205" s="1" t="s">
        <v>5</v>
      </c>
      <c r="S205" s="1" t="s">
        <v>5</v>
      </c>
      <c r="T205" s="1" t="s">
        <v>5</v>
      </c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3">
        <f t="shared" si="48"/>
        <v>2</v>
      </c>
      <c r="AU205" s="3">
        <f t="shared" si="49"/>
        <v>0</v>
      </c>
      <c r="AV205" s="3">
        <f t="shared" si="50"/>
        <v>0</v>
      </c>
      <c r="AW205" s="3">
        <f t="shared" si="51"/>
        <v>0</v>
      </c>
      <c r="AX205" s="3">
        <f t="shared" si="52"/>
        <v>0</v>
      </c>
      <c r="AY205" s="3">
        <f t="shared" si="53"/>
        <v>3</v>
      </c>
      <c r="AZ205" s="3">
        <f t="shared" si="54"/>
        <v>0</v>
      </c>
      <c r="BA205" s="3">
        <f t="shared" si="55"/>
        <v>0</v>
      </c>
      <c r="BB205" s="3">
        <f t="shared" si="56"/>
        <v>0</v>
      </c>
      <c r="BC205" s="3">
        <f t="shared" si="57"/>
        <v>0</v>
      </c>
      <c r="BD205" s="3">
        <f t="shared" si="58"/>
        <v>0</v>
      </c>
      <c r="BE205" s="3">
        <f t="shared" si="59"/>
        <v>0</v>
      </c>
      <c r="BF205" s="3">
        <f t="shared" si="60"/>
        <v>0</v>
      </c>
      <c r="BG205" s="3">
        <f t="shared" si="61"/>
        <v>0</v>
      </c>
      <c r="BH205" s="3">
        <f t="shared" si="62"/>
        <v>0</v>
      </c>
      <c r="BI205" s="3">
        <f t="shared" si="63"/>
        <v>5</v>
      </c>
    </row>
    <row r="206" spans="1:126" x14ac:dyDescent="0.25">
      <c r="A206" s="29">
        <v>202</v>
      </c>
      <c r="B206" s="3" t="s">
        <v>390</v>
      </c>
      <c r="C206" s="13" t="s">
        <v>391</v>
      </c>
      <c r="D206" s="13" t="s">
        <v>392</v>
      </c>
      <c r="E206" s="13" t="s">
        <v>393</v>
      </c>
      <c r="F206" s="18" t="s">
        <v>73</v>
      </c>
      <c r="G206" s="18">
        <v>45782</v>
      </c>
      <c r="H206" s="18" t="s">
        <v>35</v>
      </c>
      <c r="I206" s="13" t="s">
        <v>23</v>
      </c>
      <c r="J206" s="13" t="s">
        <v>24</v>
      </c>
      <c r="K206" s="13" t="s">
        <v>56</v>
      </c>
      <c r="L206" s="13" t="s">
        <v>57</v>
      </c>
      <c r="M206" s="13" t="s">
        <v>1621</v>
      </c>
      <c r="N206" s="4" t="s">
        <v>394</v>
      </c>
      <c r="O206" s="4" t="s">
        <v>28</v>
      </c>
      <c r="P206" s="1" t="s">
        <v>39</v>
      </c>
      <c r="Q206" s="1" t="s">
        <v>5</v>
      </c>
      <c r="R206" s="1" t="s">
        <v>5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3">
        <f t="shared" si="48"/>
        <v>1</v>
      </c>
      <c r="AU206" s="3">
        <f t="shared" si="49"/>
        <v>0</v>
      </c>
      <c r="AV206" s="3">
        <f t="shared" si="50"/>
        <v>0</v>
      </c>
      <c r="AW206" s="3">
        <f t="shared" si="51"/>
        <v>0</v>
      </c>
      <c r="AX206" s="3">
        <f t="shared" si="52"/>
        <v>0</v>
      </c>
      <c r="AY206" s="3">
        <f t="shared" si="53"/>
        <v>7</v>
      </c>
      <c r="AZ206" s="3">
        <f t="shared" si="54"/>
        <v>0</v>
      </c>
      <c r="BA206" s="3">
        <f t="shared" si="55"/>
        <v>0</v>
      </c>
      <c r="BB206" s="3">
        <f t="shared" si="56"/>
        <v>0</v>
      </c>
      <c r="BC206" s="3">
        <f t="shared" si="57"/>
        <v>0</v>
      </c>
      <c r="BD206" s="3">
        <f t="shared" si="58"/>
        <v>0</v>
      </c>
      <c r="BE206" s="3">
        <f t="shared" si="59"/>
        <v>0</v>
      </c>
      <c r="BF206" s="3">
        <f t="shared" si="60"/>
        <v>0</v>
      </c>
      <c r="BG206" s="3">
        <f t="shared" si="61"/>
        <v>0</v>
      </c>
      <c r="BH206" s="3">
        <f t="shared" si="62"/>
        <v>0</v>
      </c>
      <c r="BI206" s="3">
        <f t="shared" si="63"/>
        <v>8</v>
      </c>
    </row>
    <row r="207" spans="1:126" x14ac:dyDescent="0.25">
      <c r="A207" s="29">
        <v>204</v>
      </c>
      <c r="B207" s="3" t="s">
        <v>575</v>
      </c>
      <c r="C207" s="13" t="s">
        <v>576</v>
      </c>
      <c r="D207" s="13" t="s">
        <v>577</v>
      </c>
      <c r="E207" s="13" t="s">
        <v>578</v>
      </c>
      <c r="F207" s="18" t="s">
        <v>1529</v>
      </c>
      <c r="G207" s="18">
        <v>45782</v>
      </c>
      <c r="H207" s="18" t="s">
        <v>35</v>
      </c>
      <c r="I207" s="13" t="s">
        <v>23</v>
      </c>
      <c r="J207" s="13" t="s">
        <v>24</v>
      </c>
      <c r="K207" s="13" t="s">
        <v>43</v>
      </c>
      <c r="L207" s="13" t="s">
        <v>44</v>
      </c>
      <c r="M207" s="13" t="s">
        <v>1621</v>
      </c>
      <c r="N207" s="4" t="s">
        <v>579</v>
      </c>
      <c r="O207" s="4" t="s">
        <v>28</v>
      </c>
      <c r="P207" s="1" t="s">
        <v>29</v>
      </c>
      <c r="Q207" s="1" t="s">
        <v>5</v>
      </c>
      <c r="R207" s="1" t="s">
        <v>5</v>
      </c>
      <c r="S207" s="1" t="s">
        <v>5</v>
      </c>
      <c r="T207" s="1" t="s">
        <v>5</v>
      </c>
      <c r="U207" s="1" t="s">
        <v>5</v>
      </c>
      <c r="V207" s="1" t="s">
        <v>5</v>
      </c>
      <c r="W207" s="1" t="s">
        <v>5</v>
      </c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3">
        <f t="shared" si="48"/>
        <v>0</v>
      </c>
      <c r="AU207" s="3">
        <f t="shared" si="49"/>
        <v>1</v>
      </c>
      <c r="AV207" s="3">
        <f t="shared" si="50"/>
        <v>0</v>
      </c>
      <c r="AW207" s="3">
        <f t="shared" si="51"/>
        <v>0</v>
      </c>
      <c r="AX207" s="3">
        <f t="shared" si="52"/>
        <v>0</v>
      </c>
      <c r="AY207" s="3">
        <f t="shared" si="53"/>
        <v>7</v>
      </c>
      <c r="AZ207" s="3">
        <f t="shared" si="54"/>
        <v>0</v>
      </c>
      <c r="BA207" s="3">
        <f t="shared" si="55"/>
        <v>0</v>
      </c>
      <c r="BB207" s="3">
        <f t="shared" si="56"/>
        <v>0</v>
      </c>
      <c r="BC207" s="3">
        <f t="shared" si="57"/>
        <v>0</v>
      </c>
      <c r="BD207" s="3">
        <f t="shared" si="58"/>
        <v>0</v>
      </c>
      <c r="BE207" s="3">
        <f t="shared" si="59"/>
        <v>0</v>
      </c>
      <c r="BF207" s="3">
        <f t="shared" si="60"/>
        <v>0</v>
      </c>
      <c r="BG207" s="3">
        <f t="shared" si="61"/>
        <v>0</v>
      </c>
      <c r="BH207" s="3">
        <f t="shared" si="62"/>
        <v>0</v>
      </c>
      <c r="BI207" s="3">
        <f t="shared" si="63"/>
        <v>8</v>
      </c>
    </row>
    <row r="208" spans="1:126" x14ac:dyDescent="0.25">
      <c r="A208" s="29">
        <v>203</v>
      </c>
      <c r="B208" s="3" t="s">
        <v>1014</v>
      </c>
      <c r="C208" s="13" t="s">
        <v>1015</v>
      </c>
      <c r="D208" s="13" t="s">
        <v>1016</v>
      </c>
      <c r="E208" s="13" t="s">
        <v>441</v>
      </c>
      <c r="F208" s="18" t="s">
        <v>34</v>
      </c>
      <c r="G208" s="18">
        <v>45782</v>
      </c>
      <c r="H208" s="18" t="s">
        <v>35</v>
      </c>
      <c r="I208" s="13" t="s">
        <v>23</v>
      </c>
      <c r="J208" s="13" t="s">
        <v>24</v>
      </c>
      <c r="K208" s="13" t="s">
        <v>56</v>
      </c>
      <c r="L208" s="13" t="s">
        <v>57</v>
      </c>
      <c r="M208" s="13" t="s">
        <v>1621</v>
      </c>
      <c r="N208" s="4" t="s">
        <v>1017</v>
      </c>
      <c r="O208" s="4" t="s">
        <v>28</v>
      </c>
      <c r="P208" s="1" t="s">
        <v>39</v>
      </c>
      <c r="Q208" s="1" t="s">
        <v>5</v>
      </c>
      <c r="R208" s="1" t="s">
        <v>5</v>
      </c>
      <c r="S208" s="1" t="s">
        <v>5</v>
      </c>
      <c r="T208" s="1" t="s">
        <v>5</v>
      </c>
      <c r="U208" s="1" t="s">
        <v>5</v>
      </c>
      <c r="V208" s="1" t="s">
        <v>5</v>
      </c>
      <c r="W208" s="1" t="s">
        <v>5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3">
        <f t="shared" si="48"/>
        <v>1</v>
      </c>
      <c r="AU208" s="3">
        <f t="shared" si="49"/>
        <v>0</v>
      </c>
      <c r="AV208" s="3">
        <f t="shared" si="50"/>
        <v>0</v>
      </c>
      <c r="AW208" s="3">
        <f t="shared" si="51"/>
        <v>0</v>
      </c>
      <c r="AX208" s="3">
        <f t="shared" si="52"/>
        <v>0</v>
      </c>
      <c r="AY208" s="3">
        <f t="shared" si="53"/>
        <v>7</v>
      </c>
      <c r="AZ208" s="3">
        <f t="shared" si="54"/>
        <v>0</v>
      </c>
      <c r="BA208" s="3">
        <f t="shared" si="55"/>
        <v>0</v>
      </c>
      <c r="BB208" s="3">
        <f t="shared" si="56"/>
        <v>0</v>
      </c>
      <c r="BC208" s="3">
        <f t="shared" si="57"/>
        <v>0</v>
      </c>
      <c r="BD208" s="3">
        <f t="shared" si="58"/>
        <v>0</v>
      </c>
      <c r="BE208" s="3">
        <f t="shared" si="59"/>
        <v>0</v>
      </c>
      <c r="BF208" s="3">
        <f t="shared" si="60"/>
        <v>0</v>
      </c>
      <c r="BG208" s="3">
        <f t="shared" si="61"/>
        <v>0</v>
      </c>
      <c r="BH208" s="3">
        <f t="shared" si="62"/>
        <v>0</v>
      </c>
      <c r="BI208" s="3">
        <f t="shared" si="63"/>
        <v>8</v>
      </c>
    </row>
    <row r="209" spans="1:126" x14ac:dyDescent="0.25">
      <c r="A209" s="29">
        <v>207</v>
      </c>
      <c r="B209" s="3" t="s">
        <v>694</v>
      </c>
      <c r="C209" s="13" t="s">
        <v>690</v>
      </c>
      <c r="D209" s="13" t="s">
        <v>690</v>
      </c>
      <c r="E209" s="13" t="s">
        <v>695</v>
      </c>
      <c r="F209" s="18" t="s">
        <v>34</v>
      </c>
      <c r="G209" s="18">
        <v>45782</v>
      </c>
      <c r="H209" s="18" t="s">
        <v>35</v>
      </c>
      <c r="I209" s="13" t="s">
        <v>23</v>
      </c>
      <c r="J209" s="13" t="s">
        <v>24</v>
      </c>
      <c r="K209" s="13" t="s">
        <v>36</v>
      </c>
      <c r="L209" s="13" t="s">
        <v>37</v>
      </c>
      <c r="M209" s="13" t="s">
        <v>1621</v>
      </c>
      <c r="N209" s="4" t="s">
        <v>696</v>
      </c>
      <c r="O209" s="4" t="s">
        <v>28</v>
      </c>
      <c r="P209" s="1" t="s">
        <v>5</v>
      </c>
      <c r="Q209" s="1" t="s">
        <v>29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3">
        <f t="shared" si="48"/>
        <v>0</v>
      </c>
      <c r="AU209" s="3">
        <f t="shared" si="49"/>
        <v>1</v>
      </c>
      <c r="AV209" s="3">
        <f t="shared" si="50"/>
        <v>0</v>
      </c>
      <c r="AW209" s="3">
        <f t="shared" si="51"/>
        <v>0</v>
      </c>
      <c r="AX209" s="3">
        <f t="shared" si="52"/>
        <v>0</v>
      </c>
      <c r="AY209" s="3">
        <f t="shared" si="53"/>
        <v>1</v>
      </c>
      <c r="AZ209" s="3">
        <f t="shared" si="54"/>
        <v>0</v>
      </c>
      <c r="BA209" s="3">
        <f t="shared" si="55"/>
        <v>0</v>
      </c>
      <c r="BB209" s="3">
        <f t="shared" si="56"/>
        <v>0</v>
      </c>
      <c r="BC209" s="3">
        <f t="shared" si="57"/>
        <v>0</v>
      </c>
      <c r="BD209" s="3">
        <f t="shared" si="58"/>
        <v>0</v>
      </c>
      <c r="BE209" s="3">
        <f t="shared" si="59"/>
        <v>0</v>
      </c>
      <c r="BF209" s="3">
        <f t="shared" si="60"/>
        <v>0</v>
      </c>
      <c r="BG209" s="3">
        <f t="shared" si="61"/>
        <v>0</v>
      </c>
      <c r="BH209" s="3">
        <f t="shared" si="62"/>
        <v>0</v>
      </c>
      <c r="BI209" s="3">
        <f t="shared" si="63"/>
        <v>2</v>
      </c>
    </row>
    <row r="210" spans="1:126" x14ac:dyDescent="0.25">
      <c r="A210" s="29">
        <v>205</v>
      </c>
      <c r="B210" s="3" t="s">
        <v>438</v>
      </c>
      <c r="C210" s="13" t="s">
        <v>439</v>
      </c>
      <c r="D210" s="13" t="s">
        <v>440</v>
      </c>
      <c r="E210" s="13" t="s">
        <v>441</v>
      </c>
      <c r="F210" s="18" t="s">
        <v>1522</v>
      </c>
      <c r="G210" s="18">
        <v>45782</v>
      </c>
      <c r="H210" s="18" t="s">
        <v>35</v>
      </c>
      <c r="I210" s="13" t="s">
        <v>23</v>
      </c>
      <c r="J210" s="13" t="s">
        <v>24</v>
      </c>
      <c r="K210" s="13" t="s">
        <v>43</v>
      </c>
      <c r="L210" s="13" t="s">
        <v>44</v>
      </c>
      <c r="M210" s="13" t="s">
        <v>1621</v>
      </c>
      <c r="N210" s="4" t="s">
        <v>442</v>
      </c>
      <c r="O210" s="4" t="s">
        <v>28</v>
      </c>
      <c r="P210" s="1" t="s">
        <v>29</v>
      </c>
      <c r="Q210" s="1" t="s">
        <v>5</v>
      </c>
      <c r="R210" s="1" t="s">
        <v>5</v>
      </c>
      <c r="S210" s="1" t="s">
        <v>5</v>
      </c>
      <c r="T210" s="1" t="s">
        <v>5</v>
      </c>
      <c r="U210" s="1" t="s">
        <v>5</v>
      </c>
      <c r="V210" s="1" t="s">
        <v>5</v>
      </c>
      <c r="W210" s="1" t="s">
        <v>5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3">
        <f t="shared" si="48"/>
        <v>0</v>
      </c>
      <c r="AU210" s="3">
        <f t="shared" si="49"/>
        <v>1</v>
      </c>
      <c r="AV210" s="3">
        <f t="shared" si="50"/>
        <v>0</v>
      </c>
      <c r="AW210" s="3">
        <f t="shared" si="51"/>
        <v>0</v>
      </c>
      <c r="AX210" s="3">
        <f t="shared" si="52"/>
        <v>0</v>
      </c>
      <c r="AY210" s="3">
        <f t="shared" si="53"/>
        <v>7</v>
      </c>
      <c r="AZ210" s="3">
        <f t="shared" si="54"/>
        <v>0</v>
      </c>
      <c r="BA210" s="3">
        <f t="shared" si="55"/>
        <v>0</v>
      </c>
      <c r="BB210" s="3">
        <f t="shared" si="56"/>
        <v>0</v>
      </c>
      <c r="BC210" s="3">
        <f t="shared" si="57"/>
        <v>0</v>
      </c>
      <c r="BD210" s="3">
        <f t="shared" si="58"/>
        <v>0</v>
      </c>
      <c r="BE210" s="3">
        <f t="shared" si="59"/>
        <v>0</v>
      </c>
      <c r="BF210" s="3">
        <f t="shared" si="60"/>
        <v>0</v>
      </c>
      <c r="BG210" s="3">
        <f t="shared" si="61"/>
        <v>0</v>
      </c>
      <c r="BH210" s="3">
        <f t="shared" si="62"/>
        <v>0</v>
      </c>
      <c r="BI210" s="3">
        <f t="shared" si="63"/>
        <v>8</v>
      </c>
    </row>
    <row r="211" spans="1:126" x14ac:dyDescent="0.25">
      <c r="A211" s="29">
        <v>208</v>
      </c>
      <c r="B211" s="3" t="s">
        <v>165</v>
      </c>
      <c r="C211" s="13" t="s">
        <v>166</v>
      </c>
      <c r="D211" s="13" t="s">
        <v>167</v>
      </c>
      <c r="E211" s="13" t="s">
        <v>168</v>
      </c>
      <c r="F211" s="18" t="s">
        <v>149</v>
      </c>
      <c r="G211" s="18">
        <v>45782</v>
      </c>
      <c r="H211" s="18" t="s">
        <v>35</v>
      </c>
      <c r="I211" s="13" t="s">
        <v>23</v>
      </c>
      <c r="J211" s="13" t="s">
        <v>24</v>
      </c>
      <c r="K211" s="13" t="s">
        <v>25</v>
      </c>
      <c r="L211" s="13" t="s">
        <v>150</v>
      </c>
      <c r="M211" s="13" t="s">
        <v>1621</v>
      </c>
      <c r="N211" s="4" t="s">
        <v>169</v>
      </c>
      <c r="O211" s="4" t="s">
        <v>28</v>
      </c>
      <c r="P211" s="1" t="s">
        <v>5</v>
      </c>
      <c r="Q211" s="1" t="s">
        <v>39</v>
      </c>
      <c r="R211" s="1" t="s">
        <v>39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3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3">
        <f t="shared" si="48"/>
        <v>2</v>
      </c>
      <c r="AU211" s="3">
        <f t="shared" si="49"/>
        <v>0</v>
      </c>
      <c r="AV211" s="3">
        <f t="shared" si="50"/>
        <v>0</v>
      </c>
      <c r="AW211" s="3">
        <f t="shared" si="51"/>
        <v>0</v>
      </c>
      <c r="AX211" s="3">
        <f t="shared" si="52"/>
        <v>0</v>
      </c>
      <c r="AY211" s="3">
        <f t="shared" si="53"/>
        <v>1</v>
      </c>
      <c r="AZ211" s="3">
        <f t="shared" si="54"/>
        <v>0</v>
      </c>
      <c r="BA211" s="3">
        <f t="shared" si="55"/>
        <v>0</v>
      </c>
      <c r="BB211" s="3">
        <f t="shared" si="56"/>
        <v>0</v>
      </c>
      <c r="BC211" s="3">
        <f t="shared" si="57"/>
        <v>0</v>
      </c>
      <c r="BD211" s="3">
        <f t="shared" si="58"/>
        <v>0</v>
      </c>
      <c r="BE211" s="3">
        <f t="shared" si="59"/>
        <v>0</v>
      </c>
      <c r="BF211" s="3">
        <f t="shared" si="60"/>
        <v>0</v>
      </c>
      <c r="BG211" s="3">
        <f t="shared" si="61"/>
        <v>0</v>
      </c>
      <c r="BH211" s="3">
        <f t="shared" si="62"/>
        <v>0</v>
      </c>
      <c r="BI211" s="3">
        <f t="shared" si="63"/>
        <v>3</v>
      </c>
    </row>
    <row r="212" spans="1:126" x14ac:dyDescent="0.25">
      <c r="A212" s="29">
        <v>206</v>
      </c>
      <c r="B212" s="3" t="s">
        <v>864</v>
      </c>
      <c r="C212" s="13" t="s">
        <v>816</v>
      </c>
      <c r="D212" s="13" t="s">
        <v>865</v>
      </c>
      <c r="E212" s="13" t="s">
        <v>866</v>
      </c>
      <c r="F212" s="18" t="s">
        <v>1529</v>
      </c>
      <c r="G212" s="18">
        <v>45782</v>
      </c>
      <c r="H212" s="18" t="s">
        <v>35</v>
      </c>
      <c r="I212" s="13" t="s">
        <v>23</v>
      </c>
      <c r="J212" s="13" t="s">
        <v>24</v>
      </c>
      <c r="K212" s="13" t="s">
        <v>43</v>
      </c>
      <c r="L212" s="13" t="s">
        <v>44</v>
      </c>
      <c r="M212" s="13" t="s">
        <v>1621</v>
      </c>
      <c r="N212" s="4" t="s">
        <v>867</v>
      </c>
      <c r="O212" s="4" t="s">
        <v>28</v>
      </c>
      <c r="P212" s="1" t="s">
        <v>29</v>
      </c>
      <c r="Q212" s="1" t="s">
        <v>5</v>
      </c>
      <c r="R212" s="1" t="s">
        <v>5</v>
      </c>
      <c r="S212" s="1" t="s">
        <v>5</v>
      </c>
      <c r="T212" s="1" t="s">
        <v>5</v>
      </c>
      <c r="U212" s="1" t="s">
        <v>5</v>
      </c>
      <c r="V212" s="1" t="s">
        <v>5</v>
      </c>
      <c r="W212" s="1" t="s">
        <v>5</v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3">
        <f t="shared" si="48"/>
        <v>0</v>
      </c>
      <c r="AU212" s="3">
        <f t="shared" si="49"/>
        <v>1</v>
      </c>
      <c r="AV212" s="3">
        <f t="shared" si="50"/>
        <v>0</v>
      </c>
      <c r="AW212" s="3">
        <f t="shared" si="51"/>
        <v>0</v>
      </c>
      <c r="AX212" s="3">
        <f t="shared" si="52"/>
        <v>0</v>
      </c>
      <c r="AY212" s="3">
        <f t="shared" si="53"/>
        <v>7</v>
      </c>
      <c r="AZ212" s="3">
        <f t="shared" si="54"/>
        <v>0</v>
      </c>
      <c r="BA212" s="3">
        <f t="shared" si="55"/>
        <v>0</v>
      </c>
      <c r="BB212" s="3">
        <f t="shared" si="56"/>
        <v>0</v>
      </c>
      <c r="BC212" s="3">
        <f t="shared" si="57"/>
        <v>0</v>
      </c>
      <c r="BD212" s="3">
        <f t="shared" si="58"/>
        <v>0</v>
      </c>
      <c r="BE212" s="3">
        <f t="shared" si="59"/>
        <v>0</v>
      </c>
      <c r="BF212" s="3">
        <f t="shared" si="60"/>
        <v>0</v>
      </c>
      <c r="BG212" s="3">
        <f t="shared" si="61"/>
        <v>0</v>
      </c>
      <c r="BH212" s="3">
        <f t="shared" si="62"/>
        <v>0</v>
      </c>
      <c r="BI212" s="3">
        <f t="shared" si="63"/>
        <v>8</v>
      </c>
    </row>
    <row r="213" spans="1:126" x14ac:dyDescent="0.25">
      <c r="A213" s="29">
        <v>209</v>
      </c>
      <c r="B213" s="3" t="s">
        <v>19</v>
      </c>
      <c r="C213" s="13" t="s">
        <v>20</v>
      </c>
      <c r="D213" s="13" t="s">
        <v>21</v>
      </c>
      <c r="E213" s="13" t="s">
        <v>22</v>
      </c>
      <c r="F213" s="18" t="s">
        <v>1522</v>
      </c>
      <c r="G213" s="18">
        <v>45783</v>
      </c>
      <c r="H213" s="18" t="s">
        <v>35</v>
      </c>
      <c r="I213" s="13" t="s">
        <v>23</v>
      </c>
      <c r="J213" s="13" t="s">
        <v>24</v>
      </c>
      <c r="K213" s="13" t="s">
        <v>25</v>
      </c>
      <c r="L213" s="13" t="s">
        <v>26</v>
      </c>
      <c r="M213" s="13" t="s">
        <v>1621</v>
      </c>
      <c r="N213" s="4" t="s">
        <v>27</v>
      </c>
      <c r="O213" s="4" t="s">
        <v>28</v>
      </c>
      <c r="P213" s="1" t="s">
        <v>5</v>
      </c>
      <c r="Q213" s="1" t="s">
        <v>39</v>
      </c>
      <c r="R213" s="1" t="s">
        <v>39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3">
        <f t="shared" si="48"/>
        <v>2</v>
      </c>
      <c r="AU213" s="3">
        <f t="shared" si="49"/>
        <v>0</v>
      </c>
      <c r="AV213" s="3">
        <f t="shared" si="50"/>
        <v>0</v>
      </c>
      <c r="AW213" s="3">
        <f t="shared" si="51"/>
        <v>0</v>
      </c>
      <c r="AX213" s="3">
        <f t="shared" si="52"/>
        <v>0</v>
      </c>
      <c r="AY213" s="3">
        <f t="shared" si="53"/>
        <v>1</v>
      </c>
      <c r="AZ213" s="3">
        <f t="shared" si="54"/>
        <v>0</v>
      </c>
      <c r="BA213" s="3">
        <f t="shared" si="55"/>
        <v>0</v>
      </c>
      <c r="BB213" s="3">
        <f t="shared" si="56"/>
        <v>0</v>
      </c>
      <c r="BC213" s="3">
        <f t="shared" si="57"/>
        <v>0</v>
      </c>
      <c r="BD213" s="3">
        <f t="shared" si="58"/>
        <v>0</v>
      </c>
      <c r="BE213" s="3">
        <f t="shared" si="59"/>
        <v>0</v>
      </c>
      <c r="BF213" s="3">
        <f t="shared" si="60"/>
        <v>0</v>
      </c>
      <c r="BG213" s="3">
        <f t="shared" si="61"/>
        <v>0</v>
      </c>
      <c r="BH213" s="3">
        <f t="shared" si="62"/>
        <v>0</v>
      </c>
      <c r="BI213" s="3">
        <f t="shared" si="63"/>
        <v>3</v>
      </c>
    </row>
    <row r="214" spans="1:126" x14ac:dyDescent="0.25">
      <c r="A214" s="29">
        <v>210</v>
      </c>
      <c r="B214" s="3" t="s">
        <v>175</v>
      </c>
      <c r="C214" s="13" t="s">
        <v>176</v>
      </c>
      <c r="D214" s="13" t="s">
        <v>177</v>
      </c>
      <c r="E214" s="13" t="s">
        <v>178</v>
      </c>
      <c r="F214" s="18" t="s">
        <v>1522</v>
      </c>
      <c r="G214" s="18">
        <v>45783</v>
      </c>
      <c r="H214" s="18" t="s">
        <v>35</v>
      </c>
      <c r="I214" s="13" t="s">
        <v>23</v>
      </c>
      <c r="J214" s="13" t="s">
        <v>24</v>
      </c>
      <c r="K214" s="13" t="s">
        <v>25</v>
      </c>
      <c r="L214" s="13" t="s">
        <v>26</v>
      </c>
      <c r="M214" s="13" t="s">
        <v>1621</v>
      </c>
      <c r="N214" s="4" t="s">
        <v>179</v>
      </c>
      <c r="O214" s="4" t="s">
        <v>28</v>
      </c>
      <c r="P214" s="1" t="s">
        <v>5</v>
      </c>
      <c r="Q214" s="1" t="s">
        <v>39</v>
      </c>
      <c r="R214" s="1" t="s">
        <v>39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3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3">
        <f t="shared" si="48"/>
        <v>2</v>
      </c>
      <c r="AU214" s="3">
        <f t="shared" si="49"/>
        <v>0</v>
      </c>
      <c r="AV214" s="3">
        <f t="shared" si="50"/>
        <v>0</v>
      </c>
      <c r="AW214" s="3">
        <f t="shared" si="51"/>
        <v>0</v>
      </c>
      <c r="AX214" s="3">
        <f t="shared" si="52"/>
        <v>0</v>
      </c>
      <c r="AY214" s="3">
        <f t="shared" si="53"/>
        <v>1</v>
      </c>
      <c r="AZ214" s="3">
        <f t="shared" si="54"/>
        <v>0</v>
      </c>
      <c r="BA214" s="3">
        <f t="shared" si="55"/>
        <v>0</v>
      </c>
      <c r="BB214" s="3">
        <f t="shared" si="56"/>
        <v>0</v>
      </c>
      <c r="BC214" s="3">
        <f t="shared" si="57"/>
        <v>0</v>
      </c>
      <c r="BD214" s="3">
        <f t="shared" si="58"/>
        <v>0</v>
      </c>
      <c r="BE214" s="3">
        <f t="shared" si="59"/>
        <v>0</v>
      </c>
      <c r="BF214" s="3">
        <f t="shared" si="60"/>
        <v>0</v>
      </c>
      <c r="BG214" s="3">
        <f t="shared" si="61"/>
        <v>0</v>
      </c>
      <c r="BH214" s="3">
        <f t="shared" si="62"/>
        <v>0</v>
      </c>
      <c r="BI214" s="3">
        <f t="shared" si="63"/>
        <v>3</v>
      </c>
    </row>
    <row r="215" spans="1:126" x14ac:dyDescent="0.25">
      <c r="A215" s="29">
        <v>212</v>
      </c>
      <c r="B215" s="3" t="s">
        <v>554</v>
      </c>
      <c r="C215" s="13" t="s">
        <v>555</v>
      </c>
      <c r="D215" s="13" t="s">
        <v>555</v>
      </c>
      <c r="E215" s="13" t="s">
        <v>556</v>
      </c>
      <c r="F215" s="18" t="s">
        <v>67</v>
      </c>
      <c r="G215" s="18">
        <v>45797</v>
      </c>
      <c r="H215" s="18" t="s">
        <v>35</v>
      </c>
      <c r="I215" s="13" t="s">
        <v>23</v>
      </c>
      <c r="J215" s="13" t="s">
        <v>24</v>
      </c>
      <c r="K215" s="13" t="s">
        <v>25</v>
      </c>
      <c r="L215" s="13" t="s">
        <v>26</v>
      </c>
      <c r="M215" s="13" t="s">
        <v>1621</v>
      </c>
      <c r="N215" s="4" t="s">
        <v>557</v>
      </c>
      <c r="O215" s="4" t="s">
        <v>28</v>
      </c>
      <c r="P215" s="1" t="s">
        <v>5</v>
      </c>
      <c r="Q215" s="1" t="s">
        <v>39</v>
      </c>
      <c r="R215" s="1" t="s">
        <v>39</v>
      </c>
      <c r="S215" s="1"/>
      <c r="T215" s="3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3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3">
        <f t="shared" si="48"/>
        <v>2</v>
      </c>
      <c r="AU215" s="3">
        <f t="shared" si="49"/>
        <v>0</v>
      </c>
      <c r="AV215" s="3">
        <f t="shared" si="50"/>
        <v>0</v>
      </c>
      <c r="AW215" s="3">
        <f t="shared" si="51"/>
        <v>0</v>
      </c>
      <c r="AX215" s="3">
        <f t="shared" si="52"/>
        <v>0</v>
      </c>
      <c r="AY215" s="3">
        <f t="shared" si="53"/>
        <v>1</v>
      </c>
      <c r="AZ215" s="3">
        <f t="shared" si="54"/>
        <v>0</v>
      </c>
      <c r="BA215" s="3">
        <f t="shared" si="55"/>
        <v>0</v>
      </c>
      <c r="BB215" s="3">
        <f t="shared" si="56"/>
        <v>0</v>
      </c>
      <c r="BC215" s="3">
        <f t="shared" si="57"/>
        <v>0</v>
      </c>
      <c r="BD215" s="3">
        <f t="shared" si="58"/>
        <v>0</v>
      </c>
      <c r="BE215" s="3">
        <f t="shared" si="59"/>
        <v>0</v>
      </c>
      <c r="BF215" s="3">
        <f t="shared" si="60"/>
        <v>0</v>
      </c>
      <c r="BG215" s="3">
        <f t="shared" si="61"/>
        <v>0</v>
      </c>
      <c r="BH215" s="3">
        <f t="shared" si="62"/>
        <v>0</v>
      </c>
      <c r="BI215" s="3">
        <f t="shared" si="63"/>
        <v>3</v>
      </c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</row>
    <row r="216" spans="1:126" x14ac:dyDescent="0.25">
      <c r="A216" s="29">
        <v>213</v>
      </c>
      <c r="B216" s="3" t="s">
        <v>332</v>
      </c>
      <c r="C216" s="13" t="s">
        <v>333</v>
      </c>
      <c r="D216" s="13" t="s">
        <v>331</v>
      </c>
      <c r="E216" s="13" t="s">
        <v>334</v>
      </c>
      <c r="F216" s="18" t="s">
        <v>335</v>
      </c>
      <c r="G216" s="18">
        <v>45797</v>
      </c>
      <c r="H216" s="18" t="s">
        <v>35</v>
      </c>
      <c r="I216" s="13" t="s">
        <v>23</v>
      </c>
      <c r="J216" s="13" t="s">
        <v>24</v>
      </c>
      <c r="K216" s="13" t="s">
        <v>36</v>
      </c>
      <c r="L216" s="13" t="s">
        <v>37</v>
      </c>
      <c r="M216" s="13" t="s">
        <v>1621</v>
      </c>
      <c r="N216" s="4" t="s">
        <v>336</v>
      </c>
      <c r="O216" s="4" t="s">
        <v>28</v>
      </c>
      <c r="P216" s="1" t="s">
        <v>5</v>
      </c>
      <c r="Q216" s="1" t="s">
        <v>29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3">
        <f t="shared" si="48"/>
        <v>0</v>
      </c>
      <c r="AU216" s="3">
        <f t="shared" si="49"/>
        <v>1</v>
      </c>
      <c r="AV216" s="3">
        <f t="shared" si="50"/>
        <v>0</v>
      </c>
      <c r="AW216" s="3">
        <f t="shared" si="51"/>
        <v>0</v>
      </c>
      <c r="AX216" s="3">
        <f t="shared" si="52"/>
        <v>0</v>
      </c>
      <c r="AY216" s="3">
        <f t="shared" si="53"/>
        <v>1</v>
      </c>
      <c r="AZ216" s="3">
        <f t="shared" si="54"/>
        <v>0</v>
      </c>
      <c r="BA216" s="3">
        <f t="shared" si="55"/>
        <v>0</v>
      </c>
      <c r="BB216" s="3">
        <f t="shared" si="56"/>
        <v>0</v>
      </c>
      <c r="BC216" s="3">
        <f t="shared" si="57"/>
        <v>0</v>
      </c>
      <c r="BD216" s="3">
        <f t="shared" si="58"/>
        <v>0</v>
      </c>
      <c r="BE216" s="3">
        <f t="shared" si="59"/>
        <v>0</v>
      </c>
      <c r="BF216" s="3">
        <f t="shared" si="60"/>
        <v>0</v>
      </c>
      <c r="BG216" s="3">
        <f t="shared" si="61"/>
        <v>0</v>
      </c>
      <c r="BH216" s="3">
        <f t="shared" si="62"/>
        <v>0</v>
      </c>
      <c r="BI216" s="3">
        <f t="shared" si="63"/>
        <v>2</v>
      </c>
    </row>
    <row r="217" spans="1:126" x14ac:dyDescent="0.25">
      <c r="A217" s="29">
        <v>214</v>
      </c>
      <c r="B217" s="3" t="s">
        <v>1070</v>
      </c>
      <c r="C217" s="13" t="s">
        <v>1071</v>
      </c>
      <c r="D217" s="13" t="s">
        <v>1072</v>
      </c>
      <c r="E217" s="13" t="s">
        <v>1073</v>
      </c>
      <c r="F217" s="18" t="s">
        <v>335</v>
      </c>
      <c r="G217" s="18">
        <v>45811</v>
      </c>
      <c r="H217" s="18" t="s">
        <v>35</v>
      </c>
      <c r="I217" s="13" t="s">
        <v>23</v>
      </c>
      <c r="J217" s="13" t="s">
        <v>24</v>
      </c>
      <c r="K217" s="13" t="s">
        <v>25</v>
      </c>
      <c r="L217" s="13" t="s">
        <v>26</v>
      </c>
      <c r="M217" s="13" t="s">
        <v>1621</v>
      </c>
      <c r="N217" s="4" t="s">
        <v>1074</v>
      </c>
      <c r="O217" s="4" t="s">
        <v>28</v>
      </c>
      <c r="P217" s="1" t="s">
        <v>5</v>
      </c>
      <c r="Q217" s="1" t="s">
        <v>39</v>
      </c>
      <c r="R217" s="1" t="s">
        <v>39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3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3">
        <f t="shared" si="48"/>
        <v>2</v>
      </c>
      <c r="AU217" s="3">
        <f t="shared" si="49"/>
        <v>0</v>
      </c>
      <c r="AV217" s="3">
        <f t="shared" si="50"/>
        <v>0</v>
      </c>
      <c r="AW217" s="3">
        <f t="shared" si="51"/>
        <v>0</v>
      </c>
      <c r="AX217" s="3">
        <f t="shared" si="52"/>
        <v>0</v>
      </c>
      <c r="AY217" s="3">
        <f t="shared" si="53"/>
        <v>1</v>
      </c>
      <c r="AZ217" s="3">
        <f t="shared" si="54"/>
        <v>0</v>
      </c>
      <c r="BA217" s="3">
        <f t="shared" si="55"/>
        <v>0</v>
      </c>
      <c r="BB217" s="3">
        <f t="shared" si="56"/>
        <v>0</v>
      </c>
      <c r="BC217" s="3">
        <f t="shared" si="57"/>
        <v>0</v>
      </c>
      <c r="BD217" s="3">
        <f t="shared" si="58"/>
        <v>0</v>
      </c>
      <c r="BE217" s="3">
        <f t="shared" si="59"/>
        <v>0</v>
      </c>
      <c r="BF217" s="3">
        <f t="shared" si="60"/>
        <v>0</v>
      </c>
      <c r="BG217" s="3">
        <f t="shared" si="61"/>
        <v>0</v>
      </c>
      <c r="BH217" s="3">
        <f t="shared" si="62"/>
        <v>0</v>
      </c>
      <c r="BI217" s="3">
        <f t="shared" si="63"/>
        <v>3</v>
      </c>
    </row>
    <row r="218" spans="1:126" x14ac:dyDescent="0.25">
      <c r="A218" s="29">
        <v>215</v>
      </c>
      <c r="B218" s="3" t="s">
        <v>476</v>
      </c>
      <c r="C218" s="13" t="s">
        <v>100</v>
      </c>
      <c r="D218" s="13" t="s">
        <v>473</v>
      </c>
      <c r="E218" s="13" t="s">
        <v>477</v>
      </c>
      <c r="F218" s="18" t="s">
        <v>1529</v>
      </c>
      <c r="G218" s="18">
        <v>45812</v>
      </c>
      <c r="H218" s="18" t="s">
        <v>35</v>
      </c>
      <c r="I218" s="13" t="s">
        <v>23</v>
      </c>
      <c r="J218" s="13" t="s">
        <v>24</v>
      </c>
      <c r="K218" s="13" t="s">
        <v>56</v>
      </c>
      <c r="L218" s="13" t="s">
        <v>57</v>
      </c>
      <c r="M218" s="13" t="s">
        <v>1621</v>
      </c>
      <c r="N218" s="4" t="s">
        <v>478</v>
      </c>
      <c r="O218" s="4" t="s">
        <v>28</v>
      </c>
      <c r="P218" s="1" t="s">
        <v>92</v>
      </c>
      <c r="Q218" s="1" t="s">
        <v>92</v>
      </c>
      <c r="R218" s="1" t="s">
        <v>92</v>
      </c>
      <c r="S218" s="1" t="s">
        <v>92</v>
      </c>
      <c r="T218" s="1" t="s">
        <v>92</v>
      </c>
      <c r="U218" s="1" t="s">
        <v>92</v>
      </c>
      <c r="V218" s="1" t="s">
        <v>92</v>
      </c>
      <c r="W218" s="1" t="s">
        <v>92</v>
      </c>
      <c r="X218" s="1" t="s">
        <v>92</v>
      </c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3">
        <f t="shared" si="48"/>
        <v>0</v>
      </c>
      <c r="AU218" s="3">
        <f t="shared" si="49"/>
        <v>0</v>
      </c>
      <c r="AV218" s="3">
        <f t="shared" si="50"/>
        <v>0</v>
      </c>
      <c r="AW218" s="3">
        <f t="shared" si="51"/>
        <v>0</v>
      </c>
      <c r="AX218" s="3">
        <f t="shared" si="52"/>
        <v>0</v>
      </c>
      <c r="AY218" s="3">
        <f t="shared" si="53"/>
        <v>0</v>
      </c>
      <c r="AZ218" s="3">
        <f t="shared" si="54"/>
        <v>0</v>
      </c>
      <c r="BA218" s="3">
        <f t="shared" si="55"/>
        <v>9</v>
      </c>
      <c r="BB218" s="3">
        <f t="shared" si="56"/>
        <v>0</v>
      </c>
      <c r="BC218" s="3">
        <f t="shared" si="57"/>
        <v>0</v>
      </c>
      <c r="BD218" s="3">
        <f t="shared" si="58"/>
        <v>0</v>
      </c>
      <c r="BE218" s="3">
        <f t="shared" si="59"/>
        <v>0</v>
      </c>
      <c r="BF218" s="3">
        <f t="shared" si="60"/>
        <v>0</v>
      </c>
      <c r="BG218" s="3">
        <f t="shared" si="61"/>
        <v>0</v>
      </c>
      <c r="BH218" s="3">
        <f t="shared" si="62"/>
        <v>0</v>
      </c>
      <c r="BI218" s="3">
        <f t="shared" si="63"/>
        <v>0</v>
      </c>
    </row>
    <row r="219" spans="1:126" x14ac:dyDescent="0.25">
      <c r="A219" s="29">
        <v>217</v>
      </c>
      <c r="B219" s="3" t="s">
        <v>592</v>
      </c>
      <c r="C219" s="13" t="s">
        <v>593</v>
      </c>
      <c r="D219" s="13" t="s">
        <v>498</v>
      </c>
      <c r="E219" s="13" t="s">
        <v>594</v>
      </c>
      <c r="F219" s="18" t="s">
        <v>1522</v>
      </c>
      <c r="G219" s="18">
        <v>45820</v>
      </c>
      <c r="H219" s="18" t="s">
        <v>35</v>
      </c>
      <c r="I219" s="13" t="s">
        <v>23</v>
      </c>
      <c r="J219" s="13" t="s">
        <v>24</v>
      </c>
      <c r="K219" s="13" t="s">
        <v>36</v>
      </c>
      <c r="L219" s="13" t="s">
        <v>37</v>
      </c>
      <c r="M219" s="13" t="s">
        <v>1621</v>
      </c>
      <c r="N219" s="4" t="s">
        <v>595</v>
      </c>
      <c r="O219" s="4" t="s">
        <v>28</v>
      </c>
      <c r="P219" s="1" t="s">
        <v>5</v>
      </c>
      <c r="Q219" s="1" t="s">
        <v>29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3">
        <f t="shared" si="48"/>
        <v>0</v>
      </c>
      <c r="AU219" s="3">
        <f t="shared" si="49"/>
        <v>1</v>
      </c>
      <c r="AV219" s="3">
        <f t="shared" si="50"/>
        <v>0</v>
      </c>
      <c r="AW219" s="3">
        <f t="shared" si="51"/>
        <v>0</v>
      </c>
      <c r="AX219" s="3">
        <f t="shared" si="52"/>
        <v>0</v>
      </c>
      <c r="AY219" s="3">
        <f t="shared" si="53"/>
        <v>1</v>
      </c>
      <c r="AZ219" s="3">
        <f t="shared" si="54"/>
        <v>0</v>
      </c>
      <c r="BA219" s="3">
        <f t="shared" si="55"/>
        <v>0</v>
      </c>
      <c r="BB219" s="3">
        <f t="shared" si="56"/>
        <v>0</v>
      </c>
      <c r="BC219" s="3">
        <f t="shared" si="57"/>
        <v>0</v>
      </c>
      <c r="BD219" s="3">
        <f t="shared" si="58"/>
        <v>0</v>
      </c>
      <c r="BE219" s="3">
        <f t="shared" si="59"/>
        <v>0</v>
      </c>
      <c r="BF219" s="3">
        <f t="shared" si="60"/>
        <v>0</v>
      </c>
      <c r="BG219" s="3">
        <f t="shared" si="61"/>
        <v>0</v>
      </c>
      <c r="BH219" s="3">
        <f t="shared" si="62"/>
        <v>0</v>
      </c>
      <c r="BI219" s="3">
        <f t="shared" si="63"/>
        <v>2</v>
      </c>
    </row>
    <row r="220" spans="1:126" x14ac:dyDescent="0.25">
      <c r="A220" s="29">
        <v>216</v>
      </c>
      <c r="B220" s="3" t="s">
        <v>1147</v>
      </c>
      <c r="C220" s="13" t="s">
        <v>1148</v>
      </c>
      <c r="D220" s="13" t="s">
        <v>1149</v>
      </c>
      <c r="E220" s="13" t="s">
        <v>1150</v>
      </c>
      <c r="F220" s="18" t="s">
        <v>138</v>
      </c>
      <c r="G220" s="18">
        <v>45820</v>
      </c>
      <c r="H220" s="18" t="s">
        <v>35</v>
      </c>
      <c r="I220" s="13" t="s">
        <v>23</v>
      </c>
      <c r="J220" s="13" t="s">
        <v>24</v>
      </c>
      <c r="K220" s="13" t="s">
        <v>25</v>
      </c>
      <c r="L220" s="13" t="s">
        <v>26</v>
      </c>
      <c r="M220" s="13" t="s">
        <v>1621</v>
      </c>
      <c r="N220" s="4" t="s">
        <v>1151</v>
      </c>
      <c r="O220" s="4" t="s">
        <v>28</v>
      </c>
      <c r="P220" s="1" t="s">
        <v>5</v>
      </c>
      <c r="Q220" s="1" t="s">
        <v>39</v>
      </c>
      <c r="R220" s="1" t="s">
        <v>39</v>
      </c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3"/>
      <c r="AI220" s="3"/>
      <c r="AJ220" s="3"/>
      <c r="AK220" s="3"/>
      <c r="AL220" s="3"/>
      <c r="AM220" s="3"/>
      <c r="AN220" s="1"/>
      <c r="AO220" s="1"/>
      <c r="AP220" s="1"/>
      <c r="AQ220" s="1"/>
      <c r="AR220" s="1"/>
      <c r="AS220" s="1"/>
      <c r="AT220" s="3">
        <f t="shared" si="48"/>
        <v>2</v>
      </c>
      <c r="AU220" s="3">
        <f t="shared" si="49"/>
        <v>0</v>
      </c>
      <c r="AV220" s="3">
        <f t="shared" si="50"/>
        <v>0</v>
      </c>
      <c r="AW220" s="3">
        <f t="shared" si="51"/>
        <v>0</v>
      </c>
      <c r="AX220" s="3">
        <f t="shared" si="52"/>
        <v>0</v>
      </c>
      <c r="AY220" s="3">
        <f t="shared" si="53"/>
        <v>1</v>
      </c>
      <c r="AZ220" s="3">
        <f t="shared" si="54"/>
        <v>0</v>
      </c>
      <c r="BA220" s="3">
        <f t="shared" si="55"/>
        <v>0</v>
      </c>
      <c r="BB220" s="3">
        <f t="shared" si="56"/>
        <v>0</v>
      </c>
      <c r="BC220" s="3">
        <f t="shared" si="57"/>
        <v>0</v>
      </c>
      <c r="BD220" s="3">
        <f t="shared" si="58"/>
        <v>0</v>
      </c>
      <c r="BE220" s="3">
        <f t="shared" si="59"/>
        <v>0</v>
      </c>
      <c r="BF220" s="3">
        <f t="shared" si="60"/>
        <v>0</v>
      </c>
      <c r="BG220" s="3">
        <f t="shared" si="61"/>
        <v>0</v>
      </c>
      <c r="BH220" s="3">
        <f t="shared" si="62"/>
        <v>0</v>
      </c>
      <c r="BI220" s="3">
        <f t="shared" si="63"/>
        <v>3</v>
      </c>
    </row>
    <row r="221" spans="1:126" x14ac:dyDescent="0.25">
      <c r="A221" s="29">
        <v>218</v>
      </c>
      <c r="B221" s="3" t="s">
        <v>395</v>
      </c>
      <c r="C221" s="13" t="s">
        <v>396</v>
      </c>
      <c r="D221" s="13" t="s">
        <v>397</v>
      </c>
      <c r="E221" s="13" t="s">
        <v>398</v>
      </c>
      <c r="F221" s="18" t="s">
        <v>1521</v>
      </c>
      <c r="G221" s="18">
        <v>45820</v>
      </c>
      <c r="H221" s="18" t="s">
        <v>35</v>
      </c>
      <c r="I221" s="13" t="s">
        <v>23</v>
      </c>
      <c r="J221" s="13" t="s">
        <v>24</v>
      </c>
      <c r="K221" s="13" t="s">
        <v>377</v>
      </c>
      <c r="L221" s="13" t="s">
        <v>68</v>
      </c>
      <c r="M221" s="13" t="s">
        <v>1621</v>
      </c>
      <c r="N221" s="4" t="s">
        <v>399</v>
      </c>
      <c r="O221" s="4" t="s">
        <v>28</v>
      </c>
      <c r="P221" s="1" t="s">
        <v>39</v>
      </c>
      <c r="Q221" s="1" t="s">
        <v>5</v>
      </c>
      <c r="R221" s="1" t="s">
        <v>5</v>
      </c>
      <c r="S221" s="1" t="s">
        <v>5</v>
      </c>
      <c r="T221" s="1" t="s">
        <v>5</v>
      </c>
      <c r="U221" s="1" t="s">
        <v>5</v>
      </c>
      <c r="V221" s="1" t="s">
        <v>5</v>
      </c>
      <c r="W221" s="1" t="s">
        <v>5</v>
      </c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3"/>
      <c r="AP221" s="1"/>
      <c r="AQ221" s="1"/>
      <c r="AR221" s="1"/>
      <c r="AS221" s="1"/>
      <c r="AT221" s="3">
        <f t="shared" si="48"/>
        <v>1</v>
      </c>
      <c r="AU221" s="3">
        <f t="shared" si="49"/>
        <v>0</v>
      </c>
      <c r="AV221" s="3">
        <f t="shared" si="50"/>
        <v>0</v>
      </c>
      <c r="AW221" s="3">
        <f t="shared" si="51"/>
        <v>0</v>
      </c>
      <c r="AX221" s="3">
        <f t="shared" si="52"/>
        <v>0</v>
      </c>
      <c r="AY221" s="3">
        <f t="shared" si="53"/>
        <v>7</v>
      </c>
      <c r="AZ221" s="3">
        <f t="shared" si="54"/>
        <v>0</v>
      </c>
      <c r="BA221" s="3">
        <f t="shared" si="55"/>
        <v>0</v>
      </c>
      <c r="BB221" s="3">
        <f t="shared" si="56"/>
        <v>0</v>
      </c>
      <c r="BC221" s="3">
        <f t="shared" si="57"/>
        <v>0</v>
      </c>
      <c r="BD221" s="3">
        <f t="shared" si="58"/>
        <v>0</v>
      </c>
      <c r="BE221" s="3">
        <f t="shared" si="59"/>
        <v>0</v>
      </c>
      <c r="BF221" s="3">
        <f t="shared" si="60"/>
        <v>0</v>
      </c>
      <c r="BG221" s="3">
        <f t="shared" si="61"/>
        <v>0</v>
      </c>
      <c r="BH221" s="3">
        <f t="shared" si="62"/>
        <v>0</v>
      </c>
      <c r="BI221" s="3">
        <f t="shared" si="63"/>
        <v>8</v>
      </c>
    </row>
    <row r="222" spans="1:126" x14ac:dyDescent="0.25">
      <c r="A222" s="29">
        <v>219</v>
      </c>
      <c r="B222" s="3" t="s">
        <v>873</v>
      </c>
      <c r="C222" s="13" t="s">
        <v>171</v>
      </c>
      <c r="D222" s="13" t="s">
        <v>310</v>
      </c>
      <c r="E222" s="13" t="s">
        <v>874</v>
      </c>
      <c r="F222" s="18" t="s">
        <v>335</v>
      </c>
      <c r="G222" s="18">
        <v>45820</v>
      </c>
      <c r="H222" s="18" t="s">
        <v>35</v>
      </c>
      <c r="I222" s="13" t="s">
        <v>23</v>
      </c>
      <c r="J222" s="13" t="s">
        <v>24</v>
      </c>
      <c r="K222" s="13" t="s">
        <v>56</v>
      </c>
      <c r="L222" s="13" t="s">
        <v>57</v>
      </c>
      <c r="M222" s="13" t="s">
        <v>1621</v>
      </c>
      <c r="N222" s="4" t="s">
        <v>875</v>
      </c>
      <c r="O222" s="4" t="s">
        <v>28</v>
      </c>
      <c r="P222" s="1" t="s">
        <v>39</v>
      </c>
      <c r="Q222" s="1" t="s">
        <v>5</v>
      </c>
      <c r="R222" s="1" t="s">
        <v>5</v>
      </c>
      <c r="S222" s="1" t="s">
        <v>5</v>
      </c>
      <c r="T222" s="1" t="s">
        <v>5</v>
      </c>
      <c r="U222" s="1" t="s">
        <v>5</v>
      </c>
      <c r="V222" s="1" t="s">
        <v>5</v>
      </c>
      <c r="W222" s="1" t="s">
        <v>5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3">
        <f t="shared" si="48"/>
        <v>1</v>
      </c>
      <c r="AU222" s="3">
        <f t="shared" si="49"/>
        <v>0</v>
      </c>
      <c r="AV222" s="3">
        <f t="shared" si="50"/>
        <v>0</v>
      </c>
      <c r="AW222" s="3">
        <f t="shared" si="51"/>
        <v>0</v>
      </c>
      <c r="AX222" s="3">
        <f t="shared" si="52"/>
        <v>0</v>
      </c>
      <c r="AY222" s="3">
        <f t="shared" si="53"/>
        <v>7</v>
      </c>
      <c r="AZ222" s="3">
        <f t="shared" si="54"/>
        <v>0</v>
      </c>
      <c r="BA222" s="3">
        <f t="shared" si="55"/>
        <v>0</v>
      </c>
      <c r="BB222" s="3">
        <f t="shared" si="56"/>
        <v>0</v>
      </c>
      <c r="BC222" s="3">
        <f t="shared" si="57"/>
        <v>0</v>
      </c>
      <c r="BD222" s="3">
        <f t="shared" si="58"/>
        <v>0</v>
      </c>
      <c r="BE222" s="3">
        <f t="shared" si="59"/>
        <v>0</v>
      </c>
      <c r="BF222" s="3">
        <f t="shared" si="60"/>
        <v>0</v>
      </c>
      <c r="BG222" s="3">
        <f t="shared" si="61"/>
        <v>0</v>
      </c>
      <c r="BH222" s="3">
        <f t="shared" si="62"/>
        <v>0</v>
      </c>
      <c r="BI222" s="3">
        <f t="shared" si="63"/>
        <v>8</v>
      </c>
    </row>
    <row r="223" spans="1:126" x14ac:dyDescent="0.25">
      <c r="A223" s="29">
        <v>220</v>
      </c>
      <c r="B223" s="13" t="s">
        <v>964</v>
      </c>
      <c r="C223" s="13" t="s">
        <v>898</v>
      </c>
      <c r="D223" s="13" t="s">
        <v>962</v>
      </c>
      <c r="E223" s="13" t="s">
        <v>965</v>
      </c>
      <c r="F223" s="18" t="s">
        <v>149</v>
      </c>
      <c r="G223" s="18">
        <v>45820</v>
      </c>
      <c r="H223" s="18" t="s">
        <v>35</v>
      </c>
      <c r="I223" s="13" t="s">
        <v>23</v>
      </c>
      <c r="J223" s="13" t="s">
        <v>24</v>
      </c>
      <c r="K223" s="13" t="s">
        <v>56</v>
      </c>
      <c r="L223" s="13" t="s">
        <v>150</v>
      </c>
      <c r="M223" s="13" t="s">
        <v>1621</v>
      </c>
      <c r="N223" s="4" t="s">
        <v>966</v>
      </c>
      <c r="O223" s="16" t="s">
        <v>28</v>
      </c>
      <c r="P223" s="1" t="s">
        <v>39</v>
      </c>
      <c r="Q223" s="3" t="s">
        <v>5</v>
      </c>
      <c r="R223" s="3" t="s">
        <v>5</v>
      </c>
      <c r="S223" s="3" t="s">
        <v>5</v>
      </c>
      <c r="T223" s="3" t="s">
        <v>5</v>
      </c>
      <c r="U223" s="3" t="s">
        <v>5</v>
      </c>
      <c r="V223" s="3" t="s">
        <v>5</v>
      </c>
      <c r="W223" s="3" t="s">
        <v>5</v>
      </c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3"/>
      <c r="AI223" s="14"/>
      <c r="AJ223" s="14"/>
      <c r="AK223" s="14"/>
      <c r="AL223" s="14"/>
      <c r="AM223" s="14"/>
      <c r="AN223" s="14"/>
      <c r="AO223" s="14"/>
      <c r="AP223" s="1"/>
      <c r="AQ223" s="1"/>
      <c r="AR223" s="1"/>
      <c r="AS223" s="1"/>
      <c r="AT223" s="13">
        <f t="shared" si="48"/>
        <v>1</v>
      </c>
      <c r="AU223" s="13">
        <f t="shared" si="49"/>
        <v>0</v>
      </c>
      <c r="AV223" s="13">
        <f t="shared" si="50"/>
        <v>0</v>
      </c>
      <c r="AW223" s="13">
        <f t="shared" si="51"/>
        <v>0</v>
      </c>
      <c r="AX223" s="13">
        <f t="shared" si="52"/>
        <v>0</v>
      </c>
      <c r="AY223" s="13">
        <f t="shared" si="53"/>
        <v>7</v>
      </c>
      <c r="AZ223" s="13">
        <f t="shared" si="54"/>
        <v>0</v>
      </c>
      <c r="BA223" s="13">
        <f t="shared" si="55"/>
        <v>0</v>
      </c>
      <c r="BB223" s="13">
        <f t="shared" si="56"/>
        <v>0</v>
      </c>
      <c r="BC223" s="13">
        <f t="shared" si="57"/>
        <v>0</v>
      </c>
      <c r="BD223" s="13">
        <f t="shared" si="58"/>
        <v>0</v>
      </c>
      <c r="BE223" s="13">
        <f t="shared" si="59"/>
        <v>0</v>
      </c>
      <c r="BF223" s="13">
        <f t="shared" si="60"/>
        <v>0</v>
      </c>
      <c r="BG223" s="13">
        <f t="shared" si="61"/>
        <v>0</v>
      </c>
      <c r="BH223" s="13">
        <f t="shared" si="62"/>
        <v>0</v>
      </c>
      <c r="BI223" s="13">
        <f t="shared" si="63"/>
        <v>8</v>
      </c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</row>
    <row r="224" spans="1:126" x14ac:dyDescent="0.25">
      <c r="A224" s="29">
        <v>221</v>
      </c>
      <c r="B224" s="3" t="s">
        <v>408</v>
      </c>
      <c r="C224" s="13" t="s">
        <v>141</v>
      </c>
      <c r="D224" s="13" t="s">
        <v>409</v>
      </c>
      <c r="E224" s="13" t="s">
        <v>410</v>
      </c>
      <c r="F224" s="18" t="s">
        <v>335</v>
      </c>
      <c r="G224" s="18">
        <v>45831</v>
      </c>
      <c r="H224" s="18" t="s">
        <v>35</v>
      </c>
      <c r="I224" s="13" t="s">
        <v>23</v>
      </c>
      <c r="J224" s="13" t="s">
        <v>24</v>
      </c>
      <c r="K224" s="13" t="s">
        <v>43</v>
      </c>
      <c r="L224" s="13" t="s">
        <v>44</v>
      </c>
      <c r="M224" s="13" t="s">
        <v>1621</v>
      </c>
      <c r="N224" s="4" t="s">
        <v>411</v>
      </c>
      <c r="O224" s="4" t="s">
        <v>28</v>
      </c>
      <c r="P224" s="1" t="s">
        <v>29</v>
      </c>
      <c r="Q224" s="1" t="s">
        <v>5</v>
      </c>
      <c r="R224" s="1" t="s">
        <v>5</v>
      </c>
      <c r="S224" s="1" t="s">
        <v>5</v>
      </c>
      <c r="T224" s="1" t="s">
        <v>5</v>
      </c>
      <c r="U224" s="1" t="s">
        <v>5</v>
      </c>
      <c r="V224" s="1" t="s">
        <v>5</v>
      </c>
      <c r="W224" s="1" t="s">
        <v>5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3">
        <f t="shared" si="48"/>
        <v>0</v>
      </c>
      <c r="AU224" s="3">
        <f t="shared" si="49"/>
        <v>1</v>
      </c>
      <c r="AV224" s="3">
        <f t="shared" si="50"/>
        <v>0</v>
      </c>
      <c r="AW224" s="3">
        <f t="shared" si="51"/>
        <v>0</v>
      </c>
      <c r="AX224" s="3">
        <f t="shared" si="52"/>
        <v>0</v>
      </c>
      <c r="AY224" s="3">
        <f t="shared" si="53"/>
        <v>7</v>
      </c>
      <c r="AZ224" s="3">
        <f t="shared" si="54"/>
        <v>0</v>
      </c>
      <c r="BA224" s="3">
        <f t="shared" si="55"/>
        <v>0</v>
      </c>
      <c r="BB224" s="3">
        <f t="shared" si="56"/>
        <v>0</v>
      </c>
      <c r="BC224" s="3">
        <f t="shared" si="57"/>
        <v>0</v>
      </c>
      <c r="BD224" s="3">
        <f t="shared" si="58"/>
        <v>0</v>
      </c>
      <c r="BE224" s="3">
        <f t="shared" si="59"/>
        <v>0</v>
      </c>
      <c r="BF224" s="3">
        <f t="shared" si="60"/>
        <v>0</v>
      </c>
      <c r="BG224" s="3">
        <f t="shared" si="61"/>
        <v>0</v>
      </c>
      <c r="BH224" s="3">
        <f t="shared" si="62"/>
        <v>0</v>
      </c>
      <c r="BI224" s="3">
        <f t="shared" si="63"/>
        <v>8</v>
      </c>
    </row>
    <row r="225" spans="1:126" x14ac:dyDescent="0.25">
      <c r="A225" s="29">
        <v>222</v>
      </c>
      <c r="B225" s="3" t="s">
        <v>271</v>
      </c>
      <c r="C225" s="13" t="s">
        <v>272</v>
      </c>
      <c r="D225" s="13" t="s">
        <v>273</v>
      </c>
      <c r="E225" s="13" t="s">
        <v>274</v>
      </c>
      <c r="F225" s="18" t="s">
        <v>55</v>
      </c>
      <c r="G225" s="18">
        <v>45831</v>
      </c>
      <c r="H225" s="18" t="s">
        <v>35</v>
      </c>
      <c r="I225" s="13" t="s">
        <v>23</v>
      </c>
      <c r="J225" s="13" t="s">
        <v>24</v>
      </c>
      <c r="K225" s="13" t="s">
        <v>56</v>
      </c>
      <c r="L225" s="13" t="s">
        <v>57</v>
      </c>
      <c r="M225" s="13" t="s">
        <v>1621</v>
      </c>
      <c r="N225" s="4" t="s">
        <v>275</v>
      </c>
      <c r="O225" s="4" t="s">
        <v>28</v>
      </c>
      <c r="P225" s="1" t="s">
        <v>39</v>
      </c>
      <c r="Q225" s="1" t="s">
        <v>5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3">
        <f t="shared" si="48"/>
        <v>1</v>
      </c>
      <c r="AU225" s="3">
        <f t="shared" si="49"/>
        <v>0</v>
      </c>
      <c r="AV225" s="3">
        <f t="shared" si="50"/>
        <v>0</v>
      </c>
      <c r="AW225" s="3">
        <f t="shared" si="51"/>
        <v>0</v>
      </c>
      <c r="AX225" s="3">
        <f t="shared" si="52"/>
        <v>0</v>
      </c>
      <c r="AY225" s="3">
        <f t="shared" si="53"/>
        <v>7</v>
      </c>
      <c r="AZ225" s="3">
        <f t="shared" si="54"/>
        <v>0</v>
      </c>
      <c r="BA225" s="3">
        <f t="shared" si="55"/>
        <v>0</v>
      </c>
      <c r="BB225" s="3">
        <f t="shared" si="56"/>
        <v>0</v>
      </c>
      <c r="BC225" s="3">
        <f t="shared" si="57"/>
        <v>0</v>
      </c>
      <c r="BD225" s="3">
        <f t="shared" si="58"/>
        <v>0</v>
      </c>
      <c r="BE225" s="3">
        <f t="shared" si="59"/>
        <v>0</v>
      </c>
      <c r="BF225" s="3">
        <f t="shared" si="60"/>
        <v>0</v>
      </c>
      <c r="BG225" s="3">
        <f t="shared" si="61"/>
        <v>0</v>
      </c>
      <c r="BH225" s="3">
        <f t="shared" si="62"/>
        <v>0</v>
      </c>
      <c r="BI225" s="3">
        <f t="shared" si="63"/>
        <v>8</v>
      </c>
    </row>
    <row r="226" spans="1:126" x14ac:dyDescent="0.25">
      <c r="A226" s="29">
        <v>223</v>
      </c>
      <c r="B226" s="3" t="s">
        <v>1088</v>
      </c>
      <c r="C226" s="13" t="s">
        <v>1089</v>
      </c>
      <c r="D226" s="13" t="s">
        <v>202</v>
      </c>
      <c r="E226" s="13" t="s">
        <v>1090</v>
      </c>
      <c r="F226" s="18" t="s">
        <v>138</v>
      </c>
      <c r="G226" s="18">
        <v>45831</v>
      </c>
      <c r="H226" s="18" t="s">
        <v>35</v>
      </c>
      <c r="I226" s="13" t="s">
        <v>23</v>
      </c>
      <c r="J226" s="13" t="s">
        <v>24</v>
      </c>
      <c r="K226" s="13" t="s">
        <v>43</v>
      </c>
      <c r="L226" s="13" t="s">
        <v>44</v>
      </c>
      <c r="M226" s="13" t="s">
        <v>1621</v>
      </c>
      <c r="N226" s="4" t="s">
        <v>1091</v>
      </c>
      <c r="O226" s="4" t="s">
        <v>28</v>
      </c>
      <c r="P226" s="1" t="s">
        <v>92</v>
      </c>
      <c r="Q226" s="1" t="s">
        <v>92</v>
      </c>
      <c r="R226" s="1" t="s">
        <v>92</v>
      </c>
      <c r="S226" s="1" t="s">
        <v>92</v>
      </c>
      <c r="T226" s="1" t="s">
        <v>92</v>
      </c>
      <c r="U226" s="1" t="s">
        <v>92</v>
      </c>
      <c r="V226" s="1" t="s">
        <v>92</v>
      </c>
      <c r="W226" s="1" t="s">
        <v>92</v>
      </c>
      <c r="X226" s="1" t="s">
        <v>92</v>
      </c>
      <c r="Y226" s="1" t="s">
        <v>92</v>
      </c>
      <c r="Z226" s="1" t="s">
        <v>92</v>
      </c>
      <c r="AA226" s="1" t="s">
        <v>92</v>
      </c>
      <c r="AB226" s="1" t="s">
        <v>92</v>
      </c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3">
        <f t="shared" si="48"/>
        <v>0</v>
      </c>
      <c r="AU226" s="3">
        <f t="shared" si="49"/>
        <v>0</v>
      </c>
      <c r="AV226" s="3">
        <f t="shared" si="50"/>
        <v>0</v>
      </c>
      <c r="AW226" s="3">
        <f t="shared" si="51"/>
        <v>0</v>
      </c>
      <c r="AX226" s="3">
        <f t="shared" si="52"/>
        <v>0</v>
      </c>
      <c r="AY226" s="3">
        <f t="shared" si="53"/>
        <v>0</v>
      </c>
      <c r="AZ226" s="3">
        <f t="shared" si="54"/>
        <v>0</v>
      </c>
      <c r="BA226" s="3">
        <f t="shared" si="55"/>
        <v>13</v>
      </c>
      <c r="BB226" s="3">
        <f t="shared" si="56"/>
        <v>0</v>
      </c>
      <c r="BC226" s="3">
        <f t="shared" si="57"/>
        <v>0</v>
      </c>
      <c r="BD226" s="3">
        <f t="shared" si="58"/>
        <v>0</v>
      </c>
      <c r="BE226" s="3">
        <f t="shared" si="59"/>
        <v>0</v>
      </c>
      <c r="BF226" s="3">
        <f t="shared" si="60"/>
        <v>0</v>
      </c>
      <c r="BG226" s="3">
        <f t="shared" si="61"/>
        <v>0</v>
      </c>
      <c r="BH226" s="3">
        <f t="shared" si="62"/>
        <v>0</v>
      </c>
      <c r="BI226" s="3">
        <f t="shared" si="63"/>
        <v>0</v>
      </c>
    </row>
    <row r="227" spans="1:126" x14ac:dyDescent="0.25">
      <c r="A227" s="29">
        <v>224</v>
      </c>
      <c r="B227" s="3" t="s">
        <v>363</v>
      </c>
      <c r="C227" s="13" t="s">
        <v>364</v>
      </c>
      <c r="D227" s="13" t="s">
        <v>365</v>
      </c>
      <c r="E227" s="13" t="s">
        <v>366</v>
      </c>
      <c r="F227" s="18" t="s">
        <v>34</v>
      </c>
      <c r="G227" s="18">
        <v>45831</v>
      </c>
      <c r="H227" s="18" t="s">
        <v>35</v>
      </c>
      <c r="I227" s="13" t="s">
        <v>23</v>
      </c>
      <c r="J227" s="13" t="s">
        <v>24</v>
      </c>
      <c r="K227" s="13" t="s">
        <v>25</v>
      </c>
      <c r="L227" s="13" t="s">
        <v>26</v>
      </c>
      <c r="M227" s="13" t="s">
        <v>1621</v>
      </c>
      <c r="N227" s="4" t="s">
        <v>367</v>
      </c>
      <c r="O227" s="4" t="s">
        <v>28</v>
      </c>
      <c r="P227" s="1" t="s">
        <v>5</v>
      </c>
      <c r="Q227" s="1" t="s">
        <v>39</v>
      </c>
      <c r="R227" s="1" t="s">
        <v>39</v>
      </c>
      <c r="S227" s="1"/>
      <c r="T227" s="3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3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3">
        <f t="shared" si="48"/>
        <v>2</v>
      </c>
      <c r="AU227" s="3">
        <f t="shared" si="49"/>
        <v>0</v>
      </c>
      <c r="AV227" s="3">
        <f t="shared" si="50"/>
        <v>0</v>
      </c>
      <c r="AW227" s="3">
        <f t="shared" si="51"/>
        <v>0</v>
      </c>
      <c r="AX227" s="3">
        <f t="shared" si="52"/>
        <v>0</v>
      </c>
      <c r="AY227" s="3">
        <f t="shared" si="53"/>
        <v>1</v>
      </c>
      <c r="AZ227" s="3">
        <f t="shared" si="54"/>
        <v>0</v>
      </c>
      <c r="BA227" s="3">
        <f t="shared" si="55"/>
        <v>0</v>
      </c>
      <c r="BB227" s="3">
        <f t="shared" si="56"/>
        <v>0</v>
      </c>
      <c r="BC227" s="3">
        <f t="shared" si="57"/>
        <v>0</v>
      </c>
      <c r="BD227" s="3">
        <f t="shared" si="58"/>
        <v>0</v>
      </c>
      <c r="BE227" s="3">
        <f t="shared" si="59"/>
        <v>0</v>
      </c>
      <c r="BF227" s="3">
        <f t="shared" si="60"/>
        <v>0</v>
      </c>
      <c r="BG227" s="3">
        <f t="shared" si="61"/>
        <v>0</v>
      </c>
      <c r="BH227" s="3">
        <f t="shared" si="62"/>
        <v>0</v>
      </c>
      <c r="BI227" s="3">
        <f t="shared" si="63"/>
        <v>3</v>
      </c>
    </row>
    <row r="228" spans="1:126" x14ac:dyDescent="0.25">
      <c r="A228" s="29">
        <v>225</v>
      </c>
      <c r="B228" s="3" t="s">
        <v>1133</v>
      </c>
      <c r="C228" s="13" t="s">
        <v>1134</v>
      </c>
      <c r="D228" s="13" t="s">
        <v>493</v>
      </c>
      <c r="E228" s="13" t="s">
        <v>1135</v>
      </c>
      <c r="F228" s="18" t="s">
        <v>1528</v>
      </c>
      <c r="G228" s="18">
        <v>45831</v>
      </c>
      <c r="H228" s="18" t="s">
        <v>35</v>
      </c>
      <c r="I228" s="13" t="s">
        <v>23</v>
      </c>
      <c r="J228" s="13" t="s">
        <v>24</v>
      </c>
      <c r="K228" s="13" t="s">
        <v>36</v>
      </c>
      <c r="L228" s="13" t="s">
        <v>37</v>
      </c>
      <c r="M228" s="13" t="s">
        <v>1621</v>
      </c>
      <c r="N228" s="4" t="s">
        <v>1136</v>
      </c>
      <c r="O228" s="4" t="s">
        <v>28</v>
      </c>
      <c r="P228" s="1" t="s">
        <v>5</v>
      </c>
      <c r="Q228" s="1" t="s">
        <v>29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3">
        <f t="shared" si="48"/>
        <v>0</v>
      </c>
      <c r="AU228" s="3">
        <f t="shared" si="49"/>
        <v>1</v>
      </c>
      <c r="AV228" s="3">
        <f t="shared" si="50"/>
        <v>0</v>
      </c>
      <c r="AW228" s="3">
        <f t="shared" si="51"/>
        <v>0</v>
      </c>
      <c r="AX228" s="3">
        <f t="shared" si="52"/>
        <v>0</v>
      </c>
      <c r="AY228" s="3">
        <f t="shared" si="53"/>
        <v>1</v>
      </c>
      <c r="AZ228" s="3">
        <f t="shared" si="54"/>
        <v>0</v>
      </c>
      <c r="BA228" s="3">
        <f t="shared" si="55"/>
        <v>0</v>
      </c>
      <c r="BB228" s="3">
        <f t="shared" si="56"/>
        <v>0</v>
      </c>
      <c r="BC228" s="3">
        <f t="shared" si="57"/>
        <v>0</v>
      </c>
      <c r="BD228" s="3">
        <f t="shared" si="58"/>
        <v>0</v>
      </c>
      <c r="BE228" s="3">
        <f t="shared" si="59"/>
        <v>0</v>
      </c>
      <c r="BF228" s="3">
        <f t="shared" si="60"/>
        <v>0</v>
      </c>
      <c r="BG228" s="3">
        <f t="shared" si="61"/>
        <v>0</v>
      </c>
      <c r="BH228" s="3">
        <f t="shared" si="62"/>
        <v>0</v>
      </c>
      <c r="BI228" s="3">
        <f t="shared" si="63"/>
        <v>2</v>
      </c>
    </row>
    <row r="229" spans="1:126" x14ac:dyDescent="0.25">
      <c r="A229" s="29">
        <v>226</v>
      </c>
      <c r="B229" s="3" t="s">
        <v>587</v>
      </c>
      <c r="C229" s="13" t="s">
        <v>588</v>
      </c>
      <c r="D229" s="13" t="s">
        <v>589</v>
      </c>
      <c r="E229" s="13" t="s">
        <v>590</v>
      </c>
      <c r="F229" s="22" t="s">
        <v>1548</v>
      </c>
      <c r="G229" s="25">
        <v>45845</v>
      </c>
      <c r="H229" s="25" t="s">
        <v>35</v>
      </c>
      <c r="I229" s="22" t="s">
        <v>23</v>
      </c>
      <c r="J229" s="22" t="s">
        <v>24</v>
      </c>
      <c r="K229" s="13" t="s">
        <v>84</v>
      </c>
      <c r="L229" s="13" t="s">
        <v>85</v>
      </c>
      <c r="M229" s="13" t="s">
        <v>1621</v>
      </c>
      <c r="N229" s="4" t="s">
        <v>591</v>
      </c>
      <c r="O229" s="4" t="s">
        <v>84</v>
      </c>
      <c r="P229" s="1" t="s">
        <v>39</v>
      </c>
      <c r="Q229" s="1" t="s">
        <v>39</v>
      </c>
      <c r="R229" s="1" t="s">
        <v>5</v>
      </c>
      <c r="S229" s="1" t="s">
        <v>5</v>
      </c>
      <c r="T229" s="1" t="s">
        <v>5</v>
      </c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3">
        <f t="shared" si="48"/>
        <v>2</v>
      </c>
      <c r="AU229" s="3">
        <f t="shared" si="49"/>
        <v>0</v>
      </c>
      <c r="AV229" s="3">
        <f t="shared" si="50"/>
        <v>0</v>
      </c>
      <c r="AW229" s="3">
        <f t="shared" si="51"/>
        <v>0</v>
      </c>
      <c r="AX229" s="3">
        <f t="shared" si="52"/>
        <v>0</v>
      </c>
      <c r="AY229" s="3">
        <f t="shared" si="53"/>
        <v>3</v>
      </c>
      <c r="AZ229" s="3">
        <f t="shared" si="54"/>
        <v>0</v>
      </c>
      <c r="BA229" s="3">
        <f t="shared" si="55"/>
        <v>0</v>
      </c>
      <c r="BB229" s="3">
        <f t="shared" si="56"/>
        <v>0</v>
      </c>
      <c r="BC229" s="3">
        <f t="shared" si="57"/>
        <v>0</v>
      </c>
      <c r="BD229" s="3">
        <f t="shared" si="58"/>
        <v>0</v>
      </c>
      <c r="BE229" s="3">
        <f t="shared" si="59"/>
        <v>0</v>
      </c>
      <c r="BF229" s="3">
        <f t="shared" si="60"/>
        <v>0</v>
      </c>
      <c r="BG229" s="3">
        <f t="shared" si="61"/>
        <v>0</v>
      </c>
      <c r="BH229" s="3">
        <f t="shared" si="62"/>
        <v>0</v>
      </c>
      <c r="BI229" s="3">
        <f t="shared" si="63"/>
        <v>5</v>
      </c>
    </row>
    <row r="230" spans="1:126" x14ac:dyDescent="0.25">
      <c r="A230" s="29">
        <v>228</v>
      </c>
      <c r="B230" s="3" t="s">
        <v>836</v>
      </c>
      <c r="C230" s="13" t="s">
        <v>157</v>
      </c>
      <c r="D230" s="13" t="s">
        <v>110</v>
      </c>
      <c r="E230" s="13" t="s">
        <v>837</v>
      </c>
      <c r="F230" s="22" t="s">
        <v>138</v>
      </c>
      <c r="G230" s="25">
        <v>45845</v>
      </c>
      <c r="H230" s="25" t="s">
        <v>35</v>
      </c>
      <c r="I230" s="22" t="s">
        <v>23</v>
      </c>
      <c r="J230" s="22" t="s">
        <v>24</v>
      </c>
      <c r="K230" s="13" t="s">
        <v>84</v>
      </c>
      <c r="L230" s="13" t="s">
        <v>1517</v>
      </c>
      <c r="M230" s="13" t="s">
        <v>1621</v>
      </c>
      <c r="N230" s="4" t="s">
        <v>838</v>
      </c>
      <c r="O230" s="4" t="s">
        <v>84</v>
      </c>
      <c r="P230" s="1" t="s">
        <v>39</v>
      </c>
      <c r="Q230" s="1" t="s">
        <v>39</v>
      </c>
      <c r="R230" s="1" t="s">
        <v>5</v>
      </c>
      <c r="S230" s="1" t="s">
        <v>5</v>
      </c>
      <c r="T230" s="1" t="s">
        <v>5</v>
      </c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3">
        <f t="shared" si="48"/>
        <v>2</v>
      </c>
      <c r="AU230" s="3">
        <f t="shared" si="49"/>
        <v>0</v>
      </c>
      <c r="AV230" s="3">
        <f t="shared" si="50"/>
        <v>0</v>
      </c>
      <c r="AW230" s="3">
        <f t="shared" si="51"/>
        <v>0</v>
      </c>
      <c r="AX230" s="3">
        <f t="shared" si="52"/>
        <v>0</v>
      </c>
      <c r="AY230" s="3">
        <f t="shared" si="53"/>
        <v>3</v>
      </c>
      <c r="AZ230" s="3">
        <f t="shared" si="54"/>
        <v>0</v>
      </c>
      <c r="BA230" s="3">
        <f t="shared" si="55"/>
        <v>0</v>
      </c>
      <c r="BB230" s="3">
        <f t="shared" si="56"/>
        <v>0</v>
      </c>
      <c r="BC230" s="3">
        <f t="shared" si="57"/>
        <v>0</v>
      </c>
      <c r="BD230" s="3">
        <f t="shared" si="58"/>
        <v>0</v>
      </c>
      <c r="BE230" s="3">
        <f t="shared" si="59"/>
        <v>0</v>
      </c>
      <c r="BF230" s="3">
        <f t="shared" si="60"/>
        <v>0</v>
      </c>
      <c r="BG230" s="3">
        <f t="shared" si="61"/>
        <v>0</v>
      </c>
      <c r="BH230" s="3">
        <f t="shared" si="62"/>
        <v>0</v>
      </c>
      <c r="BI230" s="3">
        <f t="shared" si="63"/>
        <v>5</v>
      </c>
    </row>
    <row r="231" spans="1:126" x14ac:dyDescent="0.25">
      <c r="A231" s="29">
        <v>227</v>
      </c>
      <c r="B231" s="3" t="s">
        <v>443</v>
      </c>
      <c r="C231" s="13" t="s">
        <v>444</v>
      </c>
      <c r="D231" s="13" t="s">
        <v>440</v>
      </c>
      <c r="E231" s="13" t="s">
        <v>445</v>
      </c>
      <c r="F231" s="18" t="s">
        <v>1560</v>
      </c>
      <c r="G231" s="18">
        <v>45845</v>
      </c>
      <c r="H231" s="18" t="s">
        <v>35</v>
      </c>
      <c r="I231" s="13" t="s">
        <v>23</v>
      </c>
      <c r="J231" s="13" t="s">
        <v>24</v>
      </c>
      <c r="K231" s="13" t="s">
        <v>43</v>
      </c>
      <c r="L231" s="13" t="s">
        <v>446</v>
      </c>
      <c r="M231" s="13" t="s">
        <v>1621</v>
      </c>
      <c r="N231" s="4" t="s">
        <v>447</v>
      </c>
      <c r="O231" s="4" t="s">
        <v>28</v>
      </c>
      <c r="P231" s="1" t="s">
        <v>29</v>
      </c>
      <c r="Q231" s="1" t="s">
        <v>5</v>
      </c>
      <c r="R231" s="1" t="s">
        <v>5</v>
      </c>
      <c r="S231" s="1" t="s">
        <v>5</v>
      </c>
      <c r="T231" s="1" t="s">
        <v>5</v>
      </c>
      <c r="U231" s="1" t="s">
        <v>5</v>
      </c>
      <c r="V231" s="1" t="s">
        <v>5</v>
      </c>
      <c r="W231" s="1" t="s">
        <v>5</v>
      </c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3">
        <f t="shared" si="48"/>
        <v>0</v>
      </c>
      <c r="AU231" s="3">
        <f t="shared" si="49"/>
        <v>1</v>
      </c>
      <c r="AV231" s="3">
        <f t="shared" si="50"/>
        <v>0</v>
      </c>
      <c r="AW231" s="3">
        <f t="shared" si="51"/>
        <v>0</v>
      </c>
      <c r="AX231" s="3">
        <f t="shared" si="52"/>
        <v>0</v>
      </c>
      <c r="AY231" s="3">
        <f t="shared" si="53"/>
        <v>7</v>
      </c>
      <c r="AZ231" s="3">
        <f t="shared" si="54"/>
        <v>0</v>
      </c>
      <c r="BA231" s="3">
        <f t="shared" si="55"/>
        <v>0</v>
      </c>
      <c r="BB231" s="3">
        <f t="shared" si="56"/>
        <v>0</v>
      </c>
      <c r="BC231" s="3">
        <f t="shared" si="57"/>
        <v>0</v>
      </c>
      <c r="BD231" s="3">
        <f t="shared" si="58"/>
        <v>0</v>
      </c>
      <c r="BE231" s="3">
        <f t="shared" si="59"/>
        <v>0</v>
      </c>
      <c r="BF231" s="3">
        <f t="shared" si="60"/>
        <v>0</v>
      </c>
      <c r="BG231" s="3">
        <f t="shared" si="61"/>
        <v>0</v>
      </c>
      <c r="BH231" s="3">
        <f t="shared" si="62"/>
        <v>0</v>
      </c>
      <c r="BI231" s="3">
        <f t="shared" si="63"/>
        <v>8</v>
      </c>
    </row>
    <row r="232" spans="1:126" x14ac:dyDescent="0.25">
      <c r="A232" s="29">
        <v>229</v>
      </c>
      <c r="B232" s="3" t="s">
        <v>1194</v>
      </c>
      <c r="C232" s="13" t="s">
        <v>1182</v>
      </c>
      <c r="D232" s="13" t="s">
        <v>1195</v>
      </c>
      <c r="E232" s="13" t="s">
        <v>1196</v>
      </c>
      <c r="F232" s="22" t="s">
        <v>1562</v>
      </c>
      <c r="G232" s="25">
        <v>45845</v>
      </c>
      <c r="H232" s="25" t="s">
        <v>35</v>
      </c>
      <c r="I232" s="22" t="s">
        <v>23</v>
      </c>
      <c r="J232" s="22" t="s">
        <v>24</v>
      </c>
      <c r="K232" s="13" t="s">
        <v>84</v>
      </c>
      <c r="L232" s="13" t="s">
        <v>85</v>
      </c>
      <c r="M232" s="13" t="s">
        <v>1621</v>
      </c>
      <c r="N232" s="4" t="s">
        <v>1197</v>
      </c>
      <c r="O232" s="4" t="s">
        <v>84</v>
      </c>
      <c r="P232" s="1" t="s">
        <v>39</v>
      </c>
      <c r="Q232" s="1" t="s">
        <v>39</v>
      </c>
      <c r="R232" s="1" t="s">
        <v>5</v>
      </c>
      <c r="S232" s="1" t="s">
        <v>5</v>
      </c>
      <c r="T232" s="1" t="s">
        <v>5</v>
      </c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3">
        <f t="shared" si="48"/>
        <v>2</v>
      </c>
      <c r="AU232" s="3">
        <f t="shared" si="49"/>
        <v>0</v>
      </c>
      <c r="AV232" s="3">
        <f t="shared" si="50"/>
        <v>0</v>
      </c>
      <c r="AW232" s="3">
        <f t="shared" si="51"/>
        <v>0</v>
      </c>
      <c r="AX232" s="3">
        <f t="shared" si="52"/>
        <v>0</v>
      </c>
      <c r="AY232" s="3">
        <f t="shared" si="53"/>
        <v>3</v>
      </c>
      <c r="AZ232" s="3">
        <f t="shared" si="54"/>
        <v>0</v>
      </c>
      <c r="BA232" s="3">
        <f t="shared" si="55"/>
        <v>0</v>
      </c>
      <c r="BB232" s="3">
        <f t="shared" si="56"/>
        <v>0</v>
      </c>
      <c r="BC232" s="3">
        <f t="shared" si="57"/>
        <v>0</v>
      </c>
      <c r="BD232" s="3">
        <f t="shared" si="58"/>
        <v>0</v>
      </c>
      <c r="BE232" s="3">
        <f t="shared" si="59"/>
        <v>0</v>
      </c>
      <c r="BF232" s="3">
        <f t="shared" si="60"/>
        <v>0</v>
      </c>
      <c r="BG232" s="3">
        <f t="shared" si="61"/>
        <v>0</v>
      </c>
      <c r="BH232" s="3">
        <f t="shared" si="62"/>
        <v>0</v>
      </c>
      <c r="BI232" s="3">
        <f t="shared" si="63"/>
        <v>5</v>
      </c>
    </row>
    <row r="233" spans="1:126" x14ac:dyDescent="0.25">
      <c r="A233" s="29">
        <v>230</v>
      </c>
      <c r="B233" s="3" t="s">
        <v>379</v>
      </c>
      <c r="C233" s="13" t="s">
        <v>380</v>
      </c>
      <c r="D233" s="13" t="s">
        <v>206</v>
      </c>
      <c r="E233" s="13" t="s">
        <v>381</v>
      </c>
      <c r="F233" s="22" t="s">
        <v>382</v>
      </c>
      <c r="G233" s="25">
        <v>45846</v>
      </c>
      <c r="H233" s="25" t="s">
        <v>35</v>
      </c>
      <c r="I233" s="22" t="s">
        <v>383</v>
      </c>
      <c r="J233" s="22" t="s">
        <v>383</v>
      </c>
      <c r="K233" s="13" t="s">
        <v>84</v>
      </c>
      <c r="L233" s="13" t="s">
        <v>1568</v>
      </c>
      <c r="M233" s="13" t="s">
        <v>1621</v>
      </c>
      <c r="N233" s="4" t="s">
        <v>384</v>
      </c>
      <c r="O233" s="4" t="s">
        <v>84</v>
      </c>
      <c r="P233" s="1" t="s">
        <v>39</v>
      </c>
      <c r="Q233" s="1" t="s">
        <v>39</v>
      </c>
      <c r="R233" s="1" t="s">
        <v>5</v>
      </c>
      <c r="S233" s="1" t="s">
        <v>5</v>
      </c>
      <c r="T233" s="1" t="s">
        <v>5</v>
      </c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3">
        <f t="shared" si="48"/>
        <v>2</v>
      </c>
      <c r="AU233" s="3">
        <f t="shared" si="49"/>
        <v>0</v>
      </c>
      <c r="AV233" s="3">
        <f t="shared" si="50"/>
        <v>0</v>
      </c>
      <c r="AW233" s="3">
        <f t="shared" si="51"/>
        <v>0</v>
      </c>
      <c r="AX233" s="3">
        <f t="shared" si="52"/>
        <v>0</v>
      </c>
      <c r="AY233" s="3">
        <f t="shared" si="53"/>
        <v>3</v>
      </c>
      <c r="AZ233" s="3">
        <f t="shared" si="54"/>
        <v>0</v>
      </c>
      <c r="BA233" s="3">
        <f t="shared" si="55"/>
        <v>0</v>
      </c>
      <c r="BB233" s="3">
        <f t="shared" si="56"/>
        <v>0</v>
      </c>
      <c r="BC233" s="3">
        <f t="shared" si="57"/>
        <v>0</v>
      </c>
      <c r="BD233" s="3">
        <f t="shared" si="58"/>
        <v>0</v>
      </c>
      <c r="BE233" s="3">
        <f t="shared" si="59"/>
        <v>0</v>
      </c>
      <c r="BF233" s="3">
        <f t="shared" si="60"/>
        <v>0</v>
      </c>
      <c r="BG233" s="3">
        <f t="shared" si="61"/>
        <v>0</v>
      </c>
      <c r="BH233" s="3">
        <f t="shared" si="62"/>
        <v>0</v>
      </c>
      <c r="BI233" s="3">
        <f t="shared" si="63"/>
        <v>5</v>
      </c>
    </row>
    <row r="234" spans="1:126" x14ac:dyDescent="0.25">
      <c r="A234" s="29">
        <v>231</v>
      </c>
      <c r="B234" s="3" t="s">
        <v>318</v>
      </c>
      <c r="C234" s="13" t="s">
        <v>319</v>
      </c>
      <c r="D234" s="13" t="s">
        <v>320</v>
      </c>
      <c r="E234" s="13" t="s">
        <v>321</v>
      </c>
      <c r="F234" s="18" t="s">
        <v>1531</v>
      </c>
      <c r="G234" s="18">
        <v>45848</v>
      </c>
      <c r="H234" s="18" t="s">
        <v>35</v>
      </c>
      <c r="I234" s="13" t="s">
        <v>23</v>
      </c>
      <c r="J234" s="13" t="s">
        <v>24</v>
      </c>
      <c r="K234" s="13" t="s">
        <v>36</v>
      </c>
      <c r="L234" s="13" t="s">
        <v>37</v>
      </c>
      <c r="M234" s="13" t="s">
        <v>1621</v>
      </c>
      <c r="N234" s="4">
        <v>982512863</v>
      </c>
      <c r="O234" s="4" t="s">
        <v>28</v>
      </c>
      <c r="P234" s="1" t="s">
        <v>5</v>
      </c>
      <c r="Q234" s="1" t="s">
        <v>29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3">
        <f t="shared" si="48"/>
        <v>0</v>
      </c>
      <c r="AU234" s="3">
        <f t="shared" si="49"/>
        <v>1</v>
      </c>
      <c r="AV234" s="3">
        <f t="shared" si="50"/>
        <v>0</v>
      </c>
      <c r="AW234" s="3">
        <f t="shared" si="51"/>
        <v>0</v>
      </c>
      <c r="AX234" s="3">
        <f t="shared" si="52"/>
        <v>0</v>
      </c>
      <c r="AY234" s="3">
        <f t="shared" si="53"/>
        <v>1</v>
      </c>
      <c r="AZ234" s="3">
        <f t="shared" si="54"/>
        <v>0</v>
      </c>
      <c r="BA234" s="3">
        <f t="shared" si="55"/>
        <v>0</v>
      </c>
      <c r="BB234" s="3">
        <f t="shared" si="56"/>
        <v>0</v>
      </c>
      <c r="BC234" s="3">
        <f t="shared" si="57"/>
        <v>0</v>
      </c>
      <c r="BD234" s="3">
        <f t="shared" si="58"/>
        <v>0</v>
      </c>
      <c r="BE234" s="3">
        <f t="shared" si="59"/>
        <v>0</v>
      </c>
      <c r="BF234" s="3">
        <f t="shared" si="60"/>
        <v>0</v>
      </c>
      <c r="BG234" s="3">
        <f t="shared" si="61"/>
        <v>0</v>
      </c>
      <c r="BH234" s="3">
        <f t="shared" si="62"/>
        <v>0</v>
      </c>
      <c r="BI234" s="3">
        <f t="shared" si="63"/>
        <v>2</v>
      </c>
    </row>
    <row r="235" spans="1:126" x14ac:dyDescent="0.25">
      <c r="A235" s="29">
        <v>232</v>
      </c>
      <c r="B235" s="3" t="s">
        <v>452</v>
      </c>
      <c r="C235" s="13" t="s">
        <v>453</v>
      </c>
      <c r="D235" s="13" t="s">
        <v>41</v>
      </c>
      <c r="E235" s="13" t="s">
        <v>454</v>
      </c>
      <c r="F235" s="18" t="s">
        <v>1552</v>
      </c>
      <c r="G235" s="18">
        <v>45848</v>
      </c>
      <c r="H235" s="18" t="s">
        <v>35</v>
      </c>
      <c r="I235" s="13" t="s">
        <v>23</v>
      </c>
      <c r="J235" s="13" t="s">
        <v>24</v>
      </c>
      <c r="K235" s="13" t="s">
        <v>36</v>
      </c>
      <c r="L235" s="13" t="s">
        <v>68</v>
      </c>
      <c r="M235" s="13" t="s">
        <v>1621</v>
      </c>
      <c r="N235" s="4">
        <v>942494672</v>
      </c>
      <c r="O235" s="4" t="s">
        <v>28</v>
      </c>
      <c r="P235" s="1" t="s">
        <v>5</v>
      </c>
      <c r="Q235" s="1" t="s">
        <v>29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3">
        <f t="shared" si="48"/>
        <v>0</v>
      </c>
      <c r="AU235" s="3">
        <f t="shared" si="49"/>
        <v>1</v>
      </c>
      <c r="AV235" s="3">
        <f t="shared" si="50"/>
        <v>0</v>
      </c>
      <c r="AW235" s="3">
        <f t="shared" si="51"/>
        <v>0</v>
      </c>
      <c r="AX235" s="3">
        <f t="shared" si="52"/>
        <v>0</v>
      </c>
      <c r="AY235" s="3">
        <f t="shared" si="53"/>
        <v>1</v>
      </c>
      <c r="AZ235" s="3">
        <f t="shared" si="54"/>
        <v>0</v>
      </c>
      <c r="BA235" s="3">
        <f t="shared" si="55"/>
        <v>0</v>
      </c>
      <c r="BB235" s="3">
        <f t="shared" si="56"/>
        <v>0</v>
      </c>
      <c r="BC235" s="3">
        <f t="shared" si="57"/>
        <v>0</v>
      </c>
      <c r="BD235" s="3">
        <f t="shared" si="58"/>
        <v>0</v>
      </c>
      <c r="BE235" s="3">
        <f t="shared" si="59"/>
        <v>0</v>
      </c>
      <c r="BF235" s="3">
        <f t="shared" si="60"/>
        <v>0</v>
      </c>
      <c r="BG235" s="3">
        <f t="shared" si="61"/>
        <v>0</v>
      </c>
      <c r="BH235" s="3">
        <f t="shared" si="62"/>
        <v>0</v>
      </c>
      <c r="BI235" s="3">
        <f t="shared" si="63"/>
        <v>2</v>
      </c>
    </row>
    <row r="236" spans="1:126" x14ac:dyDescent="0.25">
      <c r="A236" s="29">
        <v>234</v>
      </c>
      <c r="B236" s="3" t="s">
        <v>199</v>
      </c>
      <c r="C236" s="13" t="s">
        <v>146</v>
      </c>
      <c r="D236" s="13" t="s">
        <v>200</v>
      </c>
      <c r="E236" s="13" t="s">
        <v>201</v>
      </c>
      <c r="F236" s="18" t="s">
        <v>138</v>
      </c>
      <c r="G236" s="18">
        <v>45860</v>
      </c>
      <c r="H236" s="18" t="s">
        <v>35</v>
      </c>
      <c r="I236" s="13" t="s">
        <v>23</v>
      </c>
      <c r="J236" s="13" t="s">
        <v>24</v>
      </c>
      <c r="K236" s="13" t="s">
        <v>36</v>
      </c>
      <c r="L236" s="13" t="s">
        <v>37</v>
      </c>
      <c r="M236" s="13" t="s">
        <v>1621</v>
      </c>
      <c r="N236" s="4">
        <v>981550109</v>
      </c>
      <c r="O236" s="4" t="s">
        <v>28</v>
      </c>
      <c r="P236" s="1" t="s">
        <v>5</v>
      </c>
      <c r="Q236" s="1" t="s">
        <v>29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3">
        <f t="shared" si="48"/>
        <v>0</v>
      </c>
      <c r="AU236" s="3">
        <f t="shared" si="49"/>
        <v>1</v>
      </c>
      <c r="AV236" s="3">
        <f t="shared" si="50"/>
        <v>0</v>
      </c>
      <c r="AW236" s="3">
        <f t="shared" si="51"/>
        <v>0</v>
      </c>
      <c r="AX236" s="3">
        <f t="shared" si="52"/>
        <v>0</v>
      </c>
      <c r="AY236" s="3">
        <f t="shared" si="53"/>
        <v>1</v>
      </c>
      <c r="AZ236" s="3">
        <f t="shared" si="54"/>
        <v>0</v>
      </c>
      <c r="BA236" s="3">
        <f t="shared" si="55"/>
        <v>0</v>
      </c>
      <c r="BB236" s="3">
        <f t="shared" si="56"/>
        <v>0</v>
      </c>
      <c r="BC236" s="3">
        <f t="shared" si="57"/>
        <v>0</v>
      </c>
      <c r="BD236" s="3">
        <f t="shared" si="58"/>
        <v>0</v>
      </c>
      <c r="BE236" s="3">
        <f t="shared" si="59"/>
        <v>0</v>
      </c>
      <c r="BF236" s="3">
        <f t="shared" si="60"/>
        <v>0</v>
      </c>
      <c r="BG236" s="3">
        <f t="shared" si="61"/>
        <v>0</v>
      </c>
      <c r="BH236" s="3">
        <f t="shared" si="62"/>
        <v>0</v>
      </c>
      <c r="BI236" s="3">
        <f t="shared" si="63"/>
        <v>2</v>
      </c>
    </row>
    <row r="237" spans="1:126" x14ac:dyDescent="0.25">
      <c r="A237" s="29">
        <v>236</v>
      </c>
      <c r="B237" s="3" t="s">
        <v>596</v>
      </c>
      <c r="C237" s="13" t="s">
        <v>135</v>
      </c>
      <c r="D237" s="13" t="s">
        <v>498</v>
      </c>
      <c r="E237" s="13" t="s">
        <v>296</v>
      </c>
      <c r="F237" s="18" t="s">
        <v>73</v>
      </c>
      <c r="G237" s="18">
        <v>45860</v>
      </c>
      <c r="H237" s="18" t="s">
        <v>35</v>
      </c>
      <c r="I237" s="13" t="s">
        <v>23</v>
      </c>
      <c r="J237" s="13" t="s">
        <v>24</v>
      </c>
      <c r="K237" s="13" t="s">
        <v>43</v>
      </c>
      <c r="L237" s="13" t="s">
        <v>44</v>
      </c>
      <c r="M237" s="13" t="s">
        <v>1621</v>
      </c>
      <c r="N237" s="4" t="s">
        <v>597</v>
      </c>
      <c r="O237" s="4" t="s">
        <v>28</v>
      </c>
      <c r="P237" s="1" t="s">
        <v>29</v>
      </c>
      <c r="Q237" s="1" t="s">
        <v>5</v>
      </c>
      <c r="R237" s="1" t="s">
        <v>5</v>
      </c>
      <c r="S237" s="1" t="s">
        <v>5</v>
      </c>
      <c r="T237" s="1" t="s">
        <v>5</v>
      </c>
      <c r="U237" s="1" t="s">
        <v>5</v>
      </c>
      <c r="V237" s="1" t="s">
        <v>5</v>
      </c>
      <c r="W237" s="1" t="s">
        <v>5</v>
      </c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3">
        <f t="shared" si="48"/>
        <v>0</v>
      </c>
      <c r="AU237" s="3">
        <f t="shared" si="49"/>
        <v>1</v>
      </c>
      <c r="AV237" s="3">
        <f t="shared" si="50"/>
        <v>0</v>
      </c>
      <c r="AW237" s="3">
        <f t="shared" si="51"/>
        <v>0</v>
      </c>
      <c r="AX237" s="3">
        <f t="shared" si="52"/>
        <v>0</v>
      </c>
      <c r="AY237" s="3">
        <f t="shared" si="53"/>
        <v>7</v>
      </c>
      <c r="AZ237" s="3">
        <f t="shared" si="54"/>
        <v>0</v>
      </c>
      <c r="BA237" s="3">
        <f t="shared" si="55"/>
        <v>0</v>
      </c>
      <c r="BB237" s="3">
        <f t="shared" si="56"/>
        <v>0</v>
      </c>
      <c r="BC237" s="3">
        <f t="shared" si="57"/>
        <v>0</v>
      </c>
      <c r="BD237" s="3">
        <f t="shared" si="58"/>
        <v>0</v>
      </c>
      <c r="BE237" s="3">
        <f t="shared" si="59"/>
        <v>0</v>
      </c>
      <c r="BF237" s="3">
        <f t="shared" si="60"/>
        <v>0</v>
      </c>
      <c r="BG237" s="3">
        <f t="shared" si="61"/>
        <v>0</v>
      </c>
      <c r="BH237" s="3">
        <f t="shared" si="62"/>
        <v>0</v>
      </c>
      <c r="BI237" s="3">
        <f t="shared" si="63"/>
        <v>8</v>
      </c>
    </row>
    <row r="238" spans="1:126" x14ac:dyDescent="0.25">
      <c r="A238" s="29">
        <v>233</v>
      </c>
      <c r="B238" s="3" t="s">
        <v>547</v>
      </c>
      <c r="C238" s="13" t="s">
        <v>146</v>
      </c>
      <c r="D238" s="13" t="s">
        <v>287</v>
      </c>
      <c r="E238" s="13" t="s">
        <v>548</v>
      </c>
      <c r="F238" s="22" t="s">
        <v>1522</v>
      </c>
      <c r="G238" s="25">
        <v>45860</v>
      </c>
      <c r="H238" s="25" t="s">
        <v>35</v>
      </c>
      <c r="I238" s="22" t="s">
        <v>23</v>
      </c>
      <c r="J238" s="22" t="s">
        <v>24</v>
      </c>
      <c r="K238" s="13" t="s">
        <v>84</v>
      </c>
      <c r="L238" s="13" t="s">
        <v>1517</v>
      </c>
      <c r="M238" s="13" t="s">
        <v>1621</v>
      </c>
      <c r="N238" s="4">
        <v>961345956</v>
      </c>
      <c r="O238" s="4" t="s">
        <v>84</v>
      </c>
      <c r="P238" s="1" t="s">
        <v>39</v>
      </c>
      <c r="Q238" s="1" t="s">
        <v>39</v>
      </c>
      <c r="R238" s="1" t="s">
        <v>5</v>
      </c>
      <c r="S238" s="1" t="s">
        <v>5</v>
      </c>
      <c r="T238" s="1" t="s">
        <v>5</v>
      </c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3">
        <f t="shared" si="48"/>
        <v>2</v>
      </c>
      <c r="AU238" s="3">
        <f t="shared" si="49"/>
        <v>0</v>
      </c>
      <c r="AV238" s="3">
        <f t="shared" si="50"/>
        <v>0</v>
      </c>
      <c r="AW238" s="3">
        <f t="shared" si="51"/>
        <v>0</v>
      </c>
      <c r="AX238" s="3">
        <f t="shared" si="52"/>
        <v>0</v>
      </c>
      <c r="AY238" s="3">
        <f t="shared" si="53"/>
        <v>3</v>
      </c>
      <c r="AZ238" s="3">
        <f t="shared" si="54"/>
        <v>0</v>
      </c>
      <c r="BA238" s="3">
        <f t="shared" si="55"/>
        <v>0</v>
      </c>
      <c r="BB238" s="3">
        <f t="shared" si="56"/>
        <v>0</v>
      </c>
      <c r="BC238" s="3">
        <f t="shared" si="57"/>
        <v>0</v>
      </c>
      <c r="BD238" s="3">
        <f t="shared" si="58"/>
        <v>0</v>
      </c>
      <c r="BE238" s="3">
        <f t="shared" si="59"/>
        <v>0</v>
      </c>
      <c r="BF238" s="3">
        <f t="shared" si="60"/>
        <v>0</v>
      </c>
      <c r="BG238" s="3">
        <f t="shared" si="61"/>
        <v>0</v>
      </c>
      <c r="BH238" s="3">
        <f t="shared" si="62"/>
        <v>0</v>
      </c>
      <c r="BI238" s="3">
        <f t="shared" si="63"/>
        <v>5</v>
      </c>
    </row>
    <row r="239" spans="1:126" x14ac:dyDescent="0.25">
      <c r="A239" s="29">
        <v>235</v>
      </c>
      <c r="B239" s="3" t="s">
        <v>678</v>
      </c>
      <c r="C239" s="13" t="s">
        <v>679</v>
      </c>
      <c r="D239" s="13" t="s">
        <v>680</v>
      </c>
      <c r="E239" s="13" t="s">
        <v>599</v>
      </c>
      <c r="F239" s="22" t="s">
        <v>1522</v>
      </c>
      <c r="G239" s="25">
        <v>45860</v>
      </c>
      <c r="H239" s="25" t="s">
        <v>35</v>
      </c>
      <c r="I239" s="22" t="s">
        <v>23</v>
      </c>
      <c r="J239" s="22" t="s">
        <v>24</v>
      </c>
      <c r="K239" s="13" t="s">
        <v>84</v>
      </c>
      <c r="L239" s="13" t="s">
        <v>1517</v>
      </c>
      <c r="M239" s="13" t="s">
        <v>1621</v>
      </c>
      <c r="N239" s="4">
        <v>964637505</v>
      </c>
      <c r="O239" s="4" t="s">
        <v>84</v>
      </c>
      <c r="P239" s="1" t="s">
        <v>39</v>
      </c>
      <c r="Q239" s="1" t="s">
        <v>39</v>
      </c>
      <c r="R239" s="1" t="s">
        <v>5</v>
      </c>
      <c r="S239" s="1" t="s">
        <v>5</v>
      </c>
      <c r="T239" s="1" t="s">
        <v>5</v>
      </c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3">
        <f t="shared" si="48"/>
        <v>2</v>
      </c>
      <c r="AU239" s="3">
        <f t="shared" si="49"/>
        <v>0</v>
      </c>
      <c r="AV239" s="3">
        <f t="shared" si="50"/>
        <v>0</v>
      </c>
      <c r="AW239" s="3">
        <f t="shared" si="51"/>
        <v>0</v>
      </c>
      <c r="AX239" s="3">
        <f t="shared" si="52"/>
        <v>0</v>
      </c>
      <c r="AY239" s="3">
        <f t="shared" si="53"/>
        <v>3</v>
      </c>
      <c r="AZ239" s="3">
        <f t="shared" si="54"/>
        <v>0</v>
      </c>
      <c r="BA239" s="3">
        <f t="shared" si="55"/>
        <v>0</v>
      </c>
      <c r="BB239" s="3">
        <f t="shared" si="56"/>
        <v>0</v>
      </c>
      <c r="BC239" s="3">
        <f t="shared" si="57"/>
        <v>0</v>
      </c>
      <c r="BD239" s="3">
        <f t="shared" si="58"/>
        <v>0</v>
      </c>
      <c r="BE239" s="3">
        <f t="shared" si="59"/>
        <v>0</v>
      </c>
      <c r="BF239" s="3">
        <f t="shared" si="60"/>
        <v>0</v>
      </c>
      <c r="BG239" s="3">
        <f t="shared" si="61"/>
        <v>0</v>
      </c>
      <c r="BH239" s="3">
        <f t="shared" si="62"/>
        <v>0</v>
      </c>
      <c r="BI239" s="3">
        <f t="shared" si="63"/>
        <v>5</v>
      </c>
    </row>
    <row r="240" spans="1:126" x14ac:dyDescent="0.25">
      <c r="A240" s="29">
        <v>237</v>
      </c>
      <c r="B240" s="3" t="s">
        <v>195</v>
      </c>
      <c r="C240" s="13" t="s">
        <v>157</v>
      </c>
      <c r="D240" s="13" t="s">
        <v>196</v>
      </c>
      <c r="E240" s="13" t="s">
        <v>197</v>
      </c>
      <c r="F240" s="18" t="s">
        <v>1552</v>
      </c>
      <c r="G240" s="18">
        <v>45860</v>
      </c>
      <c r="H240" s="18" t="s">
        <v>35</v>
      </c>
      <c r="I240" s="13" t="s">
        <v>23</v>
      </c>
      <c r="J240" s="13" t="s">
        <v>24</v>
      </c>
      <c r="K240" s="13" t="s">
        <v>43</v>
      </c>
      <c r="L240" s="13" t="s">
        <v>68</v>
      </c>
      <c r="M240" s="13" t="s">
        <v>1621</v>
      </c>
      <c r="N240" s="4" t="s">
        <v>198</v>
      </c>
      <c r="O240" s="4" t="s">
        <v>28</v>
      </c>
      <c r="P240" s="1" t="s">
        <v>29</v>
      </c>
      <c r="Q240" s="1" t="s">
        <v>5</v>
      </c>
      <c r="R240" s="1" t="s">
        <v>5</v>
      </c>
      <c r="S240" s="1" t="s">
        <v>5</v>
      </c>
      <c r="T240" s="1" t="s">
        <v>5</v>
      </c>
      <c r="U240" s="1" t="s">
        <v>5</v>
      </c>
      <c r="V240" s="1" t="s">
        <v>5</v>
      </c>
      <c r="W240" s="1" t="s">
        <v>5</v>
      </c>
      <c r="X240" s="1"/>
      <c r="Y240" s="1"/>
      <c r="Z240" s="1"/>
      <c r="AA240" s="1"/>
      <c r="AB240" s="1"/>
      <c r="AC240" s="1"/>
      <c r="AD240" s="1"/>
      <c r="AE240" s="1"/>
      <c r="AF240" s="1"/>
      <c r="AG240" s="3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3">
        <f t="shared" si="48"/>
        <v>0</v>
      </c>
      <c r="AU240" s="3">
        <f t="shared" si="49"/>
        <v>1</v>
      </c>
      <c r="AV240" s="3">
        <f t="shared" si="50"/>
        <v>0</v>
      </c>
      <c r="AW240" s="3">
        <f t="shared" si="51"/>
        <v>0</v>
      </c>
      <c r="AX240" s="3">
        <f t="shared" si="52"/>
        <v>0</v>
      </c>
      <c r="AY240" s="3">
        <f t="shared" si="53"/>
        <v>7</v>
      </c>
      <c r="AZ240" s="3">
        <f t="shared" si="54"/>
        <v>0</v>
      </c>
      <c r="BA240" s="3">
        <f t="shared" si="55"/>
        <v>0</v>
      </c>
      <c r="BB240" s="3">
        <f t="shared" si="56"/>
        <v>0</v>
      </c>
      <c r="BC240" s="3">
        <f t="shared" si="57"/>
        <v>0</v>
      </c>
      <c r="BD240" s="3">
        <f t="shared" si="58"/>
        <v>0</v>
      </c>
      <c r="BE240" s="3">
        <f t="shared" si="59"/>
        <v>0</v>
      </c>
      <c r="BF240" s="3">
        <f t="shared" si="60"/>
        <v>0</v>
      </c>
      <c r="BG240" s="3">
        <f t="shared" si="61"/>
        <v>0</v>
      </c>
      <c r="BH240" s="3">
        <f t="shared" si="62"/>
        <v>0</v>
      </c>
      <c r="BI240" s="3">
        <f t="shared" si="63"/>
        <v>8</v>
      </c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</row>
    <row r="241" spans="1:126" x14ac:dyDescent="0.25">
      <c r="A241" s="29">
        <v>238</v>
      </c>
      <c r="B241" s="3" t="s">
        <v>492</v>
      </c>
      <c r="C241" s="13" t="s">
        <v>493</v>
      </c>
      <c r="D241" s="13" t="s">
        <v>494</v>
      </c>
      <c r="E241" s="13" t="s">
        <v>495</v>
      </c>
      <c r="F241" s="18" t="s">
        <v>1521</v>
      </c>
      <c r="G241" s="18">
        <v>45891</v>
      </c>
      <c r="H241" s="18">
        <v>46081</v>
      </c>
      <c r="I241" s="13" t="s">
        <v>23</v>
      </c>
      <c r="J241" s="13" t="s">
        <v>24</v>
      </c>
      <c r="K241" s="13" t="s">
        <v>56</v>
      </c>
      <c r="L241" s="13" t="s">
        <v>68</v>
      </c>
      <c r="M241" s="13" t="s">
        <v>1621</v>
      </c>
      <c r="N241" s="4" t="s">
        <v>496</v>
      </c>
      <c r="O241" s="4" t="s">
        <v>28</v>
      </c>
      <c r="P241" s="1" t="s">
        <v>39</v>
      </c>
      <c r="Q241" s="1" t="s">
        <v>5</v>
      </c>
      <c r="R241" s="1" t="s">
        <v>5</v>
      </c>
      <c r="S241" s="1" t="s">
        <v>5</v>
      </c>
      <c r="T241" s="1" t="s">
        <v>5</v>
      </c>
      <c r="U241" s="1" t="s">
        <v>5</v>
      </c>
      <c r="V241" s="1" t="s">
        <v>5</v>
      </c>
      <c r="W241" s="1" t="s">
        <v>5</v>
      </c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3">
        <f t="shared" si="48"/>
        <v>1</v>
      </c>
      <c r="AU241" s="3">
        <f t="shared" si="49"/>
        <v>0</v>
      </c>
      <c r="AV241" s="3">
        <f t="shared" si="50"/>
        <v>0</v>
      </c>
      <c r="AW241" s="3">
        <f t="shared" si="51"/>
        <v>0</v>
      </c>
      <c r="AX241" s="3">
        <f t="shared" si="52"/>
        <v>0</v>
      </c>
      <c r="AY241" s="3">
        <f t="shared" si="53"/>
        <v>7</v>
      </c>
      <c r="AZ241" s="3">
        <f t="shared" si="54"/>
        <v>0</v>
      </c>
      <c r="BA241" s="3">
        <f t="shared" si="55"/>
        <v>0</v>
      </c>
      <c r="BB241" s="3">
        <f t="shared" si="56"/>
        <v>0</v>
      </c>
      <c r="BC241" s="3">
        <f t="shared" si="57"/>
        <v>0</v>
      </c>
      <c r="BD241" s="3">
        <f t="shared" si="58"/>
        <v>0</v>
      </c>
      <c r="BE241" s="3">
        <f t="shared" si="59"/>
        <v>0</v>
      </c>
      <c r="BF241" s="3">
        <f t="shared" si="60"/>
        <v>0</v>
      </c>
      <c r="BG241" s="3">
        <f t="shared" si="61"/>
        <v>0</v>
      </c>
      <c r="BH241" s="3">
        <f t="shared" si="62"/>
        <v>0</v>
      </c>
      <c r="BI241" s="3">
        <f t="shared" si="63"/>
        <v>8</v>
      </c>
    </row>
    <row r="242" spans="1:126" x14ac:dyDescent="0.25">
      <c r="A242" s="29">
        <v>241</v>
      </c>
      <c r="B242" s="3" t="s">
        <v>1027</v>
      </c>
      <c r="C242" s="13" t="s">
        <v>1028</v>
      </c>
      <c r="D242" s="13" t="s">
        <v>1029</v>
      </c>
      <c r="E242" s="13" t="s">
        <v>1030</v>
      </c>
      <c r="F242" s="22" t="s">
        <v>1031</v>
      </c>
      <c r="G242" s="25">
        <v>45891</v>
      </c>
      <c r="H242" s="25">
        <v>46081</v>
      </c>
      <c r="I242" s="22" t="s">
        <v>23</v>
      </c>
      <c r="J242" s="22" t="s">
        <v>24</v>
      </c>
      <c r="K242" s="13" t="s">
        <v>84</v>
      </c>
      <c r="L242" s="13" t="s">
        <v>220</v>
      </c>
      <c r="M242" s="13" t="s">
        <v>1621</v>
      </c>
      <c r="N242" s="4" t="s">
        <v>1032</v>
      </c>
      <c r="O242" s="4" t="s">
        <v>84</v>
      </c>
      <c r="P242" s="1" t="s">
        <v>39</v>
      </c>
      <c r="Q242" s="1" t="s">
        <v>39</v>
      </c>
      <c r="R242" s="1" t="s">
        <v>5</v>
      </c>
      <c r="S242" s="1" t="s">
        <v>5</v>
      </c>
      <c r="T242" s="1" t="s">
        <v>5</v>
      </c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3">
        <f t="shared" si="48"/>
        <v>2</v>
      </c>
      <c r="AU242" s="3">
        <f t="shared" si="49"/>
        <v>0</v>
      </c>
      <c r="AV242" s="3">
        <f t="shared" si="50"/>
        <v>0</v>
      </c>
      <c r="AW242" s="3">
        <f t="shared" si="51"/>
        <v>0</v>
      </c>
      <c r="AX242" s="3">
        <f t="shared" si="52"/>
        <v>0</v>
      </c>
      <c r="AY242" s="3">
        <f t="shared" si="53"/>
        <v>3</v>
      </c>
      <c r="AZ242" s="3">
        <f t="shared" si="54"/>
        <v>0</v>
      </c>
      <c r="BA242" s="3">
        <f t="shared" si="55"/>
        <v>0</v>
      </c>
      <c r="BB242" s="3">
        <f t="shared" si="56"/>
        <v>0</v>
      </c>
      <c r="BC242" s="3">
        <f t="shared" si="57"/>
        <v>0</v>
      </c>
      <c r="BD242" s="3">
        <f t="shared" si="58"/>
        <v>0</v>
      </c>
      <c r="BE242" s="3">
        <f t="shared" si="59"/>
        <v>0</v>
      </c>
      <c r="BF242" s="3">
        <f t="shared" si="60"/>
        <v>0</v>
      </c>
      <c r="BG242" s="3">
        <f t="shared" si="61"/>
        <v>0</v>
      </c>
      <c r="BH242" s="3">
        <f t="shared" si="62"/>
        <v>0</v>
      </c>
      <c r="BI242" s="3">
        <f t="shared" si="63"/>
        <v>5</v>
      </c>
    </row>
    <row r="243" spans="1:126" x14ac:dyDescent="0.25">
      <c r="A243" s="29">
        <v>239</v>
      </c>
      <c r="B243" s="3" t="s">
        <v>970</v>
      </c>
      <c r="C243" s="13" t="s">
        <v>419</v>
      </c>
      <c r="D243" s="13" t="s">
        <v>642</v>
      </c>
      <c r="E243" s="13" t="s">
        <v>971</v>
      </c>
      <c r="F243" s="18" t="s">
        <v>1529</v>
      </c>
      <c r="G243" s="18">
        <v>45891</v>
      </c>
      <c r="H243" s="18">
        <v>46081</v>
      </c>
      <c r="I243" s="13" t="s">
        <v>23</v>
      </c>
      <c r="J243" s="13" t="s">
        <v>24</v>
      </c>
      <c r="K243" s="13" t="s">
        <v>36</v>
      </c>
      <c r="L243" s="13" t="s">
        <v>37</v>
      </c>
      <c r="M243" s="13" t="s">
        <v>1621</v>
      </c>
      <c r="N243" s="4" t="s">
        <v>972</v>
      </c>
      <c r="O243" s="4" t="s">
        <v>28</v>
      </c>
      <c r="P243" s="1" t="s">
        <v>5</v>
      </c>
      <c r="Q243" s="1" t="s">
        <v>29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3">
        <f t="shared" si="48"/>
        <v>0</v>
      </c>
      <c r="AU243" s="3">
        <f t="shared" si="49"/>
        <v>1</v>
      </c>
      <c r="AV243" s="3">
        <f t="shared" si="50"/>
        <v>0</v>
      </c>
      <c r="AW243" s="3">
        <f t="shared" si="51"/>
        <v>0</v>
      </c>
      <c r="AX243" s="3">
        <f t="shared" si="52"/>
        <v>0</v>
      </c>
      <c r="AY243" s="3">
        <f t="shared" si="53"/>
        <v>1</v>
      </c>
      <c r="AZ243" s="3">
        <f t="shared" si="54"/>
        <v>0</v>
      </c>
      <c r="BA243" s="3">
        <f t="shared" si="55"/>
        <v>0</v>
      </c>
      <c r="BB243" s="3">
        <f t="shared" si="56"/>
        <v>0</v>
      </c>
      <c r="BC243" s="3">
        <f t="shared" si="57"/>
        <v>0</v>
      </c>
      <c r="BD243" s="3">
        <f t="shared" si="58"/>
        <v>0</v>
      </c>
      <c r="BE243" s="3">
        <f t="shared" si="59"/>
        <v>0</v>
      </c>
      <c r="BF243" s="3">
        <f t="shared" si="60"/>
        <v>0</v>
      </c>
      <c r="BG243" s="3">
        <f t="shared" si="61"/>
        <v>0</v>
      </c>
      <c r="BH243" s="3">
        <f t="shared" si="62"/>
        <v>0</v>
      </c>
      <c r="BI243" s="3">
        <f t="shared" si="63"/>
        <v>2</v>
      </c>
    </row>
    <row r="244" spans="1:126" x14ac:dyDescent="0.25">
      <c r="A244" s="29">
        <v>240</v>
      </c>
      <c r="B244" s="3" t="s">
        <v>685</v>
      </c>
      <c r="C244" s="13" t="s">
        <v>419</v>
      </c>
      <c r="D244" s="13" t="s">
        <v>686</v>
      </c>
      <c r="E244" s="13" t="s">
        <v>687</v>
      </c>
      <c r="F244" s="18" t="s">
        <v>73</v>
      </c>
      <c r="G244" s="18">
        <v>45891</v>
      </c>
      <c r="H244" s="18">
        <v>46081</v>
      </c>
      <c r="I244" s="13" t="s">
        <v>23</v>
      </c>
      <c r="J244" s="13" t="s">
        <v>24</v>
      </c>
      <c r="K244" s="13" t="s">
        <v>36</v>
      </c>
      <c r="L244" s="13" t="s">
        <v>37</v>
      </c>
      <c r="M244" s="13" t="s">
        <v>1621</v>
      </c>
      <c r="N244" s="4" t="s">
        <v>688</v>
      </c>
      <c r="O244" s="4" t="s">
        <v>28</v>
      </c>
      <c r="P244" s="1" t="s">
        <v>5</v>
      </c>
      <c r="Q244" s="1" t="s">
        <v>29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3">
        <f t="shared" si="48"/>
        <v>0</v>
      </c>
      <c r="AU244" s="3">
        <f t="shared" si="49"/>
        <v>1</v>
      </c>
      <c r="AV244" s="3">
        <f t="shared" si="50"/>
        <v>0</v>
      </c>
      <c r="AW244" s="3">
        <f t="shared" si="51"/>
        <v>0</v>
      </c>
      <c r="AX244" s="3">
        <f t="shared" si="52"/>
        <v>0</v>
      </c>
      <c r="AY244" s="3">
        <f t="shared" si="53"/>
        <v>1</v>
      </c>
      <c r="AZ244" s="3">
        <f t="shared" si="54"/>
        <v>0</v>
      </c>
      <c r="BA244" s="3">
        <f t="shared" si="55"/>
        <v>0</v>
      </c>
      <c r="BB244" s="3">
        <f t="shared" si="56"/>
        <v>0</v>
      </c>
      <c r="BC244" s="3">
        <f t="shared" si="57"/>
        <v>0</v>
      </c>
      <c r="BD244" s="3">
        <f t="shared" si="58"/>
        <v>0</v>
      </c>
      <c r="BE244" s="3">
        <f t="shared" si="59"/>
        <v>0</v>
      </c>
      <c r="BF244" s="3">
        <f t="shared" si="60"/>
        <v>0</v>
      </c>
      <c r="BG244" s="3">
        <f t="shared" si="61"/>
        <v>0</v>
      </c>
      <c r="BH244" s="3">
        <f t="shared" si="62"/>
        <v>0</v>
      </c>
      <c r="BI244" s="3">
        <f t="shared" si="63"/>
        <v>2</v>
      </c>
    </row>
    <row r="245" spans="1:126" x14ac:dyDescent="0.25">
      <c r="A245" s="29">
        <v>242</v>
      </c>
      <c r="B245" s="3" t="s">
        <v>774</v>
      </c>
      <c r="C245" s="13" t="s">
        <v>775</v>
      </c>
      <c r="D245" s="13" t="s">
        <v>776</v>
      </c>
      <c r="E245" s="13" t="s">
        <v>777</v>
      </c>
      <c r="F245" s="18" t="s">
        <v>67</v>
      </c>
      <c r="G245" s="18">
        <v>45896</v>
      </c>
      <c r="H245" s="18">
        <v>46081</v>
      </c>
      <c r="I245" s="13" t="s">
        <v>23</v>
      </c>
      <c r="J245" s="13" t="s">
        <v>24</v>
      </c>
      <c r="K245" s="13" t="s">
        <v>43</v>
      </c>
      <c r="L245" s="13" t="s">
        <v>44</v>
      </c>
      <c r="M245" s="13" t="s">
        <v>1621</v>
      </c>
      <c r="N245" s="4" t="s">
        <v>778</v>
      </c>
      <c r="O245" s="4" t="s">
        <v>28</v>
      </c>
      <c r="P245" s="1" t="s">
        <v>29</v>
      </c>
      <c r="Q245" s="1" t="s">
        <v>5</v>
      </c>
      <c r="R245" s="1" t="s">
        <v>5</v>
      </c>
      <c r="S245" s="1" t="s">
        <v>5</v>
      </c>
      <c r="T245" s="1" t="s">
        <v>5</v>
      </c>
      <c r="U245" s="1" t="s">
        <v>5</v>
      </c>
      <c r="V245" s="1" t="s">
        <v>5</v>
      </c>
      <c r="W245" s="1" t="s">
        <v>5</v>
      </c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3">
        <f t="shared" si="48"/>
        <v>0</v>
      </c>
      <c r="AU245" s="3">
        <f t="shared" si="49"/>
        <v>1</v>
      </c>
      <c r="AV245" s="3">
        <f t="shared" si="50"/>
        <v>0</v>
      </c>
      <c r="AW245" s="3">
        <f t="shared" si="51"/>
        <v>0</v>
      </c>
      <c r="AX245" s="3">
        <f t="shared" si="52"/>
        <v>0</v>
      </c>
      <c r="AY245" s="3">
        <f t="shared" si="53"/>
        <v>7</v>
      </c>
      <c r="AZ245" s="3">
        <f t="shared" si="54"/>
        <v>0</v>
      </c>
      <c r="BA245" s="3">
        <f t="shared" si="55"/>
        <v>0</v>
      </c>
      <c r="BB245" s="3">
        <f t="shared" si="56"/>
        <v>0</v>
      </c>
      <c r="BC245" s="3">
        <f t="shared" si="57"/>
        <v>0</v>
      </c>
      <c r="BD245" s="3">
        <f t="shared" si="58"/>
        <v>0</v>
      </c>
      <c r="BE245" s="3">
        <f t="shared" si="59"/>
        <v>0</v>
      </c>
      <c r="BF245" s="3">
        <f t="shared" si="60"/>
        <v>0</v>
      </c>
      <c r="BG245" s="3">
        <f t="shared" si="61"/>
        <v>0</v>
      </c>
      <c r="BH245" s="3">
        <f t="shared" si="62"/>
        <v>0</v>
      </c>
      <c r="BI245" s="3">
        <f t="shared" si="63"/>
        <v>8</v>
      </c>
    </row>
    <row r="246" spans="1:126" x14ac:dyDescent="0.25">
      <c r="A246" s="29">
        <v>243</v>
      </c>
      <c r="B246" s="3" t="s">
        <v>170</v>
      </c>
      <c r="C246" s="13" t="s">
        <v>171</v>
      </c>
      <c r="D246" s="13" t="s">
        <v>172</v>
      </c>
      <c r="E246" s="13" t="s">
        <v>173</v>
      </c>
      <c r="F246" s="18" t="s">
        <v>1522</v>
      </c>
      <c r="G246" s="18">
        <v>45896</v>
      </c>
      <c r="H246" s="18">
        <v>46081</v>
      </c>
      <c r="I246" s="13" t="s">
        <v>23</v>
      </c>
      <c r="J246" s="13" t="s">
        <v>24</v>
      </c>
      <c r="K246" s="13" t="s">
        <v>43</v>
      </c>
      <c r="L246" s="13" t="s">
        <v>57</v>
      </c>
      <c r="M246" s="13" t="s">
        <v>1621</v>
      </c>
      <c r="N246" s="4" t="s">
        <v>174</v>
      </c>
      <c r="O246" s="4" t="s">
        <v>28</v>
      </c>
      <c r="P246" s="1" t="s">
        <v>29</v>
      </c>
      <c r="Q246" s="1" t="s">
        <v>5</v>
      </c>
      <c r="R246" s="1" t="s">
        <v>5</v>
      </c>
      <c r="S246" s="1" t="s">
        <v>5</v>
      </c>
      <c r="T246" s="1" t="s">
        <v>5</v>
      </c>
      <c r="U246" s="1" t="s">
        <v>5</v>
      </c>
      <c r="V246" s="1" t="s">
        <v>5</v>
      </c>
      <c r="W246" s="1" t="s">
        <v>5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3">
        <f t="shared" si="48"/>
        <v>0</v>
      </c>
      <c r="AU246" s="3">
        <f t="shared" si="49"/>
        <v>1</v>
      </c>
      <c r="AV246" s="3">
        <f t="shared" si="50"/>
        <v>0</v>
      </c>
      <c r="AW246" s="3">
        <f t="shared" si="51"/>
        <v>0</v>
      </c>
      <c r="AX246" s="3">
        <f t="shared" si="52"/>
        <v>0</v>
      </c>
      <c r="AY246" s="3">
        <f t="shared" si="53"/>
        <v>7</v>
      </c>
      <c r="AZ246" s="3">
        <f t="shared" si="54"/>
        <v>0</v>
      </c>
      <c r="BA246" s="3">
        <f t="shared" si="55"/>
        <v>0</v>
      </c>
      <c r="BB246" s="3">
        <f t="shared" si="56"/>
        <v>0</v>
      </c>
      <c r="BC246" s="3">
        <f t="shared" si="57"/>
        <v>0</v>
      </c>
      <c r="BD246" s="3">
        <f t="shared" si="58"/>
        <v>0</v>
      </c>
      <c r="BE246" s="3">
        <f t="shared" si="59"/>
        <v>0</v>
      </c>
      <c r="BF246" s="3">
        <f t="shared" si="60"/>
        <v>0</v>
      </c>
      <c r="BG246" s="3">
        <f t="shared" si="61"/>
        <v>0</v>
      </c>
      <c r="BH246" s="3">
        <f t="shared" si="62"/>
        <v>0</v>
      </c>
      <c r="BI246" s="3">
        <f t="shared" si="63"/>
        <v>8</v>
      </c>
    </row>
    <row r="247" spans="1:126" x14ac:dyDescent="0.25">
      <c r="A247" s="29">
        <v>244</v>
      </c>
      <c r="B247" s="3" t="s">
        <v>1144</v>
      </c>
      <c r="C247" s="13" t="s">
        <v>449</v>
      </c>
      <c r="D247" s="13" t="s">
        <v>1145</v>
      </c>
      <c r="E247" s="13" t="s">
        <v>62</v>
      </c>
      <c r="F247" s="18" t="s">
        <v>335</v>
      </c>
      <c r="G247" s="18">
        <v>45910</v>
      </c>
      <c r="H247" s="18">
        <v>46081</v>
      </c>
      <c r="I247" s="13" t="s">
        <v>23</v>
      </c>
      <c r="J247" s="13" t="s">
        <v>24</v>
      </c>
      <c r="K247" s="13" t="s">
        <v>43</v>
      </c>
      <c r="L247" s="13" t="s">
        <v>44</v>
      </c>
      <c r="M247" s="13" t="s">
        <v>1621</v>
      </c>
      <c r="N247" s="4" t="s">
        <v>1146</v>
      </c>
      <c r="O247" s="4" t="s">
        <v>28</v>
      </c>
      <c r="P247" s="1" t="s">
        <v>29</v>
      </c>
      <c r="Q247" s="1" t="s">
        <v>5</v>
      </c>
      <c r="R247" s="1" t="s">
        <v>5</v>
      </c>
      <c r="S247" s="1" t="s">
        <v>5</v>
      </c>
      <c r="T247" s="1" t="s">
        <v>5</v>
      </c>
      <c r="U247" s="1" t="s">
        <v>5</v>
      </c>
      <c r="V247" s="1" t="s">
        <v>5</v>
      </c>
      <c r="W247" s="1" t="s">
        <v>5</v>
      </c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3">
        <f t="shared" si="48"/>
        <v>0</v>
      </c>
      <c r="AU247" s="3">
        <f t="shared" si="49"/>
        <v>1</v>
      </c>
      <c r="AV247" s="3">
        <f t="shared" si="50"/>
        <v>0</v>
      </c>
      <c r="AW247" s="3">
        <f t="shared" si="51"/>
        <v>0</v>
      </c>
      <c r="AX247" s="3">
        <f t="shared" si="52"/>
        <v>0</v>
      </c>
      <c r="AY247" s="3">
        <f t="shared" si="53"/>
        <v>7</v>
      </c>
      <c r="AZ247" s="3">
        <f t="shared" si="54"/>
        <v>0</v>
      </c>
      <c r="BA247" s="3">
        <f t="shared" si="55"/>
        <v>0</v>
      </c>
      <c r="BB247" s="3">
        <f t="shared" si="56"/>
        <v>0</v>
      </c>
      <c r="BC247" s="3">
        <f t="shared" si="57"/>
        <v>0</v>
      </c>
      <c r="BD247" s="3">
        <f t="shared" si="58"/>
        <v>0</v>
      </c>
      <c r="BE247" s="3">
        <f t="shared" si="59"/>
        <v>0</v>
      </c>
      <c r="BF247" s="3">
        <f t="shared" si="60"/>
        <v>0</v>
      </c>
      <c r="BG247" s="3">
        <f t="shared" si="61"/>
        <v>0</v>
      </c>
      <c r="BH247" s="3">
        <f t="shared" si="62"/>
        <v>0</v>
      </c>
      <c r="BI247" s="3">
        <f t="shared" si="63"/>
        <v>8</v>
      </c>
    </row>
    <row r="248" spans="1:126" x14ac:dyDescent="0.25">
      <c r="A248" s="29">
        <v>246</v>
      </c>
      <c r="B248" s="3" t="s">
        <v>957</v>
      </c>
      <c r="C248" s="13" t="s">
        <v>958</v>
      </c>
      <c r="D248" s="13" t="s">
        <v>780</v>
      </c>
      <c r="E248" s="13" t="s">
        <v>959</v>
      </c>
      <c r="F248" s="18" t="s">
        <v>1522</v>
      </c>
      <c r="G248" s="18">
        <v>45910</v>
      </c>
      <c r="H248" s="18">
        <v>46081</v>
      </c>
      <c r="I248" s="13" t="s">
        <v>23</v>
      </c>
      <c r="J248" s="13" t="s">
        <v>24</v>
      </c>
      <c r="K248" s="13" t="s">
        <v>43</v>
      </c>
      <c r="L248" s="13" t="s">
        <v>44</v>
      </c>
      <c r="M248" s="13" t="s">
        <v>1621</v>
      </c>
      <c r="N248" s="4" t="s">
        <v>960</v>
      </c>
      <c r="O248" s="4" t="s">
        <v>28</v>
      </c>
      <c r="P248" s="1" t="s">
        <v>29</v>
      </c>
      <c r="Q248" s="1" t="s">
        <v>5</v>
      </c>
      <c r="R248" s="1" t="s">
        <v>5</v>
      </c>
      <c r="S248" s="1" t="s">
        <v>5</v>
      </c>
      <c r="T248" s="1" t="s">
        <v>5</v>
      </c>
      <c r="U248" s="1" t="s">
        <v>5</v>
      </c>
      <c r="V248" s="1" t="s">
        <v>5</v>
      </c>
      <c r="W248" s="1" t="s">
        <v>5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3">
        <f t="shared" si="48"/>
        <v>0</v>
      </c>
      <c r="AU248" s="3">
        <f t="shared" si="49"/>
        <v>1</v>
      </c>
      <c r="AV248" s="3">
        <f t="shared" si="50"/>
        <v>0</v>
      </c>
      <c r="AW248" s="3">
        <f t="shared" si="51"/>
        <v>0</v>
      </c>
      <c r="AX248" s="3">
        <f t="shared" si="52"/>
        <v>0</v>
      </c>
      <c r="AY248" s="3">
        <f t="shared" si="53"/>
        <v>7</v>
      </c>
      <c r="AZ248" s="3">
        <f t="shared" si="54"/>
        <v>0</v>
      </c>
      <c r="BA248" s="3">
        <f t="shared" si="55"/>
        <v>0</v>
      </c>
      <c r="BB248" s="3">
        <f t="shared" si="56"/>
        <v>0</v>
      </c>
      <c r="BC248" s="3">
        <f t="shared" si="57"/>
        <v>0</v>
      </c>
      <c r="BD248" s="3">
        <f t="shared" si="58"/>
        <v>0</v>
      </c>
      <c r="BE248" s="3">
        <f t="shared" si="59"/>
        <v>0</v>
      </c>
      <c r="BF248" s="3">
        <f t="shared" si="60"/>
        <v>0</v>
      </c>
      <c r="BG248" s="3">
        <f t="shared" si="61"/>
        <v>0</v>
      </c>
      <c r="BH248" s="3">
        <f t="shared" si="62"/>
        <v>0</v>
      </c>
      <c r="BI248" s="3">
        <f t="shared" si="63"/>
        <v>8</v>
      </c>
    </row>
    <row r="249" spans="1:126" x14ac:dyDescent="0.25">
      <c r="A249" s="29">
        <v>245</v>
      </c>
      <c r="B249" s="3" t="s">
        <v>613</v>
      </c>
      <c r="C249" s="13" t="s">
        <v>614</v>
      </c>
      <c r="D249" s="13" t="s">
        <v>218</v>
      </c>
      <c r="E249" s="13" t="s">
        <v>615</v>
      </c>
      <c r="F249" s="18" t="s">
        <v>1522</v>
      </c>
      <c r="G249" s="18">
        <v>45910</v>
      </c>
      <c r="H249" s="18">
        <v>46081</v>
      </c>
      <c r="I249" s="13" t="s">
        <v>23</v>
      </c>
      <c r="J249" s="13" t="s">
        <v>24</v>
      </c>
      <c r="K249" s="13" t="s">
        <v>56</v>
      </c>
      <c r="L249" s="13" t="s">
        <v>44</v>
      </c>
      <c r="M249" s="13" t="s">
        <v>1621</v>
      </c>
      <c r="N249" s="4" t="s">
        <v>616</v>
      </c>
      <c r="O249" s="4" t="s">
        <v>28</v>
      </c>
      <c r="P249" s="1" t="s">
        <v>39</v>
      </c>
      <c r="Q249" s="1" t="s">
        <v>5</v>
      </c>
      <c r="R249" s="1" t="s">
        <v>5</v>
      </c>
      <c r="S249" s="1" t="s">
        <v>5</v>
      </c>
      <c r="T249" s="1" t="s">
        <v>5</v>
      </c>
      <c r="U249" s="1" t="s">
        <v>5</v>
      </c>
      <c r="V249" s="1" t="s">
        <v>5</v>
      </c>
      <c r="W249" s="1" t="s">
        <v>5</v>
      </c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3">
        <f t="shared" si="48"/>
        <v>1</v>
      </c>
      <c r="AU249" s="3">
        <f t="shared" si="49"/>
        <v>0</v>
      </c>
      <c r="AV249" s="3">
        <f t="shared" si="50"/>
        <v>0</v>
      </c>
      <c r="AW249" s="3">
        <f t="shared" si="51"/>
        <v>0</v>
      </c>
      <c r="AX249" s="3">
        <f t="shared" si="52"/>
        <v>0</v>
      </c>
      <c r="AY249" s="3">
        <f t="shared" si="53"/>
        <v>7</v>
      </c>
      <c r="AZ249" s="3">
        <f t="shared" si="54"/>
        <v>0</v>
      </c>
      <c r="BA249" s="3">
        <f t="shared" si="55"/>
        <v>0</v>
      </c>
      <c r="BB249" s="3">
        <f t="shared" si="56"/>
        <v>0</v>
      </c>
      <c r="BC249" s="3">
        <f t="shared" si="57"/>
        <v>0</v>
      </c>
      <c r="BD249" s="3">
        <f t="shared" si="58"/>
        <v>0</v>
      </c>
      <c r="BE249" s="3">
        <f t="shared" si="59"/>
        <v>0</v>
      </c>
      <c r="BF249" s="3">
        <f t="shared" si="60"/>
        <v>0</v>
      </c>
      <c r="BG249" s="3">
        <f t="shared" si="61"/>
        <v>0</v>
      </c>
      <c r="BH249" s="3">
        <f t="shared" si="62"/>
        <v>0</v>
      </c>
      <c r="BI249" s="3">
        <f t="shared" si="63"/>
        <v>8</v>
      </c>
    </row>
    <row r="250" spans="1:126" x14ac:dyDescent="0.25">
      <c r="A250" s="29">
        <v>247</v>
      </c>
      <c r="B250" s="3" t="s">
        <v>538</v>
      </c>
      <c r="C250" s="13" t="s">
        <v>525</v>
      </c>
      <c r="D250" s="13" t="s">
        <v>539</v>
      </c>
      <c r="E250" s="13" t="s">
        <v>540</v>
      </c>
      <c r="F250" s="18" t="s">
        <v>55</v>
      </c>
      <c r="G250" s="18">
        <v>45910</v>
      </c>
      <c r="H250" s="18">
        <v>46081</v>
      </c>
      <c r="I250" s="13" t="s">
        <v>23</v>
      </c>
      <c r="J250" s="13" t="s">
        <v>24</v>
      </c>
      <c r="K250" s="13" t="s">
        <v>43</v>
      </c>
      <c r="L250" s="13" t="s">
        <v>57</v>
      </c>
      <c r="M250" s="13" t="s">
        <v>1</v>
      </c>
      <c r="N250" s="4" t="s">
        <v>541</v>
      </c>
      <c r="O250" s="4" t="s">
        <v>28</v>
      </c>
      <c r="P250" s="1" t="s">
        <v>29</v>
      </c>
      <c r="Q250" s="1" t="s">
        <v>5</v>
      </c>
      <c r="R250" s="1" t="s">
        <v>5</v>
      </c>
      <c r="S250" s="1" t="s">
        <v>5</v>
      </c>
      <c r="T250" s="1" t="s">
        <v>5</v>
      </c>
      <c r="U250" s="1" t="s">
        <v>5</v>
      </c>
      <c r="V250" s="1" t="s">
        <v>5</v>
      </c>
      <c r="W250" s="1" t="s">
        <v>5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3">
        <f t="shared" si="48"/>
        <v>0</v>
      </c>
      <c r="AU250" s="3">
        <f t="shared" si="49"/>
        <v>1</v>
      </c>
      <c r="AV250" s="3">
        <f t="shared" si="50"/>
        <v>0</v>
      </c>
      <c r="AW250" s="3">
        <f t="shared" si="51"/>
        <v>0</v>
      </c>
      <c r="AX250" s="3">
        <f t="shared" si="52"/>
        <v>0</v>
      </c>
      <c r="AY250" s="3">
        <f t="shared" si="53"/>
        <v>7</v>
      </c>
      <c r="AZ250" s="3">
        <f t="shared" si="54"/>
        <v>0</v>
      </c>
      <c r="BA250" s="3">
        <f t="shared" si="55"/>
        <v>0</v>
      </c>
      <c r="BB250" s="3">
        <f t="shared" si="56"/>
        <v>0</v>
      </c>
      <c r="BC250" s="3">
        <f t="shared" si="57"/>
        <v>0</v>
      </c>
      <c r="BD250" s="3">
        <f t="shared" si="58"/>
        <v>0</v>
      </c>
      <c r="BE250" s="3">
        <f t="shared" si="59"/>
        <v>0</v>
      </c>
      <c r="BF250" s="3">
        <f t="shared" si="60"/>
        <v>0</v>
      </c>
      <c r="BG250" s="3">
        <f t="shared" si="61"/>
        <v>0</v>
      </c>
      <c r="BH250" s="3">
        <f t="shared" si="62"/>
        <v>0</v>
      </c>
      <c r="BI250" s="3">
        <f t="shared" si="63"/>
        <v>8</v>
      </c>
    </row>
    <row r="251" spans="1:126" x14ac:dyDescent="0.25">
      <c r="A251" s="29">
        <v>248</v>
      </c>
      <c r="B251" s="3" t="s">
        <v>185</v>
      </c>
      <c r="C251" s="13" t="s">
        <v>186</v>
      </c>
      <c r="D251" s="13" t="s">
        <v>186</v>
      </c>
      <c r="E251" s="13" t="s">
        <v>187</v>
      </c>
      <c r="F251" s="22" t="s">
        <v>1526</v>
      </c>
      <c r="G251" s="25">
        <v>45911</v>
      </c>
      <c r="H251" s="25">
        <v>46081</v>
      </c>
      <c r="I251" s="22" t="s">
        <v>23</v>
      </c>
      <c r="J251" s="22" t="s">
        <v>24</v>
      </c>
      <c r="K251" s="13" t="s">
        <v>377</v>
      </c>
      <c r="L251" s="13" t="s">
        <v>1459</v>
      </c>
      <c r="M251" s="13" t="s">
        <v>1621</v>
      </c>
      <c r="N251" s="4" t="s">
        <v>189</v>
      </c>
      <c r="O251" s="4" t="s">
        <v>28</v>
      </c>
      <c r="P251" s="1" t="s">
        <v>39</v>
      </c>
      <c r="Q251" s="1" t="s">
        <v>5</v>
      </c>
      <c r="R251" s="1" t="s">
        <v>5</v>
      </c>
      <c r="S251" s="1" t="s">
        <v>5</v>
      </c>
      <c r="T251" s="1" t="s">
        <v>5</v>
      </c>
      <c r="U251" s="1" t="s">
        <v>5</v>
      </c>
      <c r="V251" s="1" t="s">
        <v>5</v>
      </c>
      <c r="W251" s="1" t="s">
        <v>5</v>
      </c>
      <c r="X251" s="14"/>
      <c r="Y251" s="1"/>
      <c r="Z251" s="1"/>
      <c r="AA251" s="1"/>
      <c r="AB251" s="14"/>
      <c r="AC251" s="1"/>
      <c r="AD251" s="1"/>
      <c r="AE251" s="14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3">
        <f t="shared" si="48"/>
        <v>1</v>
      </c>
      <c r="AU251" s="3">
        <f t="shared" si="49"/>
        <v>0</v>
      </c>
      <c r="AV251" s="3">
        <f t="shared" si="50"/>
        <v>0</v>
      </c>
      <c r="AW251" s="3">
        <f t="shared" si="51"/>
        <v>0</v>
      </c>
      <c r="AX251" s="3">
        <f t="shared" si="52"/>
        <v>0</v>
      </c>
      <c r="AY251" s="3">
        <f t="shared" si="53"/>
        <v>7</v>
      </c>
      <c r="AZ251" s="3">
        <f t="shared" si="54"/>
        <v>0</v>
      </c>
      <c r="BA251" s="3">
        <f t="shared" si="55"/>
        <v>0</v>
      </c>
      <c r="BB251" s="3">
        <f t="shared" si="56"/>
        <v>0</v>
      </c>
      <c r="BC251" s="3">
        <f t="shared" si="57"/>
        <v>0</v>
      </c>
      <c r="BD251" s="3">
        <f t="shared" si="58"/>
        <v>0</v>
      </c>
      <c r="BE251" s="3">
        <f t="shared" si="59"/>
        <v>0</v>
      </c>
      <c r="BF251" s="3">
        <f t="shared" si="60"/>
        <v>0</v>
      </c>
      <c r="BG251" s="3">
        <f t="shared" si="61"/>
        <v>0</v>
      </c>
      <c r="BH251" s="3">
        <f t="shared" si="62"/>
        <v>0</v>
      </c>
      <c r="BI251" s="3">
        <f t="shared" si="63"/>
        <v>8</v>
      </c>
    </row>
    <row r="252" spans="1:126" s="17" customFormat="1" x14ac:dyDescent="0.25">
      <c r="A252" s="29">
        <v>250</v>
      </c>
      <c r="B252" s="3" t="s">
        <v>1137</v>
      </c>
      <c r="C252" s="13" t="s">
        <v>1138</v>
      </c>
      <c r="D252" s="13" t="s">
        <v>775</v>
      </c>
      <c r="E252" s="13" t="s">
        <v>1139</v>
      </c>
      <c r="F252" s="18" t="s">
        <v>55</v>
      </c>
      <c r="G252" s="18">
        <v>45923</v>
      </c>
      <c r="H252" s="18" t="s">
        <v>35</v>
      </c>
      <c r="I252" s="13" t="s">
        <v>23</v>
      </c>
      <c r="J252" s="13" t="s">
        <v>24</v>
      </c>
      <c r="K252" s="13" t="s">
        <v>36</v>
      </c>
      <c r="L252" s="13" t="s">
        <v>292</v>
      </c>
      <c r="M252" s="13" t="s">
        <v>1621</v>
      </c>
      <c r="N252" s="4" t="s">
        <v>1140</v>
      </c>
      <c r="O252" s="4" t="s">
        <v>28</v>
      </c>
      <c r="P252" s="1" t="s">
        <v>5</v>
      </c>
      <c r="Q252" s="1" t="s">
        <v>29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3">
        <f t="shared" si="48"/>
        <v>0</v>
      </c>
      <c r="AU252" s="3">
        <f t="shared" si="49"/>
        <v>1</v>
      </c>
      <c r="AV252" s="3">
        <f t="shared" si="50"/>
        <v>0</v>
      </c>
      <c r="AW252" s="3">
        <f t="shared" si="51"/>
        <v>0</v>
      </c>
      <c r="AX252" s="3">
        <f t="shared" si="52"/>
        <v>0</v>
      </c>
      <c r="AY252" s="3">
        <f t="shared" si="53"/>
        <v>1</v>
      </c>
      <c r="AZ252" s="3">
        <f t="shared" si="54"/>
        <v>0</v>
      </c>
      <c r="BA252" s="3">
        <f t="shared" si="55"/>
        <v>0</v>
      </c>
      <c r="BB252" s="3">
        <f t="shared" si="56"/>
        <v>0</v>
      </c>
      <c r="BC252" s="3">
        <f t="shared" si="57"/>
        <v>0</v>
      </c>
      <c r="BD252" s="3">
        <f t="shared" si="58"/>
        <v>0</v>
      </c>
      <c r="BE252" s="3">
        <f t="shared" si="59"/>
        <v>0</v>
      </c>
      <c r="BF252" s="3">
        <f t="shared" si="60"/>
        <v>0</v>
      </c>
      <c r="BG252" s="3">
        <f t="shared" si="61"/>
        <v>0</v>
      </c>
      <c r="BH252" s="3">
        <f t="shared" si="62"/>
        <v>0</v>
      </c>
      <c r="BI252" s="3">
        <f t="shared" si="63"/>
        <v>2</v>
      </c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</row>
    <row r="253" spans="1:126" x14ac:dyDescent="0.25">
      <c r="A253" s="29">
        <v>251</v>
      </c>
      <c r="B253" s="3" t="s">
        <v>322</v>
      </c>
      <c r="C253" s="13" t="s">
        <v>323</v>
      </c>
      <c r="D253" s="13" t="s">
        <v>324</v>
      </c>
      <c r="E253" s="13" t="s">
        <v>278</v>
      </c>
      <c r="F253" s="18" t="s">
        <v>1529</v>
      </c>
      <c r="G253" s="18">
        <v>45923</v>
      </c>
      <c r="H253" s="18" t="s">
        <v>35</v>
      </c>
      <c r="I253" s="13" t="s">
        <v>23</v>
      </c>
      <c r="J253" s="13" t="s">
        <v>24</v>
      </c>
      <c r="K253" s="13" t="s">
        <v>36</v>
      </c>
      <c r="L253" s="13" t="s">
        <v>292</v>
      </c>
      <c r="M253" s="13" t="s">
        <v>1621</v>
      </c>
      <c r="N253" s="4" t="s">
        <v>325</v>
      </c>
      <c r="O253" s="4" t="s">
        <v>28</v>
      </c>
      <c r="P253" s="1" t="s">
        <v>5</v>
      </c>
      <c r="Q253" s="1" t="s">
        <v>29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3">
        <f t="shared" si="48"/>
        <v>0</v>
      </c>
      <c r="AU253" s="3">
        <f t="shared" si="49"/>
        <v>1</v>
      </c>
      <c r="AV253" s="3">
        <f t="shared" si="50"/>
        <v>0</v>
      </c>
      <c r="AW253" s="3">
        <f t="shared" si="51"/>
        <v>0</v>
      </c>
      <c r="AX253" s="3">
        <f t="shared" si="52"/>
        <v>0</v>
      </c>
      <c r="AY253" s="3">
        <f t="shared" si="53"/>
        <v>1</v>
      </c>
      <c r="AZ253" s="3">
        <f t="shared" si="54"/>
        <v>0</v>
      </c>
      <c r="BA253" s="3">
        <f t="shared" si="55"/>
        <v>0</v>
      </c>
      <c r="BB253" s="3">
        <f t="shared" si="56"/>
        <v>0</v>
      </c>
      <c r="BC253" s="3">
        <f t="shared" si="57"/>
        <v>0</v>
      </c>
      <c r="BD253" s="3">
        <f t="shared" si="58"/>
        <v>0</v>
      </c>
      <c r="BE253" s="3">
        <f t="shared" si="59"/>
        <v>0</v>
      </c>
      <c r="BF253" s="3">
        <f t="shared" si="60"/>
        <v>0</v>
      </c>
      <c r="BG253" s="3">
        <f t="shared" si="61"/>
        <v>0</v>
      </c>
      <c r="BH253" s="3">
        <f t="shared" si="62"/>
        <v>0</v>
      </c>
      <c r="BI253" s="3">
        <f t="shared" si="63"/>
        <v>2</v>
      </c>
    </row>
    <row r="254" spans="1:126" x14ac:dyDescent="0.25">
      <c r="A254" s="29">
        <v>249</v>
      </c>
      <c r="B254" s="3" t="s">
        <v>709</v>
      </c>
      <c r="C254" s="13" t="s">
        <v>493</v>
      </c>
      <c r="D254" s="13" t="s">
        <v>710</v>
      </c>
      <c r="E254" s="13" t="s">
        <v>659</v>
      </c>
      <c r="F254" s="18" t="s">
        <v>34</v>
      </c>
      <c r="G254" s="18">
        <v>45923</v>
      </c>
      <c r="H254" s="18" t="s">
        <v>35</v>
      </c>
      <c r="I254" s="13" t="s">
        <v>23</v>
      </c>
      <c r="J254" s="13" t="s">
        <v>24</v>
      </c>
      <c r="K254" s="13" t="s">
        <v>25</v>
      </c>
      <c r="L254" s="13" t="s">
        <v>292</v>
      </c>
      <c r="M254" s="13" t="s">
        <v>1621</v>
      </c>
      <c r="N254" s="4" t="s">
        <v>711</v>
      </c>
      <c r="O254" s="4" t="s">
        <v>28</v>
      </c>
      <c r="P254" s="1" t="s">
        <v>5</v>
      </c>
      <c r="Q254" s="1" t="s">
        <v>39</v>
      </c>
      <c r="R254" s="1" t="s">
        <v>39</v>
      </c>
      <c r="S254" s="1"/>
      <c r="T254" s="1"/>
      <c r="U254" s="1"/>
      <c r="V254" s="1"/>
      <c r="W254" s="1"/>
      <c r="X254" s="1"/>
      <c r="Y254" s="1"/>
      <c r="Z254" s="1"/>
      <c r="AA254" s="1"/>
      <c r="AB254" s="14"/>
      <c r="AC254" s="14"/>
      <c r="AD254" s="1"/>
      <c r="AE254" s="3"/>
      <c r="AF254" s="3"/>
      <c r="AG254" s="3"/>
      <c r="AH254" s="3"/>
      <c r="AI254" s="3"/>
      <c r="AJ254" s="3"/>
      <c r="AK254" s="3"/>
      <c r="AL254" s="3"/>
      <c r="AM254" s="3"/>
      <c r="AN254" s="1"/>
      <c r="AO254" s="1"/>
      <c r="AP254" s="1"/>
      <c r="AQ254" s="1"/>
      <c r="AR254" s="1"/>
      <c r="AS254" s="1"/>
      <c r="AT254" s="3">
        <f t="shared" si="48"/>
        <v>2</v>
      </c>
      <c r="AU254" s="3">
        <f t="shared" si="49"/>
        <v>0</v>
      </c>
      <c r="AV254" s="3">
        <f t="shared" si="50"/>
        <v>0</v>
      </c>
      <c r="AW254" s="3">
        <f t="shared" si="51"/>
        <v>0</v>
      </c>
      <c r="AX254" s="3">
        <f t="shared" si="52"/>
        <v>0</v>
      </c>
      <c r="AY254" s="3">
        <f t="shared" si="53"/>
        <v>1</v>
      </c>
      <c r="AZ254" s="3">
        <f t="shared" si="54"/>
        <v>0</v>
      </c>
      <c r="BA254" s="3">
        <f t="shared" si="55"/>
        <v>0</v>
      </c>
      <c r="BB254" s="3">
        <f t="shared" si="56"/>
        <v>0</v>
      </c>
      <c r="BC254" s="3">
        <f t="shared" si="57"/>
        <v>0</v>
      </c>
      <c r="BD254" s="3">
        <f t="shared" si="58"/>
        <v>0</v>
      </c>
      <c r="BE254" s="3">
        <f t="shared" si="59"/>
        <v>0</v>
      </c>
      <c r="BF254" s="3">
        <f t="shared" si="60"/>
        <v>0</v>
      </c>
      <c r="BG254" s="3">
        <f t="shared" si="61"/>
        <v>0</v>
      </c>
      <c r="BH254" s="3">
        <f t="shared" si="62"/>
        <v>0</v>
      </c>
      <c r="BI254" s="3">
        <f t="shared" si="63"/>
        <v>3</v>
      </c>
    </row>
    <row r="255" spans="1:126" x14ac:dyDescent="0.25">
      <c r="A255" s="29">
        <v>252</v>
      </c>
      <c r="B255" s="3" t="s">
        <v>267</v>
      </c>
      <c r="C255" s="13" t="s">
        <v>268</v>
      </c>
      <c r="D255" s="13" t="s">
        <v>269</v>
      </c>
      <c r="E255" s="13" t="s">
        <v>219</v>
      </c>
      <c r="F255" s="18" t="s">
        <v>1552</v>
      </c>
      <c r="G255" s="18">
        <v>45923</v>
      </c>
      <c r="H255" s="18" t="s">
        <v>35</v>
      </c>
      <c r="I255" s="13" t="s">
        <v>23</v>
      </c>
      <c r="J255" s="13" t="s">
        <v>24</v>
      </c>
      <c r="K255" s="13" t="s">
        <v>56</v>
      </c>
      <c r="L255" s="13" t="s">
        <v>68</v>
      </c>
      <c r="M255" s="13" t="s">
        <v>1621</v>
      </c>
      <c r="N255" s="4" t="s">
        <v>270</v>
      </c>
      <c r="O255" s="4" t="s">
        <v>28</v>
      </c>
      <c r="P255" s="1" t="s">
        <v>39</v>
      </c>
      <c r="Q255" s="3" t="s">
        <v>5</v>
      </c>
      <c r="R255" s="3" t="s">
        <v>5</v>
      </c>
      <c r="S255" s="3" t="s">
        <v>5</v>
      </c>
      <c r="T255" s="3" t="s">
        <v>5</v>
      </c>
      <c r="U255" s="3" t="s">
        <v>5</v>
      </c>
      <c r="V255" s="3" t="s">
        <v>5</v>
      </c>
      <c r="W255" s="3" t="s">
        <v>5</v>
      </c>
      <c r="X255" s="1"/>
      <c r="Y255" s="1"/>
      <c r="Z255" s="1"/>
      <c r="AA255" s="1"/>
      <c r="AB255" s="3"/>
      <c r="AC255" s="3"/>
      <c r="AD255" s="3"/>
      <c r="AE255" s="3"/>
      <c r="AF255" s="3"/>
      <c r="AG255" s="3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3">
        <f t="shared" si="48"/>
        <v>1</v>
      </c>
      <c r="AU255" s="3">
        <f t="shared" si="49"/>
        <v>0</v>
      </c>
      <c r="AV255" s="3">
        <f t="shared" si="50"/>
        <v>0</v>
      </c>
      <c r="AW255" s="3">
        <f t="shared" si="51"/>
        <v>0</v>
      </c>
      <c r="AX255" s="3">
        <f t="shared" si="52"/>
        <v>0</v>
      </c>
      <c r="AY255" s="3">
        <f t="shared" si="53"/>
        <v>7</v>
      </c>
      <c r="AZ255" s="3">
        <f t="shared" si="54"/>
        <v>0</v>
      </c>
      <c r="BA255" s="3">
        <f t="shared" si="55"/>
        <v>0</v>
      </c>
      <c r="BB255" s="3">
        <f t="shared" si="56"/>
        <v>0</v>
      </c>
      <c r="BC255" s="3">
        <f t="shared" si="57"/>
        <v>0</v>
      </c>
      <c r="BD255" s="3">
        <f t="shared" si="58"/>
        <v>0</v>
      </c>
      <c r="BE255" s="3">
        <f t="shared" si="59"/>
        <v>0</v>
      </c>
      <c r="BF255" s="3">
        <f t="shared" si="60"/>
        <v>0</v>
      </c>
      <c r="BG255" s="3">
        <f t="shared" si="61"/>
        <v>0</v>
      </c>
      <c r="BH255" s="3">
        <f t="shared" si="62"/>
        <v>0</v>
      </c>
      <c r="BI255" s="3">
        <f t="shared" si="63"/>
        <v>8</v>
      </c>
    </row>
    <row r="256" spans="1:126" x14ac:dyDescent="0.25">
      <c r="A256" s="29">
        <v>253</v>
      </c>
      <c r="B256" s="3" t="s">
        <v>418</v>
      </c>
      <c r="C256" s="13" t="s">
        <v>419</v>
      </c>
      <c r="D256" s="13" t="s">
        <v>420</v>
      </c>
      <c r="E256" s="13" t="s">
        <v>62</v>
      </c>
      <c r="F256" s="18" t="s">
        <v>1522</v>
      </c>
      <c r="G256" s="18">
        <v>45923</v>
      </c>
      <c r="H256" s="18" t="s">
        <v>35</v>
      </c>
      <c r="I256" s="13" t="s">
        <v>23</v>
      </c>
      <c r="J256" s="13" t="s">
        <v>24</v>
      </c>
      <c r="K256" s="13" t="s">
        <v>36</v>
      </c>
      <c r="L256" s="13" t="s">
        <v>292</v>
      </c>
      <c r="M256" s="13" t="s">
        <v>1621</v>
      </c>
      <c r="N256" s="4" t="s">
        <v>421</v>
      </c>
      <c r="O256" s="4" t="s">
        <v>28</v>
      </c>
      <c r="P256" s="1" t="s">
        <v>5</v>
      </c>
      <c r="Q256" s="1" t="s">
        <v>29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3">
        <f t="shared" si="48"/>
        <v>0</v>
      </c>
      <c r="AU256" s="3">
        <f t="shared" si="49"/>
        <v>1</v>
      </c>
      <c r="AV256" s="3">
        <f t="shared" si="50"/>
        <v>0</v>
      </c>
      <c r="AW256" s="3">
        <f t="shared" si="51"/>
        <v>0</v>
      </c>
      <c r="AX256" s="3">
        <f t="shared" si="52"/>
        <v>0</v>
      </c>
      <c r="AY256" s="3">
        <f t="shared" si="53"/>
        <v>1</v>
      </c>
      <c r="AZ256" s="3">
        <f t="shared" si="54"/>
        <v>0</v>
      </c>
      <c r="BA256" s="3">
        <f t="shared" si="55"/>
        <v>0</v>
      </c>
      <c r="BB256" s="3">
        <f t="shared" si="56"/>
        <v>0</v>
      </c>
      <c r="BC256" s="3">
        <f t="shared" si="57"/>
        <v>0</v>
      </c>
      <c r="BD256" s="3">
        <f t="shared" si="58"/>
        <v>0</v>
      </c>
      <c r="BE256" s="3">
        <f t="shared" si="59"/>
        <v>0</v>
      </c>
      <c r="BF256" s="3">
        <f t="shared" si="60"/>
        <v>0</v>
      </c>
      <c r="BG256" s="3">
        <f t="shared" si="61"/>
        <v>0</v>
      </c>
      <c r="BH256" s="3">
        <f t="shared" si="62"/>
        <v>0</v>
      </c>
      <c r="BI256" s="3">
        <f t="shared" si="63"/>
        <v>2</v>
      </c>
    </row>
    <row r="257" spans="1:126" s="17" customFormat="1" x14ac:dyDescent="0.25">
      <c r="A257" s="29">
        <v>254</v>
      </c>
      <c r="B257" s="3" t="s">
        <v>767</v>
      </c>
      <c r="C257" s="13" t="s">
        <v>768</v>
      </c>
      <c r="D257" s="13" t="s">
        <v>249</v>
      </c>
      <c r="E257" s="13" t="s">
        <v>769</v>
      </c>
      <c r="F257" s="18" t="s">
        <v>371</v>
      </c>
      <c r="G257" s="18">
        <v>45926</v>
      </c>
      <c r="H257" s="18" t="s">
        <v>35</v>
      </c>
      <c r="I257" s="13" t="s">
        <v>23</v>
      </c>
      <c r="J257" s="13" t="s">
        <v>24</v>
      </c>
      <c r="K257" s="13" t="s">
        <v>36</v>
      </c>
      <c r="L257" s="13" t="s">
        <v>446</v>
      </c>
      <c r="M257" s="13" t="s">
        <v>1621</v>
      </c>
      <c r="N257" s="4">
        <v>942102234</v>
      </c>
      <c r="O257" s="4" t="s">
        <v>28</v>
      </c>
      <c r="P257" s="1" t="s">
        <v>5</v>
      </c>
      <c r="Q257" s="1" t="s">
        <v>29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3">
        <f t="shared" si="48"/>
        <v>0</v>
      </c>
      <c r="AU257" s="3">
        <f t="shared" si="49"/>
        <v>1</v>
      </c>
      <c r="AV257" s="3">
        <f t="shared" si="50"/>
        <v>0</v>
      </c>
      <c r="AW257" s="3">
        <f t="shared" si="51"/>
        <v>0</v>
      </c>
      <c r="AX257" s="3">
        <f t="shared" si="52"/>
        <v>0</v>
      </c>
      <c r="AY257" s="3">
        <f t="shared" si="53"/>
        <v>1</v>
      </c>
      <c r="AZ257" s="3">
        <f t="shared" si="54"/>
        <v>0</v>
      </c>
      <c r="BA257" s="3">
        <f t="shared" si="55"/>
        <v>0</v>
      </c>
      <c r="BB257" s="3">
        <f t="shared" si="56"/>
        <v>0</v>
      </c>
      <c r="BC257" s="3">
        <f t="shared" si="57"/>
        <v>0</v>
      </c>
      <c r="BD257" s="3">
        <f t="shared" si="58"/>
        <v>0</v>
      </c>
      <c r="BE257" s="3">
        <f t="shared" si="59"/>
        <v>0</v>
      </c>
      <c r="BF257" s="3">
        <f t="shared" si="60"/>
        <v>0</v>
      </c>
      <c r="BG257" s="3">
        <f t="shared" si="61"/>
        <v>0</v>
      </c>
      <c r="BH257" s="3">
        <f t="shared" si="62"/>
        <v>0</v>
      </c>
      <c r="BI257" s="3">
        <f t="shared" si="63"/>
        <v>2</v>
      </c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</row>
    <row r="258" spans="1:126" x14ac:dyDescent="0.25">
      <c r="A258" s="29">
        <v>256</v>
      </c>
      <c r="B258" s="3" t="s">
        <v>425</v>
      </c>
      <c r="C258" s="13" t="s">
        <v>426</v>
      </c>
      <c r="D258" s="13" t="s">
        <v>427</v>
      </c>
      <c r="E258" s="13" t="s">
        <v>428</v>
      </c>
      <c r="F258" s="22" t="s">
        <v>1538</v>
      </c>
      <c r="G258" s="25">
        <v>45933</v>
      </c>
      <c r="H258" s="25" t="s">
        <v>35</v>
      </c>
      <c r="I258" s="22" t="s">
        <v>23</v>
      </c>
      <c r="J258" s="22" t="s">
        <v>24</v>
      </c>
      <c r="K258" s="13" t="s">
        <v>84</v>
      </c>
      <c r="L258" s="13" t="s">
        <v>68</v>
      </c>
      <c r="M258" s="13" t="s">
        <v>1621</v>
      </c>
      <c r="N258" s="4" t="s">
        <v>429</v>
      </c>
      <c r="O258" s="4" t="s">
        <v>221</v>
      </c>
      <c r="P258" s="1" t="s">
        <v>39</v>
      </c>
      <c r="Q258" s="1" t="s">
        <v>39</v>
      </c>
      <c r="R258" s="1" t="s">
        <v>5</v>
      </c>
      <c r="S258" s="1" t="s">
        <v>5</v>
      </c>
      <c r="T258" s="1" t="s">
        <v>5</v>
      </c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3">
        <f t="shared" si="48"/>
        <v>2</v>
      </c>
      <c r="AU258" s="3">
        <f t="shared" si="49"/>
        <v>0</v>
      </c>
      <c r="AV258" s="3">
        <f t="shared" si="50"/>
        <v>0</v>
      </c>
      <c r="AW258" s="3">
        <f t="shared" si="51"/>
        <v>0</v>
      </c>
      <c r="AX258" s="3">
        <f t="shared" si="52"/>
        <v>0</v>
      </c>
      <c r="AY258" s="3">
        <f t="shared" si="53"/>
        <v>3</v>
      </c>
      <c r="AZ258" s="3">
        <f t="shared" si="54"/>
        <v>0</v>
      </c>
      <c r="BA258" s="3">
        <f t="shared" si="55"/>
        <v>0</v>
      </c>
      <c r="BB258" s="3">
        <f t="shared" si="56"/>
        <v>0</v>
      </c>
      <c r="BC258" s="3">
        <f t="shared" si="57"/>
        <v>0</v>
      </c>
      <c r="BD258" s="3">
        <f t="shared" si="58"/>
        <v>0</v>
      </c>
      <c r="BE258" s="3">
        <f t="shared" si="59"/>
        <v>0</v>
      </c>
      <c r="BF258" s="3">
        <f t="shared" si="60"/>
        <v>0</v>
      </c>
      <c r="BG258" s="3">
        <f t="shared" si="61"/>
        <v>0</v>
      </c>
      <c r="BH258" s="3">
        <f t="shared" si="62"/>
        <v>0</v>
      </c>
      <c r="BI258" s="3">
        <f t="shared" si="63"/>
        <v>5</v>
      </c>
    </row>
    <row r="259" spans="1:126" x14ac:dyDescent="0.25">
      <c r="A259" s="29">
        <v>257</v>
      </c>
      <c r="B259" s="3" t="s">
        <v>926</v>
      </c>
      <c r="C259" s="13" t="s">
        <v>780</v>
      </c>
      <c r="D259" s="13" t="s">
        <v>574</v>
      </c>
      <c r="E259" s="13" t="s">
        <v>33</v>
      </c>
      <c r="F259" s="18" t="s">
        <v>1529</v>
      </c>
      <c r="G259" s="18">
        <v>45936</v>
      </c>
      <c r="H259" s="18" t="s">
        <v>35</v>
      </c>
      <c r="I259" s="13" t="s">
        <v>23</v>
      </c>
      <c r="J259" s="13" t="s">
        <v>24</v>
      </c>
      <c r="K259" s="13" t="s">
        <v>56</v>
      </c>
      <c r="L259" s="13" t="s">
        <v>216</v>
      </c>
      <c r="M259" s="13" t="s">
        <v>1621</v>
      </c>
      <c r="N259" s="4" t="s">
        <v>927</v>
      </c>
      <c r="O259" s="4" t="s">
        <v>28</v>
      </c>
      <c r="P259" s="1" t="s">
        <v>39</v>
      </c>
      <c r="Q259" s="1" t="s">
        <v>5</v>
      </c>
      <c r="R259" s="1" t="s">
        <v>5</v>
      </c>
      <c r="S259" s="1" t="s">
        <v>5</v>
      </c>
      <c r="T259" s="1" t="s">
        <v>5</v>
      </c>
      <c r="U259" s="1" t="s">
        <v>5</v>
      </c>
      <c r="V259" s="1" t="s">
        <v>5</v>
      </c>
      <c r="W259" s="1" t="s">
        <v>5</v>
      </c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3">
        <f t="shared" si="48"/>
        <v>1</v>
      </c>
      <c r="AU259" s="3">
        <f t="shared" si="49"/>
        <v>0</v>
      </c>
      <c r="AV259" s="3">
        <f t="shared" si="50"/>
        <v>0</v>
      </c>
      <c r="AW259" s="3">
        <f t="shared" si="51"/>
        <v>0</v>
      </c>
      <c r="AX259" s="3">
        <f t="shared" si="52"/>
        <v>0</v>
      </c>
      <c r="AY259" s="3">
        <f t="shared" si="53"/>
        <v>7</v>
      </c>
      <c r="AZ259" s="3">
        <f t="shared" si="54"/>
        <v>0</v>
      </c>
      <c r="BA259" s="3">
        <f t="shared" si="55"/>
        <v>0</v>
      </c>
      <c r="BB259" s="3">
        <f t="shared" si="56"/>
        <v>0</v>
      </c>
      <c r="BC259" s="3">
        <f t="shared" si="57"/>
        <v>0</v>
      </c>
      <c r="BD259" s="3">
        <f t="shared" si="58"/>
        <v>0</v>
      </c>
      <c r="BE259" s="3">
        <f t="shared" si="59"/>
        <v>0</v>
      </c>
      <c r="BF259" s="3">
        <f t="shared" si="60"/>
        <v>0</v>
      </c>
      <c r="BG259" s="3">
        <f t="shared" si="61"/>
        <v>0</v>
      </c>
      <c r="BH259" s="3">
        <f t="shared" si="62"/>
        <v>0</v>
      </c>
      <c r="BI259" s="3">
        <f t="shared" si="63"/>
        <v>8</v>
      </c>
    </row>
    <row r="260" spans="1:126" x14ac:dyDescent="0.25">
      <c r="A260" s="29">
        <v>258</v>
      </c>
      <c r="B260" s="3" t="s">
        <v>981</v>
      </c>
      <c r="C260" s="13" t="s">
        <v>391</v>
      </c>
      <c r="D260" s="13" t="s">
        <v>978</v>
      </c>
      <c r="E260" s="13" t="s">
        <v>982</v>
      </c>
      <c r="F260" s="18" t="s">
        <v>1545</v>
      </c>
      <c r="G260" s="18">
        <v>45936</v>
      </c>
      <c r="H260" s="18" t="s">
        <v>35</v>
      </c>
      <c r="I260" s="13" t="s">
        <v>23</v>
      </c>
      <c r="J260" s="13" t="s">
        <v>24</v>
      </c>
      <c r="K260" s="13" t="s">
        <v>56</v>
      </c>
      <c r="L260" s="13" t="s">
        <v>68</v>
      </c>
      <c r="M260" s="13" t="s">
        <v>1621</v>
      </c>
      <c r="N260" s="4" t="s">
        <v>983</v>
      </c>
      <c r="O260" s="4" t="s">
        <v>28</v>
      </c>
      <c r="P260" s="1" t="s">
        <v>39</v>
      </c>
      <c r="Q260" s="1" t="s">
        <v>5</v>
      </c>
      <c r="R260" s="1" t="s">
        <v>5</v>
      </c>
      <c r="S260" s="1" t="s">
        <v>5</v>
      </c>
      <c r="T260" s="1" t="s">
        <v>5</v>
      </c>
      <c r="U260" s="1" t="s">
        <v>5</v>
      </c>
      <c r="V260" s="1" t="s">
        <v>5</v>
      </c>
      <c r="W260" s="1" t="s">
        <v>5</v>
      </c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3">
        <f t="shared" si="48"/>
        <v>1</v>
      </c>
      <c r="AU260" s="3">
        <f t="shared" si="49"/>
        <v>0</v>
      </c>
      <c r="AV260" s="3">
        <f t="shared" si="50"/>
        <v>0</v>
      </c>
      <c r="AW260" s="3">
        <f t="shared" si="51"/>
        <v>0</v>
      </c>
      <c r="AX260" s="3">
        <f t="shared" si="52"/>
        <v>0</v>
      </c>
      <c r="AY260" s="3">
        <f t="shared" si="53"/>
        <v>7</v>
      </c>
      <c r="AZ260" s="3">
        <f t="shared" si="54"/>
        <v>0</v>
      </c>
      <c r="BA260" s="3">
        <f t="shared" si="55"/>
        <v>0</v>
      </c>
      <c r="BB260" s="3">
        <f t="shared" si="56"/>
        <v>0</v>
      </c>
      <c r="BC260" s="3">
        <f t="shared" si="57"/>
        <v>0</v>
      </c>
      <c r="BD260" s="3">
        <f t="shared" si="58"/>
        <v>0</v>
      </c>
      <c r="BE260" s="3">
        <f t="shared" si="59"/>
        <v>0</v>
      </c>
      <c r="BF260" s="3">
        <f t="shared" si="60"/>
        <v>0</v>
      </c>
      <c r="BG260" s="3">
        <f t="shared" si="61"/>
        <v>0</v>
      </c>
      <c r="BH260" s="3">
        <f t="shared" si="62"/>
        <v>0</v>
      </c>
      <c r="BI260" s="3">
        <f t="shared" si="63"/>
        <v>8</v>
      </c>
    </row>
    <row r="261" spans="1:126" x14ac:dyDescent="0.25">
      <c r="A261" s="29">
        <v>259</v>
      </c>
      <c r="B261" s="13" t="s">
        <v>1102</v>
      </c>
      <c r="C261" s="13" t="s">
        <v>1103</v>
      </c>
      <c r="D261" s="13" t="s">
        <v>494</v>
      </c>
      <c r="E261" s="13" t="s">
        <v>1104</v>
      </c>
      <c r="F261" s="18" t="s">
        <v>1530</v>
      </c>
      <c r="G261" s="18">
        <v>45936</v>
      </c>
      <c r="H261" s="18" t="s">
        <v>35</v>
      </c>
      <c r="I261" s="13" t="s">
        <v>23</v>
      </c>
      <c r="J261" s="13" t="s">
        <v>24</v>
      </c>
      <c r="K261" s="13" t="s">
        <v>377</v>
      </c>
      <c r="L261" s="13" t="s">
        <v>68</v>
      </c>
      <c r="M261" s="13" t="s">
        <v>1621</v>
      </c>
      <c r="N261" s="4" t="s">
        <v>1105</v>
      </c>
      <c r="O261" s="16" t="s">
        <v>28</v>
      </c>
      <c r="P261" s="1" t="s">
        <v>39</v>
      </c>
      <c r="Q261" s="1" t="s">
        <v>5</v>
      </c>
      <c r="R261" s="1" t="s">
        <v>5</v>
      </c>
      <c r="S261" s="1" t="s">
        <v>5</v>
      </c>
      <c r="T261" s="1" t="s">
        <v>5</v>
      </c>
      <c r="U261" s="1" t="s">
        <v>5</v>
      </c>
      <c r="V261" s="1" t="s">
        <v>5</v>
      </c>
      <c r="W261" s="1" t="s">
        <v>5</v>
      </c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3">
        <f t="shared" si="48"/>
        <v>1</v>
      </c>
      <c r="AU261" s="3">
        <f t="shared" si="49"/>
        <v>0</v>
      </c>
      <c r="AV261" s="3">
        <f t="shared" si="50"/>
        <v>0</v>
      </c>
      <c r="AW261" s="3">
        <f t="shared" si="51"/>
        <v>0</v>
      </c>
      <c r="AX261" s="3">
        <f t="shared" si="52"/>
        <v>0</v>
      </c>
      <c r="AY261" s="3">
        <f t="shared" si="53"/>
        <v>7</v>
      </c>
      <c r="AZ261" s="3">
        <f t="shared" si="54"/>
        <v>0</v>
      </c>
      <c r="BA261" s="3">
        <f t="shared" si="55"/>
        <v>0</v>
      </c>
      <c r="BB261" s="3">
        <f t="shared" si="56"/>
        <v>0</v>
      </c>
      <c r="BC261" s="3">
        <f t="shared" si="57"/>
        <v>0</v>
      </c>
      <c r="BD261" s="3">
        <f t="shared" si="58"/>
        <v>0</v>
      </c>
      <c r="BE261" s="3">
        <f t="shared" si="59"/>
        <v>0</v>
      </c>
      <c r="BF261" s="3">
        <f t="shared" si="60"/>
        <v>0</v>
      </c>
      <c r="BG261" s="3">
        <f t="shared" si="61"/>
        <v>0</v>
      </c>
      <c r="BH261" s="3">
        <f t="shared" si="62"/>
        <v>0</v>
      </c>
      <c r="BI261" s="3">
        <f t="shared" si="63"/>
        <v>8</v>
      </c>
      <c r="BJ261" s="17"/>
    </row>
    <row r="262" spans="1:126" x14ac:dyDescent="0.25">
      <c r="A262" s="29">
        <v>260</v>
      </c>
      <c r="B262" s="3" t="s">
        <v>562</v>
      </c>
      <c r="C262" s="13" t="s">
        <v>348</v>
      </c>
      <c r="D262" s="13" t="s">
        <v>563</v>
      </c>
      <c r="E262" s="13" t="s">
        <v>564</v>
      </c>
      <c r="F262" s="18" t="s">
        <v>149</v>
      </c>
      <c r="G262" s="18">
        <v>45937</v>
      </c>
      <c r="H262" s="18" t="s">
        <v>35</v>
      </c>
      <c r="I262" s="13" t="s">
        <v>23</v>
      </c>
      <c r="J262" s="13" t="s">
        <v>24</v>
      </c>
      <c r="K262" s="13" t="s">
        <v>36</v>
      </c>
      <c r="L262" s="13" t="s">
        <v>150</v>
      </c>
      <c r="M262" s="13" t="s">
        <v>1621</v>
      </c>
      <c r="N262" s="4" t="s">
        <v>565</v>
      </c>
      <c r="O262" s="4" t="s">
        <v>28</v>
      </c>
      <c r="P262" s="1" t="s">
        <v>5</v>
      </c>
      <c r="Q262" s="1" t="s">
        <v>29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3">
        <f t="shared" si="48"/>
        <v>0</v>
      </c>
      <c r="AU262" s="3">
        <f t="shared" si="49"/>
        <v>1</v>
      </c>
      <c r="AV262" s="3">
        <f t="shared" si="50"/>
        <v>0</v>
      </c>
      <c r="AW262" s="3">
        <f t="shared" si="51"/>
        <v>0</v>
      </c>
      <c r="AX262" s="3">
        <f t="shared" si="52"/>
        <v>0</v>
      </c>
      <c r="AY262" s="3">
        <f t="shared" si="53"/>
        <v>1</v>
      </c>
      <c r="AZ262" s="3">
        <f t="shared" si="54"/>
        <v>0</v>
      </c>
      <c r="BA262" s="3">
        <f t="shared" si="55"/>
        <v>0</v>
      </c>
      <c r="BB262" s="3">
        <f t="shared" si="56"/>
        <v>0</v>
      </c>
      <c r="BC262" s="3">
        <f t="shared" si="57"/>
        <v>0</v>
      </c>
      <c r="BD262" s="3">
        <f t="shared" si="58"/>
        <v>0</v>
      </c>
      <c r="BE262" s="3">
        <f t="shared" si="59"/>
        <v>0</v>
      </c>
      <c r="BF262" s="3">
        <f t="shared" si="60"/>
        <v>0</v>
      </c>
      <c r="BG262" s="3">
        <f t="shared" si="61"/>
        <v>0</v>
      </c>
      <c r="BH262" s="3">
        <f t="shared" si="62"/>
        <v>0</v>
      </c>
      <c r="BI262" s="3">
        <f t="shared" si="63"/>
        <v>2</v>
      </c>
    </row>
    <row r="263" spans="1:126" x14ac:dyDescent="0.25">
      <c r="A263" s="29">
        <v>261</v>
      </c>
      <c r="B263" s="3" t="s">
        <v>290</v>
      </c>
      <c r="C263" s="13" t="s">
        <v>291</v>
      </c>
      <c r="D263" s="13" t="s">
        <v>287</v>
      </c>
      <c r="E263" s="13" t="s">
        <v>154</v>
      </c>
      <c r="F263" s="18" t="s">
        <v>1522</v>
      </c>
      <c r="G263" s="18">
        <v>45939</v>
      </c>
      <c r="H263" s="18" t="s">
        <v>35</v>
      </c>
      <c r="I263" s="13" t="s">
        <v>23</v>
      </c>
      <c r="J263" s="13" t="s">
        <v>24</v>
      </c>
      <c r="K263" s="13" t="s">
        <v>36</v>
      </c>
      <c r="L263" s="13" t="s">
        <v>292</v>
      </c>
      <c r="M263" s="13" t="s">
        <v>1621</v>
      </c>
      <c r="N263" s="4" t="s">
        <v>1675</v>
      </c>
      <c r="O263" s="4" t="s">
        <v>28</v>
      </c>
      <c r="P263" s="1" t="s">
        <v>5</v>
      </c>
      <c r="Q263" s="1" t="s">
        <v>29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3">
        <f t="shared" ref="AT263:AT326" si="64">+COUNTIF(P263:AS263,"A")</f>
        <v>0</v>
      </c>
      <c r="AU263" s="3">
        <f t="shared" ref="AU263:AU326" si="65">+COUNTIF(P263:AS263,"B")</f>
        <v>1</v>
      </c>
      <c r="AV263" s="3">
        <f t="shared" ref="AV263:AV326" si="66">+COUNTIF(P263:AS263,"ES")</f>
        <v>0</v>
      </c>
      <c r="AW263" s="3">
        <f t="shared" ref="AW263:AW326" si="67">+COUNTIF(P263:AS263,"T")</f>
        <v>0</v>
      </c>
      <c r="AX263" s="3">
        <f t="shared" ref="AX263:AX326" si="68">+COUNTIF(P263:AS263,"EC")</f>
        <v>0</v>
      </c>
      <c r="AY263" s="3">
        <f t="shared" ref="AY263:AY326" si="69">+COUNTIF(P263:AS263,"D")</f>
        <v>1</v>
      </c>
      <c r="AZ263" s="3">
        <f t="shared" ref="AZ263:AZ326" si="70">+COUNTIF(P263:AS263,"F")</f>
        <v>0</v>
      </c>
      <c r="BA263" s="3">
        <f t="shared" ref="BA263:BA326" si="71">+COUNTIF(P263:AS263,"LM")</f>
        <v>0</v>
      </c>
      <c r="BB263" s="3">
        <f t="shared" ref="BB263:BB326" si="72">+COUNTIF(P263:AS263,"PSG")</f>
        <v>0</v>
      </c>
      <c r="BC263" s="3">
        <f t="shared" ref="BC263:BC326" si="73">+COUNTIF(P263:AS263,"PS")</f>
        <v>0</v>
      </c>
      <c r="BD263" s="3">
        <f t="shared" ref="BD263:BD326" si="74">+COUNTIF(P263:AS263,"AD")</f>
        <v>0</v>
      </c>
      <c r="BE263" s="3">
        <f t="shared" ref="BE263:BE326" si="75">+COUNTIF(P263:AS263,"V")</f>
        <v>0</v>
      </c>
      <c r="BF263" s="3">
        <f t="shared" ref="BF263:BF326" si="76">+COUNTIF(P263:AS263,"IMM")</f>
        <v>0</v>
      </c>
      <c r="BG263" s="3">
        <f t="shared" ref="BG263:BG326" si="77">+COUNTIF(P263:AS263,"PCG")</f>
        <v>0</v>
      </c>
      <c r="BH263" s="3">
        <f t="shared" ref="BH263:BH326" si="78">+COUNTIF(P263:AS263,"AC")</f>
        <v>0</v>
      </c>
      <c r="BI263" s="3">
        <f t="shared" ref="BI263:BI326" si="79">AT263+AU263+AV263+AW263+AX263+AY263+BC263+BD263+BE263+BF263+BG263+BH263</f>
        <v>2</v>
      </c>
    </row>
    <row r="264" spans="1:126" x14ac:dyDescent="0.25">
      <c r="A264" s="29">
        <v>265</v>
      </c>
      <c r="B264" s="3" t="s">
        <v>534</v>
      </c>
      <c r="C264" s="13" t="s">
        <v>535</v>
      </c>
      <c r="D264" s="13" t="s">
        <v>536</v>
      </c>
      <c r="E264" s="13" t="s">
        <v>537</v>
      </c>
      <c r="F264" s="18" t="s">
        <v>138</v>
      </c>
      <c r="G264" s="18">
        <v>45939</v>
      </c>
      <c r="H264" s="18" t="s">
        <v>35</v>
      </c>
      <c r="I264" s="13" t="s">
        <v>23</v>
      </c>
      <c r="J264" s="13" t="s">
        <v>24</v>
      </c>
      <c r="K264" s="13" t="s">
        <v>25</v>
      </c>
      <c r="L264" s="13" t="s">
        <v>292</v>
      </c>
      <c r="M264" s="13" t="s">
        <v>1621</v>
      </c>
      <c r="N264" s="4" t="s">
        <v>1677</v>
      </c>
      <c r="O264" s="4" t="s">
        <v>28</v>
      </c>
      <c r="P264" s="1" t="s">
        <v>5</v>
      </c>
      <c r="Q264" s="1" t="s">
        <v>39</v>
      </c>
      <c r="R264" s="1" t="s">
        <v>39</v>
      </c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3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3">
        <f t="shared" si="64"/>
        <v>2</v>
      </c>
      <c r="AU264" s="3">
        <f t="shared" si="65"/>
        <v>0</v>
      </c>
      <c r="AV264" s="3">
        <f t="shared" si="66"/>
        <v>0</v>
      </c>
      <c r="AW264" s="3">
        <f t="shared" si="67"/>
        <v>0</v>
      </c>
      <c r="AX264" s="3">
        <f t="shared" si="68"/>
        <v>0</v>
      </c>
      <c r="AY264" s="3">
        <f t="shared" si="69"/>
        <v>1</v>
      </c>
      <c r="AZ264" s="3">
        <f t="shared" si="70"/>
        <v>0</v>
      </c>
      <c r="BA264" s="3">
        <f t="shared" si="71"/>
        <v>0</v>
      </c>
      <c r="BB264" s="3">
        <f t="shared" si="72"/>
        <v>0</v>
      </c>
      <c r="BC264" s="3">
        <f t="shared" si="73"/>
        <v>0</v>
      </c>
      <c r="BD264" s="3">
        <f t="shared" si="74"/>
        <v>0</v>
      </c>
      <c r="BE264" s="3">
        <f t="shared" si="75"/>
        <v>0</v>
      </c>
      <c r="BF264" s="3">
        <f t="shared" si="76"/>
        <v>0</v>
      </c>
      <c r="BG264" s="3">
        <f t="shared" si="77"/>
        <v>0</v>
      </c>
      <c r="BH264" s="3">
        <f t="shared" si="78"/>
        <v>0</v>
      </c>
      <c r="BI264" s="3">
        <f t="shared" si="79"/>
        <v>3</v>
      </c>
    </row>
    <row r="265" spans="1:126" x14ac:dyDescent="0.25">
      <c r="A265" s="29">
        <v>263</v>
      </c>
      <c r="B265" s="3" t="s">
        <v>422</v>
      </c>
      <c r="C265" s="13" t="s">
        <v>181</v>
      </c>
      <c r="D265" s="13" t="s">
        <v>423</v>
      </c>
      <c r="E265" s="13" t="s">
        <v>424</v>
      </c>
      <c r="F265" s="18" t="s">
        <v>55</v>
      </c>
      <c r="G265" s="18">
        <v>45939</v>
      </c>
      <c r="H265" s="18" t="s">
        <v>35</v>
      </c>
      <c r="I265" s="13" t="s">
        <v>23</v>
      </c>
      <c r="J265" s="13" t="s">
        <v>24</v>
      </c>
      <c r="K265" s="13" t="s">
        <v>43</v>
      </c>
      <c r="L265" s="13" t="s">
        <v>216</v>
      </c>
      <c r="M265" s="13" t="s">
        <v>1621</v>
      </c>
      <c r="N265" s="4" t="s">
        <v>1678</v>
      </c>
      <c r="O265" s="4" t="s">
        <v>28</v>
      </c>
      <c r="P265" s="1" t="s">
        <v>29</v>
      </c>
      <c r="Q265" s="1" t="s">
        <v>5</v>
      </c>
      <c r="R265" s="1" t="s">
        <v>5</v>
      </c>
      <c r="S265" s="1" t="s">
        <v>5</v>
      </c>
      <c r="T265" s="1" t="s">
        <v>5</v>
      </c>
      <c r="U265" s="1" t="s">
        <v>5</v>
      </c>
      <c r="V265" s="1" t="s">
        <v>5</v>
      </c>
      <c r="W265" s="1" t="s">
        <v>5</v>
      </c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3">
        <f t="shared" si="64"/>
        <v>0</v>
      </c>
      <c r="AU265" s="3">
        <f t="shared" si="65"/>
        <v>1</v>
      </c>
      <c r="AV265" s="3">
        <f t="shared" si="66"/>
        <v>0</v>
      </c>
      <c r="AW265" s="3">
        <f t="shared" si="67"/>
        <v>0</v>
      </c>
      <c r="AX265" s="3">
        <f t="shared" si="68"/>
        <v>0</v>
      </c>
      <c r="AY265" s="3">
        <f t="shared" si="69"/>
        <v>7</v>
      </c>
      <c r="AZ265" s="3">
        <f t="shared" si="70"/>
        <v>0</v>
      </c>
      <c r="BA265" s="3">
        <f t="shared" si="71"/>
        <v>0</v>
      </c>
      <c r="BB265" s="3">
        <f t="shared" si="72"/>
        <v>0</v>
      </c>
      <c r="BC265" s="3">
        <f t="shared" si="73"/>
        <v>0</v>
      </c>
      <c r="BD265" s="3">
        <f t="shared" si="74"/>
        <v>0</v>
      </c>
      <c r="BE265" s="3">
        <f t="shared" si="75"/>
        <v>0</v>
      </c>
      <c r="BF265" s="3">
        <f t="shared" si="76"/>
        <v>0</v>
      </c>
      <c r="BG265" s="3">
        <f t="shared" si="77"/>
        <v>0</v>
      </c>
      <c r="BH265" s="3">
        <f t="shared" si="78"/>
        <v>0</v>
      </c>
      <c r="BI265" s="3">
        <f t="shared" si="79"/>
        <v>8</v>
      </c>
    </row>
    <row r="266" spans="1:126" x14ac:dyDescent="0.25">
      <c r="A266" s="29">
        <v>264</v>
      </c>
      <c r="B266" s="3" t="s">
        <v>813</v>
      </c>
      <c r="C266" s="13" t="s">
        <v>360</v>
      </c>
      <c r="D266" s="13" t="s">
        <v>135</v>
      </c>
      <c r="E266" s="13" t="s">
        <v>814</v>
      </c>
      <c r="F266" s="18" t="s">
        <v>335</v>
      </c>
      <c r="G266" s="18">
        <v>45939</v>
      </c>
      <c r="H266" s="18" t="s">
        <v>1672</v>
      </c>
      <c r="I266" s="13" t="s">
        <v>23</v>
      </c>
      <c r="J266" s="13" t="s">
        <v>24</v>
      </c>
      <c r="K266" s="13" t="s">
        <v>56</v>
      </c>
      <c r="L266" s="13" t="s">
        <v>216</v>
      </c>
      <c r="M266" s="13" t="s">
        <v>1621</v>
      </c>
      <c r="N266" s="4" t="s">
        <v>1679</v>
      </c>
      <c r="O266" s="4" t="s">
        <v>28</v>
      </c>
      <c r="P266" s="1" t="s">
        <v>39</v>
      </c>
      <c r="Q266" s="3" t="s">
        <v>5</v>
      </c>
      <c r="R266" s="3" t="s">
        <v>5</v>
      </c>
      <c r="S266" s="3" t="s">
        <v>5</v>
      </c>
      <c r="T266" s="3" t="s">
        <v>5</v>
      </c>
      <c r="U266" s="3" t="s">
        <v>5</v>
      </c>
      <c r="V266" s="3" t="s">
        <v>5</v>
      </c>
      <c r="W266" s="3" t="s">
        <v>5</v>
      </c>
      <c r="X266" s="1"/>
      <c r="Y266" s="1"/>
      <c r="Z266" s="1"/>
      <c r="AA266" s="1"/>
      <c r="AB266" s="3"/>
      <c r="AC266" s="3"/>
      <c r="AD266" s="3"/>
      <c r="AE266" s="3"/>
      <c r="AF266" s="3"/>
      <c r="AG266" s="3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3">
        <f t="shared" si="64"/>
        <v>1</v>
      </c>
      <c r="AU266" s="3">
        <f t="shared" si="65"/>
        <v>0</v>
      </c>
      <c r="AV266" s="3">
        <f t="shared" si="66"/>
        <v>0</v>
      </c>
      <c r="AW266" s="3">
        <f t="shared" si="67"/>
        <v>0</v>
      </c>
      <c r="AX266" s="3">
        <f t="shared" si="68"/>
        <v>0</v>
      </c>
      <c r="AY266" s="3">
        <f t="shared" si="69"/>
        <v>7</v>
      </c>
      <c r="AZ266" s="3">
        <f t="shared" si="70"/>
        <v>0</v>
      </c>
      <c r="BA266" s="3">
        <f t="shared" si="71"/>
        <v>0</v>
      </c>
      <c r="BB266" s="3">
        <f t="shared" si="72"/>
        <v>0</v>
      </c>
      <c r="BC266" s="3">
        <f t="shared" si="73"/>
        <v>0</v>
      </c>
      <c r="BD266" s="3">
        <f t="shared" si="74"/>
        <v>0</v>
      </c>
      <c r="BE266" s="3">
        <f t="shared" si="75"/>
        <v>0</v>
      </c>
      <c r="BF266" s="3">
        <f t="shared" si="76"/>
        <v>0</v>
      </c>
      <c r="BG266" s="3">
        <f t="shared" si="77"/>
        <v>0</v>
      </c>
      <c r="BH266" s="3">
        <f t="shared" si="78"/>
        <v>0</v>
      </c>
      <c r="BI266" s="3">
        <f t="shared" si="79"/>
        <v>8</v>
      </c>
    </row>
    <row r="267" spans="1:126" x14ac:dyDescent="0.25">
      <c r="A267" s="29">
        <v>267</v>
      </c>
      <c r="B267" s="3" t="s">
        <v>848</v>
      </c>
      <c r="C267" s="13" t="s">
        <v>849</v>
      </c>
      <c r="D267" s="13" t="s">
        <v>850</v>
      </c>
      <c r="E267" s="13" t="s">
        <v>851</v>
      </c>
      <c r="F267" s="18" t="s">
        <v>1522</v>
      </c>
      <c r="G267" s="18">
        <v>45939</v>
      </c>
      <c r="H267" s="18" t="s">
        <v>35</v>
      </c>
      <c r="I267" s="13" t="s">
        <v>23</v>
      </c>
      <c r="J267" s="13" t="s">
        <v>24</v>
      </c>
      <c r="K267" s="13" t="s">
        <v>25</v>
      </c>
      <c r="L267" s="13" t="s">
        <v>292</v>
      </c>
      <c r="M267" s="13" t="s">
        <v>1621</v>
      </c>
      <c r="N267" s="4" t="s">
        <v>1680</v>
      </c>
      <c r="O267" s="4" t="s">
        <v>28</v>
      </c>
      <c r="P267" s="1" t="s">
        <v>5</v>
      </c>
      <c r="Q267" s="1" t="s">
        <v>39</v>
      </c>
      <c r="R267" s="1" t="s">
        <v>39</v>
      </c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3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3">
        <f t="shared" si="64"/>
        <v>2</v>
      </c>
      <c r="AU267" s="3">
        <f t="shared" si="65"/>
        <v>0</v>
      </c>
      <c r="AV267" s="3">
        <f t="shared" si="66"/>
        <v>0</v>
      </c>
      <c r="AW267" s="3">
        <f t="shared" si="67"/>
        <v>0</v>
      </c>
      <c r="AX267" s="3">
        <f t="shared" si="68"/>
        <v>0</v>
      </c>
      <c r="AY267" s="3">
        <f t="shared" si="69"/>
        <v>1</v>
      </c>
      <c r="AZ267" s="3">
        <f t="shared" si="70"/>
        <v>0</v>
      </c>
      <c r="BA267" s="3">
        <f t="shared" si="71"/>
        <v>0</v>
      </c>
      <c r="BB267" s="3">
        <f t="shared" si="72"/>
        <v>0</v>
      </c>
      <c r="BC267" s="3">
        <f t="shared" si="73"/>
        <v>0</v>
      </c>
      <c r="BD267" s="3">
        <f t="shared" si="74"/>
        <v>0</v>
      </c>
      <c r="BE267" s="3">
        <f t="shared" si="75"/>
        <v>0</v>
      </c>
      <c r="BF267" s="3">
        <f t="shared" si="76"/>
        <v>0</v>
      </c>
      <c r="BG267" s="3">
        <f t="shared" si="77"/>
        <v>0</v>
      </c>
      <c r="BH267" s="3">
        <f t="shared" si="78"/>
        <v>0</v>
      </c>
      <c r="BI267" s="3">
        <f t="shared" si="79"/>
        <v>3</v>
      </c>
    </row>
    <row r="268" spans="1:126" x14ac:dyDescent="0.25">
      <c r="A268" s="29">
        <v>266</v>
      </c>
      <c r="B268" s="3" t="s">
        <v>467</v>
      </c>
      <c r="C268" s="13" t="s">
        <v>468</v>
      </c>
      <c r="D268" s="13" t="s">
        <v>469</v>
      </c>
      <c r="E268" s="13" t="s">
        <v>470</v>
      </c>
      <c r="F268" s="18" t="s">
        <v>34</v>
      </c>
      <c r="G268" s="18">
        <v>45939</v>
      </c>
      <c r="H268" s="18" t="s">
        <v>35</v>
      </c>
      <c r="I268" s="13" t="s">
        <v>23</v>
      </c>
      <c r="J268" s="13" t="s">
        <v>24</v>
      </c>
      <c r="K268" s="13" t="s">
        <v>36</v>
      </c>
      <c r="L268" s="13" t="s">
        <v>292</v>
      </c>
      <c r="M268" s="13" t="s">
        <v>1621</v>
      </c>
      <c r="N268" s="4" t="s">
        <v>1676</v>
      </c>
      <c r="O268" s="4" t="s">
        <v>28</v>
      </c>
      <c r="P268" s="1" t="s">
        <v>5</v>
      </c>
      <c r="Q268" s="1" t="s">
        <v>29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3">
        <f t="shared" si="64"/>
        <v>0</v>
      </c>
      <c r="AU268" s="3">
        <f t="shared" si="65"/>
        <v>1</v>
      </c>
      <c r="AV268" s="3">
        <f t="shared" si="66"/>
        <v>0</v>
      </c>
      <c r="AW268" s="3">
        <f t="shared" si="67"/>
        <v>0</v>
      </c>
      <c r="AX268" s="3">
        <f t="shared" si="68"/>
        <v>0</v>
      </c>
      <c r="AY268" s="3">
        <f t="shared" si="69"/>
        <v>1</v>
      </c>
      <c r="AZ268" s="3">
        <f t="shared" si="70"/>
        <v>0</v>
      </c>
      <c r="BA268" s="3">
        <f t="shared" si="71"/>
        <v>0</v>
      </c>
      <c r="BB268" s="3">
        <f t="shared" si="72"/>
        <v>0</v>
      </c>
      <c r="BC268" s="3">
        <f t="shared" si="73"/>
        <v>0</v>
      </c>
      <c r="BD268" s="3">
        <f t="shared" si="74"/>
        <v>0</v>
      </c>
      <c r="BE268" s="3">
        <f t="shared" si="75"/>
        <v>0</v>
      </c>
      <c r="BF268" s="3">
        <f t="shared" si="76"/>
        <v>0</v>
      </c>
      <c r="BG268" s="3">
        <f t="shared" si="77"/>
        <v>0</v>
      </c>
      <c r="BH268" s="3">
        <f t="shared" si="78"/>
        <v>0</v>
      </c>
      <c r="BI268" s="3">
        <f t="shared" si="79"/>
        <v>2</v>
      </c>
    </row>
    <row r="269" spans="1:126" x14ac:dyDescent="0.25">
      <c r="A269" s="29">
        <v>268</v>
      </c>
      <c r="B269" s="3" t="s">
        <v>1374</v>
      </c>
      <c r="C269" s="13" t="s">
        <v>166</v>
      </c>
      <c r="D269" s="13" t="s">
        <v>291</v>
      </c>
      <c r="E269" s="13" t="s">
        <v>887</v>
      </c>
      <c r="F269" s="18" t="s">
        <v>73</v>
      </c>
      <c r="G269" s="18">
        <v>45951</v>
      </c>
      <c r="H269" s="18" t="s">
        <v>35</v>
      </c>
      <c r="I269" s="13" t="s">
        <v>23</v>
      </c>
      <c r="J269" s="13" t="s">
        <v>24</v>
      </c>
      <c r="K269" s="13" t="s">
        <v>25</v>
      </c>
      <c r="L269" s="13" t="s">
        <v>292</v>
      </c>
      <c r="M269" s="13" t="s">
        <v>1621</v>
      </c>
      <c r="N269" s="4" t="s">
        <v>888</v>
      </c>
      <c r="O269" s="4" t="s">
        <v>28</v>
      </c>
      <c r="P269" s="1" t="s">
        <v>5</v>
      </c>
      <c r="Q269" s="1" t="s">
        <v>39</v>
      </c>
      <c r="R269" s="1" t="s">
        <v>39</v>
      </c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3">
        <f t="shared" si="64"/>
        <v>2</v>
      </c>
      <c r="AU269" s="3">
        <f t="shared" si="65"/>
        <v>0</v>
      </c>
      <c r="AV269" s="3">
        <f t="shared" si="66"/>
        <v>0</v>
      </c>
      <c r="AW269" s="3">
        <f t="shared" si="67"/>
        <v>0</v>
      </c>
      <c r="AX269" s="3">
        <f t="shared" si="68"/>
        <v>0</v>
      </c>
      <c r="AY269" s="3">
        <f t="shared" si="69"/>
        <v>1</v>
      </c>
      <c r="AZ269" s="3">
        <f t="shared" si="70"/>
        <v>0</v>
      </c>
      <c r="BA269" s="3">
        <f t="shared" si="71"/>
        <v>0</v>
      </c>
      <c r="BB269" s="3">
        <f t="shared" si="72"/>
        <v>0</v>
      </c>
      <c r="BC269" s="3">
        <f t="shared" si="73"/>
        <v>0</v>
      </c>
      <c r="BD269" s="3">
        <f t="shared" si="74"/>
        <v>0</v>
      </c>
      <c r="BE269" s="3">
        <f t="shared" si="75"/>
        <v>0</v>
      </c>
      <c r="BF269" s="3">
        <f t="shared" si="76"/>
        <v>0</v>
      </c>
      <c r="BG269" s="3">
        <f t="shared" si="77"/>
        <v>0</v>
      </c>
      <c r="BH269" s="3">
        <f t="shared" si="78"/>
        <v>0</v>
      </c>
      <c r="BI269" s="3">
        <f t="shared" si="79"/>
        <v>3</v>
      </c>
    </row>
    <row r="270" spans="1:126" s="17" customFormat="1" x14ac:dyDescent="0.25">
      <c r="A270" s="29">
        <v>269</v>
      </c>
      <c r="B270" s="3" t="s">
        <v>1159</v>
      </c>
      <c r="C270" s="13" t="s">
        <v>264</v>
      </c>
      <c r="D270" s="13" t="s">
        <v>264</v>
      </c>
      <c r="E270" s="13" t="s">
        <v>1160</v>
      </c>
      <c r="F270" s="18" t="s">
        <v>1531</v>
      </c>
      <c r="G270" s="18">
        <v>45964</v>
      </c>
      <c r="H270" s="18">
        <v>46142</v>
      </c>
      <c r="I270" s="13" t="s">
        <v>23</v>
      </c>
      <c r="J270" s="13" t="s">
        <v>24</v>
      </c>
      <c r="K270" s="13" t="s">
        <v>36</v>
      </c>
      <c r="L270" s="13" t="s">
        <v>292</v>
      </c>
      <c r="M270" s="13" t="s">
        <v>1621</v>
      </c>
      <c r="N270" s="4">
        <v>722257217</v>
      </c>
      <c r="O270" s="4" t="s">
        <v>28</v>
      </c>
      <c r="P270" s="1" t="s">
        <v>5</v>
      </c>
      <c r="Q270" s="1" t="s">
        <v>29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3">
        <f t="shared" si="64"/>
        <v>0</v>
      </c>
      <c r="AU270" s="3">
        <f t="shared" si="65"/>
        <v>1</v>
      </c>
      <c r="AV270" s="3">
        <f t="shared" si="66"/>
        <v>0</v>
      </c>
      <c r="AW270" s="3">
        <f t="shared" si="67"/>
        <v>0</v>
      </c>
      <c r="AX270" s="3">
        <f t="shared" si="68"/>
        <v>0</v>
      </c>
      <c r="AY270" s="3">
        <f t="shared" si="69"/>
        <v>1</v>
      </c>
      <c r="AZ270" s="3">
        <f t="shared" si="70"/>
        <v>0</v>
      </c>
      <c r="BA270" s="3">
        <f t="shared" si="71"/>
        <v>0</v>
      </c>
      <c r="BB270" s="3">
        <f t="shared" si="72"/>
        <v>0</v>
      </c>
      <c r="BC270" s="3">
        <f t="shared" si="73"/>
        <v>0</v>
      </c>
      <c r="BD270" s="3">
        <f t="shared" si="74"/>
        <v>0</v>
      </c>
      <c r="BE270" s="3">
        <f t="shared" si="75"/>
        <v>0</v>
      </c>
      <c r="BF270" s="3">
        <f t="shared" si="76"/>
        <v>0</v>
      </c>
      <c r="BG270" s="3">
        <f t="shared" si="77"/>
        <v>0</v>
      </c>
      <c r="BH270" s="3">
        <f t="shared" si="78"/>
        <v>0</v>
      </c>
      <c r="BI270" s="3">
        <f t="shared" si="79"/>
        <v>2</v>
      </c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</row>
    <row r="271" spans="1:126" x14ac:dyDescent="0.25">
      <c r="A271" s="29">
        <v>270</v>
      </c>
      <c r="B271" s="3" t="s">
        <v>1161</v>
      </c>
      <c r="C271" s="13" t="s">
        <v>1061</v>
      </c>
      <c r="D271" s="13" t="s">
        <v>1162</v>
      </c>
      <c r="E271" s="13" t="s">
        <v>1163</v>
      </c>
      <c r="F271" s="18" t="s">
        <v>1527</v>
      </c>
      <c r="G271" s="18">
        <v>45964</v>
      </c>
      <c r="H271" s="18">
        <v>46142</v>
      </c>
      <c r="I271" s="13" t="s">
        <v>23</v>
      </c>
      <c r="J271" s="13" t="s">
        <v>24</v>
      </c>
      <c r="K271" s="13" t="s">
        <v>25</v>
      </c>
      <c r="L271" s="13" t="s">
        <v>292</v>
      </c>
      <c r="M271" s="13" t="s">
        <v>1621</v>
      </c>
      <c r="N271" s="4">
        <v>95660298</v>
      </c>
      <c r="O271" s="4" t="s">
        <v>28</v>
      </c>
      <c r="P271" s="1" t="s">
        <v>5</v>
      </c>
      <c r="Q271" s="1" t="s">
        <v>39</v>
      </c>
      <c r="R271" s="1" t="s">
        <v>39</v>
      </c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3">
        <f t="shared" si="64"/>
        <v>2</v>
      </c>
      <c r="AU271" s="3">
        <f t="shared" si="65"/>
        <v>0</v>
      </c>
      <c r="AV271" s="3">
        <f t="shared" si="66"/>
        <v>0</v>
      </c>
      <c r="AW271" s="3">
        <f t="shared" si="67"/>
        <v>0</v>
      </c>
      <c r="AX271" s="3">
        <f t="shared" si="68"/>
        <v>0</v>
      </c>
      <c r="AY271" s="3">
        <f t="shared" si="69"/>
        <v>1</v>
      </c>
      <c r="AZ271" s="3">
        <f t="shared" si="70"/>
        <v>0</v>
      </c>
      <c r="BA271" s="3">
        <f t="shared" si="71"/>
        <v>0</v>
      </c>
      <c r="BB271" s="3">
        <f t="shared" si="72"/>
        <v>0</v>
      </c>
      <c r="BC271" s="3">
        <f t="shared" si="73"/>
        <v>0</v>
      </c>
      <c r="BD271" s="3">
        <f t="shared" si="74"/>
        <v>0</v>
      </c>
      <c r="BE271" s="3">
        <f t="shared" si="75"/>
        <v>0</v>
      </c>
      <c r="BF271" s="3">
        <f t="shared" si="76"/>
        <v>0</v>
      </c>
      <c r="BG271" s="3">
        <f t="shared" si="77"/>
        <v>0</v>
      </c>
      <c r="BH271" s="3">
        <f t="shared" si="78"/>
        <v>0</v>
      </c>
      <c r="BI271" s="3">
        <f t="shared" si="79"/>
        <v>3</v>
      </c>
    </row>
    <row r="272" spans="1:126" x14ac:dyDescent="0.25">
      <c r="A272" s="29">
        <v>271</v>
      </c>
      <c r="B272" s="3" t="s">
        <v>1164</v>
      </c>
      <c r="C272" s="13" t="s">
        <v>1165</v>
      </c>
      <c r="D272" s="13" t="s">
        <v>1166</v>
      </c>
      <c r="E272" s="13" t="s">
        <v>1167</v>
      </c>
      <c r="F272" s="18" t="s">
        <v>138</v>
      </c>
      <c r="G272" s="18">
        <v>45964</v>
      </c>
      <c r="H272" s="18">
        <v>46142</v>
      </c>
      <c r="I272" s="13" t="s">
        <v>23</v>
      </c>
      <c r="J272" s="13" t="s">
        <v>24</v>
      </c>
      <c r="K272" s="13" t="s">
        <v>25</v>
      </c>
      <c r="L272" s="13" t="s">
        <v>216</v>
      </c>
      <c r="M272" s="13" t="s">
        <v>1621</v>
      </c>
      <c r="N272" s="4">
        <v>940937393</v>
      </c>
      <c r="O272" s="4" t="s">
        <v>28</v>
      </c>
      <c r="P272" s="1" t="s">
        <v>92</v>
      </c>
      <c r="Q272" s="1" t="s">
        <v>92</v>
      </c>
      <c r="R272" s="1" t="s">
        <v>92</v>
      </c>
      <c r="S272" s="1" t="s">
        <v>92</v>
      </c>
      <c r="T272" s="1" t="s">
        <v>92</v>
      </c>
      <c r="U272" s="1" t="s">
        <v>92</v>
      </c>
      <c r="V272" s="1" t="s">
        <v>92</v>
      </c>
      <c r="W272" s="1" t="s">
        <v>92</v>
      </c>
      <c r="X272" s="1" t="s">
        <v>92</v>
      </c>
      <c r="Y272" s="1" t="s">
        <v>92</v>
      </c>
      <c r="Z272" s="1" t="s">
        <v>92</v>
      </c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3">
        <f t="shared" si="64"/>
        <v>0</v>
      </c>
      <c r="AU272" s="3">
        <f t="shared" si="65"/>
        <v>0</v>
      </c>
      <c r="AV272" s="3">
        <f t="shared" si="66"/>
        <v>0</v>
      </c>
      <c r="AW272" s="3">
        <f t="shared" si="67"/>
        <v>0</v>
      </c>
      <c r="AX272" s="3">
        <f t="shared" si="68"/>
        <v>0</v>
      </c>
      <c r="AY272" s="3">
        <f t="shared" si="69"/>
        <v>0</v>
      </c>
      <c r="AZ272" s="3">
        <f t="shared" si="70"/>
        <v>0</v>
      </c>
      <c r="BA272" s="3">
        <f t="shared" si="71"/>
        <v>11</v>
      </c>
      <c r="BB272" s="3">
        <f t="shared" si="72"/>
        <v>0</v>
      </c>
      <c r="BC272" s="3">
        <f t="shared" si="73"/>
        <v>0</v>
      </c>
      <c r="BD272" s="3">
        <f t="shared" si="74"/>
        <v>0</v>
      </c>
      <c r="BE272" s="3">
        <f t="shared" si="75"/>
        <v>0</v>
      </c>
      <c r="BF272" s="3">
        <f t="shared" si="76"/>
        <v>0</v>
      </c>
      <c r="BG272" s="3">
        <f t="shared" si="77"/>
        <v>0</v>
      </c>
      <c r="BH272" s="3">
        <f t="shared" si="78"/>
        <v>0</v>
      </c>
      <c r="BI272" s="3">
        <f t="shared" si="79"/>
        <v>0</v>
      </c>
    </row>
    <row r="273" spans="1:61" x14ac:dyDescent="0.25">
      <c r="A273" s="29">
        <v>272</v>
      </c>
      <c r="B273" s="3" t="s">
        <v>1171</v>
      </c>
      <c r="C273" s="13" t="s">
        <v>1172</v>
      </c>
      <c r="D273" s="13" t="s">
        <v>1173</v>
      </c>
      <c r="E273" s="13" t="s">
        <v>1174</v>
      </c>
      <c r="F273" s="18" t="s">
        <v>1522</v>
      </c>
      <c r="G273" s="18">
        <v>45964</v>
      </c>
      <c r="H273" s="18">
        <v>46142</v>
      </c>
      <c r="I273" s="13" t="s">
        <v>23</v>
      </c>
      <c r="J273" s="13" t="s">
        <v>24</v>
      </c>
      <c r="K273" s="13" t="s">
        <v>25</v>
      </c>
      <c r="L273" s="13" t="s">
        <v>292</v>
      </c>
      <c r="M273" s="13" t="s">
        <v>1621</v>
      </c>
      <c r="N273" s="4" t="s">
        <v>1681</v>
      </c>
      <c r="O273" s="4" t="s">
        <v>28</v>
      </c>
      <c r="P273" s="1" t="s">
        <v>5</v>
      </c>
      <c r="Q273" s="1" t="s">
        <v>39</v>
      </c>
      <c r="R273" s="1" t="s">
        <v>39</v>
      </c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3">
        <f t="shared" si="64"/>
        <v>2</v>
      </c>
      <c r="AU273" s="3">
        <f t="shared" si="65"/>
        <v>0</v>
      </c>
      <c r="AV273" s="3">
        <f t="shared" si="66"/>
        <v>0</v>
      </c>
      <c r="AW273" s="3">
        <f t="shared" si="67"/>
        <v>0</v>
      </c>
      <c r="AX273" s="3">
        <f t="shared" si="68"/>
        <v>0</v>
      </c>
      <c r="AY273" s="3">
        <f t="shared" si="69"/>
        <v>1</v>
      </c>
      <c r="AZ273" s="3">
        <f t="shared" si="70"/>
        <v>0</v>
      </c>
      <c r="BA273" s="3">
        <f t="shared" si="71"/>
        <v>0</v>
      </c>
      <c r="BB273" s="3">
        <f t="shared" si="72"/>
        <v>0</v>
      </c>
      <c r="BC273" s="3">
        <f t="shared" si="73"/>
        <v>0</v>
      </c>
      <c r="BD273" s="3">
        <f t="shared" si="74"/>
        <v>0</v>
      </c>
      <c r="BE273" s="3">
        <f t="shared" si="75"/>
        <v>0</v>
      </c>
      <c r="BF273" s="3">
        <f t="shared" si="76"/>
        <v>0</v>
      </c>
      <c r="BG273" s="3">
        <f t="shared" si="77"/>
        <v>0</v>
      </c>
      <c r="BH273" s="3">
        <f t="shared" si="78"/>
        <v>0</v>
      </c>
      <c r="BI273" s="3">
        <f t="shared" si="79"/>
        <v>3</v>
      </c>
    </row>
    <row r="274" spans="1:61" x14ac:dyDescent="0.25">
      <c r="A274" s="29">
        <v>273</v>
      </c>
      <c r="B274" s="3" t="s">
        <v>1168</v>
      </c>
      <c r="C274" s="13" t="s">
        <v>1169</v>
      </c>
      <c r="D274" s="13" t="s">
        <v>229</v>
      </c>
      <c r="E274" s="13" t="s">
        <v>1170</v>
      </c>
      <c r="F274" s="18" t="s">
        <v>1542</v>
      </c>
      <c r="G274" s="18">
        <v>45964</v>
      </c>
      <c r="H274" s="18">
        <v>46142</v>
      </c>
      <c r="I274" s="13" t="s">
        <v>23</v>
      </c>
      <c r="J274" s="13" t="s">
        <v>24</v>
      </c>
      <c r="K274" s="13" t="s">
        <v>377</v>
      </c>
      <c r="L274" s="13" t="s">
        <v>68</v>
      </c>
      <c r="M274" s="13" t="s">
        <v>1621</v>
      </c>
      <c r="N274" s="4">
        <v>923992923</v>
      </c>
      <c r="O274" s="4" t="s">
        <v>28</v>
      </c>
      <c r="P274" s="1" t="s">
        <v>39</v>
      </c>
      <c r="Q274" s="1" t="s">
        <v>5</v>
      </c>
      <c r="R274" s="1" t="s">
        <v>5</v>
      </c>
      <c r="S274" s="1" t="s">
        <v>5</v>
      </c>
      <c r="T274" s="1" t="s">
        <v>5</v>
      </c>
      <c r="U274" s="1" t="s">
        <v>5</v>
      </c>
      <c r="V274" s="1" t="s">
        <v>5</v>
      </c>
      <c r="W274" s="1" t="s">
        <v>5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3">
        <f t="shared" si="64"/>
        <v>1</v>
      </c>
      <c r="AU274" s="3">
        <f t="shared" si="65"/>
        <v>0</v>
      </c>
      <c r="AV274" s="3">
        <f t="shared" si="66"/>
        <v>0</v>
      </c>
      <c r="AW274" s="3">
        <f t="shared" si="67"/>
        <v>0</v>
      </c>
      <c r="AX274" s="3">
        <f t="shared" si="68"/>
        <v>0</v>
      </c>
      <c r="AY274" s="3">
        <f t="shared" si="69"/>
        <v>7</v>
      </c>
      <c r="AZ274" s="3">
        <f t="shared" si="70"/>
        <v>0</v>
      </c>
      <c r="BA274" s="3">
        <f t="shared" si="71"/>
        <v>0</v>
      </c>
      <c r="BB274" s="3">
        <f t="shared" si="72"/>
        <v>0</v>
      </c>
      <c r="BC274" s="3">
        <f t="shared" si="73"/>
        <v>0</v>
      </c>
      <c r="BD274" s="3">
        <f t="shared" si="74"/>
        <v>0</v>
      </c>
      <c r="BE274" s="3">
        <f t="shared" si="75"/>
        <v>0</v>
      </c>
      <c r="BF274" s="3">
        <f t="shared" si="76"/>
        <v>0</v>
      </c>
      <c r="BG274" s="3">
        <f t="shared" si="77"/>
        <v>0</v>
      </c>
      <c r="BH274" s="3">
        <f t="shared" si="78"/>
        <v>0</v>
      </c>
      <c r="BI274" s="3">
        <f t="shared" si="79"/>
        <v>8</v>
      </c>
    </row>
    <row r="275" spans="1:61" x14ac:dyDescent="0.25">
      <c r="A275" s="29">
        <v>275</v>
      </c>
      <c r="B275" s="3" t="s">
        <v>954</v>
      </c>
      <c r="C275" s="13" t="s">
        <v>955</v>
      </c>
      <c r="D275" s="13" t="s">
        <v>821</v>
      </c>
      <c r="E275" s="13" t="s">
        <v>956</v>
      </c>
      <c r="F275" s="22" t="s">
        <v>1556</v>
      </c>
      <c r="G275" s="25">
        <v>45964</v>
      </c>
      <c r="H275" s="25">
        <v>46142</v>
      </c>
      <c r="I275" s="22" t="s">
        <v>23</v>
      </c>
      <c r="J275" s="22" t="s">
        <v>24</v>
      </c>
      <c r="K275" s="13" t="s">
        <v>84</v>
      </c>
      <c r="L275" s="13" t="s">
        <v>220</v>
      </c>
      <c r="M275" s="13" t="s">
        <v>1621</v>
      </c>
      <c r="N275" s="4">
        <v>972107858</v>
      </c>
      <c r="O275" s="4" t="s">
        <v>84</v>
      </c>
      <c r="P275" s="1" t="s">
        <v>39</v>
      </c>
      <c r="Q275" s="1" t="s">
        <v>39</v>
      </c>
      <c r="R275" s="1" t="s">
        <v>5</v>
      </c>
      <c r="S275" s="1" t="s">
        <v>5</v>
      </c>
      <c r="T275" s="1" t="s">
        <v>5</v>
      </c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3">
        <f t="shared" si="64"/>
        <v>2</v>
      </c>
      <c r="AU275" s="3">
        <f t="shared" si="65"/>
        <v>0</v>
      </c>
      <c r="AV275" s="3">
        <f t="shared" si="66"/>
        <v>0</v>
      </c>
      <c r="AW275" s="3">
        <f t="shared" si="67"/>
        <v>0</v>
      </c>
      <c r="AX275" s="3">
        <f t="shared" si="68"/>
        <v>0</v>
      </c>
      <c r="AY275" s="3">
        <f t="shared" si="69"/>
        <v>3</v>
      </c>
      <c r="AZ275" s="3">
        <f t="shared" si="70"/>
        <v>0</v>
      </c>
      <c r="BA275" s="3">
        <f t="shared" si="71"/>
        <v>0</v>
      </c>
      <c r="BB275" s="3">
        <f t="shared" si="72"/>
        <v>0</v>
      </c>
      <c r="BC275" s="3">
        <f t="shared" si="73"/>
        <v>0</v>
      </c>
      <c r="BD275" s="3">
        <f t="shared" si="74"/>
        <v>0</v>
      </c>
      <c r="BE275" s="3">
        <f t="shared" si="75"/>
        <v>0</v>
      </c>
      <c r="BF275" s="3">
        <f t="shared" si="76"/>
        <v>0</v>
      </c>
      <c r="BG275" s="3">
        <f t="shared" si="77"/>
        <v>0</v>
      </c>
      <c r="BH275" s="3">
        <f t="shared" si="78"/>
        <v>0</v>
      </c>
      <c r="BI275" s="3">
        <f t="shared" si="79"/>
        <v>5</v>
      </c>
    </row>
    <row r="276" spans="1:61" x14ac:dyDescent="0.25">
      <c r="A276" s="29">
        <v>276</v>
      </c>
      <c r="B276" s="3" t="s">
        <v>1175</v>
      </c>
      <c r="C276" s="13" t="s">
        <v>348</v>
      </c>
      <c r="D276" s="13" t="s">
        <v>135</v>
      </c>
      <c r="E276" s="13" t="s">
        <v>703</v>
      </c>
      <c r="F276" s="18" t="s">
        <v>1545</v>
      </c>
      <c r="G276" s="18">
        <v>45964</v>
      </c>
      <c r="H276" s="18">
        <v>46142</v>
      </c>
      <c r="I276" s="13" t="s">
        <v>23</v>
      </c>
      <c r="J276" s="13" t="s">
        <v>24</v>
      </c>
      <c r="K276" s="13" t="s">
        <v>25</v>
      </c>
      <c r="L276" s="13" t="s">
        <v>68</v>
      </c>
      <c r="M276" s="13" t="s">
        <v>1621</v>
      </c>
      <c r="N276" s="4">
        <v>932932932</v>
      </c>
      <c r="O276" s="4" t="s">
        <v>28</v>
      </c>
      <c r="P276" s="1" t="s">
        <v>5</v>
      </c>
      <c r="Q276" s="1" t="s">
        <v>39</v>
      </c>
      <c r="R276" s="1" t="s">
        <v>39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3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3">
        <f t="shared" si="64"/>
        <v>2</v>
      </c>
      <c r="AU276" s="3">
        <f t="shared" si="65"/>
        <v>0</v>
      </c>
      <c r="AV276" s="3">
        <f t="shared" si="66"/>
        <v>0</v>
      </c>
      <c r="AW276" s="3">
        <f t="shared" si="67"/>
        <v>0</v>
      </c>
      <c r="AX276" s="3">
        <f t="shared" si="68"/>
        <v>0</v>
      </c>
      <c r="AY276" s="3">
        <f t="shared" si="69"/>
        <v>1</v>
      </c>
      <c r="AZ276" s="3">
        <f t="shared" si="70"/>
        <v>0</v>
      </c>
      <c r="BA276" s="3">
        <f t="shared" si="71"/>
        <v>0</v>
      </c>
      <c r="BB276" s="3">
        <f t="shared" si="72"/>
        <v>0</v>
      </c>
      <c r="BC276" s="3">
        <f t="shared" si="73"/>
        <v>0</v>
      </c>
      <c r="BD276" s="3">
        <f t="shared" si="74"/>
        <v>0</v>
      </c>
      <c r="BE276" s="3">
        <f t="shared" si="75"/>
        <v>0</v>
      </c>
      <c r="BF276" s="3">
        <f t="shared" si="76"/>
        <v>0</v>
      </c>
      <c r="BG276" s="3">
        <f t="shared" si="77"/>
        <v>0</v>
      </c>
      <c r="BH276" s="3">
        <f t="shared" si="78"/>
        <v>0</v>
      </c>
      <c r="BI276" s="3">
        <f t="shared" si="79"/>
        <v>3</v>
      </c>
    </row>
    <row r="277" spans="1:61" x14ac:dyDescent="0.25">
      <c r="A277" s="29">
        <v>277</v>
      </c>
      <c r="B277" s="3" t="s">
        <v>1181</v>
      </c>
      <c r="C277" s="13" t="s">
        <v>1182</v>
      </c>
      <c r="D277" s="13" t="s">
        <v>255</v>
      </c>
      <c r="E277" s="13" t="s">
        <v>62</v>
      </c>
      <c r="F277" s="18" t="s">
        <v>34</v>
      </c>
      <c r="G277" s="18">
        <v>45964</v>
      </c>
      <c r="H277" s="18">
        <v>46142</v>
      </c>
      <c r="I277" s="13" t="s">
        <v>23</v>
      </c>
      <c r="J277" s="13" t="s">
        <v>24</v>
      </c>
      <c r="K277" s="13" t="s">
        <v>25</v>
      </c>
      <c r="L277" s="13" t="s">
        <v>292</v>
      </c>
      <c r="M277" s="13" t="s">
        <v>1621</v>
      </c>
      <c r="N277" s="4">
        <v>978856864</v>
      </c>
      <c r="O277" s="4" t="s">
        <v>28</v>
      </c>
      <c r="P277" s="1" t="s">
        <v>5</v>
      </c>
      <c r="Q277" s="1" t="s">
        <v>39</v>
      </c>
      <c r="R277" s="1" t="s">
        <v>39</v>
      </c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3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3">
        <f t="shared" si="64"/>
        <v>2</v>
      </c>
      <c r="AU277" s="3">
        <f t="shared" si="65"/>
        <v>0</v>
      </c>
      <c r="AV277" s="3">
        <f t="shared" si="66"/>
        <v>0</v>
      </c>
      <c r="AW277" s="3">
        <f t="shared" si="67"/>
        <v>0</v>
      </c>
      <c r="AX277" s="3">
        <f t="shared" si="68"/>
        <v>0</v>
      </c>
      <c r="AY277" s="3">
        <f t="shared" si="69"/>
        <v>1</v>
      </c>
      <c r="AZ277" s="3">
        <f t="shared" si="70"/>
        <v>0</v>
      </c>
      <c r="BA277" s="3">
        <f t="shared" si="71"/>
        <v>0</v>
      </c>
      <c r="BB277" s="3">
        <f t="shared" si="72"/>
        <v>0</v>
      </c>
      <c r="BC277" s="3">
        <f t="shared" si="73"/>
        <v>0</v>
      </c>
      <c r="BD277" s="3">
        <f t="shared" si="74"/>
        <v>0</v>
      </c>
      <c r="BE277" s="3">
        <f t="shared" si="75"/>
        <v>0</v>
      </c>
      <c r="BF277" s="3">
        <f t="shared" si="76"/>
        <v>0</v>
      </c>
      <c r="BG277" s="3">
        <f t="shared" si="77"/>
        <v>0</v>
      </c>
      <c r="BH277" s="3">
        <f t="shared" si="78"/>
        <v>0</v>
      </c>
      <c r="BI277" s="3">
        <f t="shared" si="79"/>
        <v>3</v>
      </c>
    </row>
    <row r="278" spans="1:61" x14ac:dyDescent="0.25">
      <c r="A278" s="29">
        <v>278</v>
      </c>
      <c r="B278" s="3" t="s">
        <v>1183</v>
      </c>
      <c r="C278" s="13" t="s">
        <v>53</v>
      </c>
      <c r="D278" s="13" t="s">
        <v>203</v>
      </c>
      <c r="E278" s="13" t="s">
        <v>1184</v>
      </c>
      <c r="F278" s="18" t="s">
        <v>1522</v>
      </c>
      <c r="G278" s="18">
        <v>45964</v>
      </c>
      <c r="H278" s="18">
        <v>46142</v>
      </c>
      <c r="I278" s="13" t="s">
        <v>23</v>
      </c>
      <c r="J278" s="13" t="s">
        <v>24</v>
      </c>
      <c r="K278" s="13" t="s">
        <v>25</v>
      </c>
      <c r="L278" s="13" t="s">
        <v>292</v>
      </c>
      <c r="M278" s="13" t="s">
        <v>1621</v>
      </c>
      <c r="N278" s="4">
        <v>934614772</v>
      </c>
      <c r="O278" s="4" t="s">
        <v>28</v>
      </c>
      <c r="P278" s="1" t="s">
        <v>5</v>
      </c>
      <c r="Q278" s="1" t="s">
        <v>39</v>
      </c>
      <c r="R278" s="1" t="s">
        <v>39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3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3">
        <f t="shared" si="64"/>
        <v>2</v>
      </c>
      <c r="AU278" s="3">
        <f t="shared" si="65"/>
        <v>0</v>
      </c>
      <c r="AV278" s="3">
        <f t="shared" si="66"/>
        <v>0</v>
      </c>
      <c r="AW278" s="3">
        <f t="shared" si="67"/>
        <v>0</v>
      </c>
      <c r="AX278" s="3">
        <f t="shared" si="68"/>
        <v>0</v>
      </c>
      <c r="AY278" s="3">
        <f t="shared" si="69"/>
        <v>1</v>
      </c>
      <c r="AZ278" s="3">
        <f t="shared" si="70"/>
        <v>0</v>
      </c>
      <c r="BA278" s="3">
        <f t="shared" si="71"/>
        <v>0</v>
      </c>
      <c r="BB278" s="3">
        <f t="shared" si="72"/>
        <v>0</v>
      </c>
      <c r="BC278" s="3">
        <f t="shared" si="73"/>
        <v>0</v>
      </c>
      <c r="BD278" s="3">
        <f t="shared" si="74"/>
        <v>0</v>
      </c>
      <c r="BE278" s="3">
        <f t="shared" si="75"/>
        <v>0</v>
      </c>
      <c r="BF278" s="3">
        <f t="shared" si="76"/>
        <v>0</v>
      </c>
      <c r="BG278" s="3">
        <f t="shared" si="77"/>
        <v>0</v>
      </c>
      <c r="BH278" s="3">
        <f t="shared" si="78"/>
        <v>0</v>
      </c>
      <c r="BI278" s="3">
        <f t="shared" si="79"/>
        <v>3</v>
      </c>
    </row>
    <row r="279" spans="1:61" x14ac:dyDescent="0.25">
      <c r="A279" s="29">
        <v>279</v>
      </c>
      <c r="B279" s="3" t="s">
        <v>1185</v>
      </c>
      <c r="C279" s="13" t="s">
        <v>642</v>
      </c>
      <c r="D279" s="13" t="s">
        <v>218</v>
      </c>
      <c r="E279" s="13" t="s">
        <v>1186</v>
      </c>
      <c r="F279" s="18" t="s">
        <v>1522</v>
      </c>
      <c r="G279" s="18">
        <v>45965</v>
      </c>
      <c r="H279" s="18">
        <v>46142</v>
      </c>
      <c r="I279" s="13" t="s">
        <v>23</v>
      </c>
      <c r="J279" s="13" t="s">
        <v>24</v>
      </c>
      <c r="K279" s="13" t="s">
        <v>43</v>
      </c>
      <c r="L279" s="13" t="s">
        <v>216</v>
      </c>
      <c r="M279" s="13" t="s">
        <v>1621</v>
      </c>
      <c r="N279" s="4">
        <v>975270045</v>
      </c>
      <c r="O279" s="4" t="s">
        <v>28</v>
      </c>
      <c r="P279" s="1" t="s">
        <v>29</v>
      </c>
      <c r="Q279" s="1" t="s">
        <v>5</v>
      </c>
      <c r="R279" s="1" t="s">
        <v>5</v>
      </c>
      <c r="S279" s="1" t="s">
        <v>5</v>
      </c>
      <c r="T279" s="1" t="s">
        <v>5</v>
      </c>
      <c r="U279" s="1" t="s">
        <v>5</v>
      </c>
      <c r="V279" s="1" t="s">
        <v>5</v>
      </c>
      <c r="W279" s="1" t="s">
        <v>5</v>
      </c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3"/>
      <c r="AQ279" s="3"/>
      <c r="AR279" s="3"/>
      <c r="AS279" s="3"/>
      <c r="AT279" s="3">
        <f t="shared" si="64"/>
        <v>0</v>
      </c>
      <c r="AU279" s="3">
        <f t="shared" si="65"/>
        <v>1</v>
      </c>
      <c r="AV279" s="3">
        <f t="shared" si="66"/>
        <v>0</v>
      </c>
      <c r="AW279" s="3">
        <f t="shared" si="67"/>
        <v>0</v>
      </c>
      <c r="AX279" s="3">
        <f t="shared" si="68"/>
        <v>0</v>
      </c>
      <c r="AY279" s="3">
        <f t="shared" si="69"/>
        <v>7</v>
      </c>
      <c r="AZ279" s="3">
        <f t="shared" si="70"/>
        <v>0</v>
      </c>
      <c r="BA279" s="3">
        <f t="shared" si="71"/>
        <v>0</v>
      </c>
      <c r="BB279" s="3">
        <f t="shared" si="72"/>
        <v>0</v>
      </c>
      <c r="BC279" s="3">
        <f t="shared" si="73"/>
        <v>0</v>
      </c>
      <c r="BD279" s="3">
        <f t="shared" si="74"/>
        <v>0</v>
      </c>
      <c r="BE279" s="3">
        <f t="shared" si="75"/>
        <v>0</v>
      </c>
      <c r="BF279" s="3">
        <f t="shared" si="76"/>
        <v>0</v>
      </c>
      <c r="BG279" s="3">
        <f t="shared" si="77"/>
        <v>0</v>
      </c>
      <c r="BH279" s="3">
        <f t="shared" si="78"/>
        <v>0</v>
      </c>
      <c r="BI279" s="3">
        <f t="shared" si="79"/>
        <v>8</v>
      </c>
    </row>
    <row r="280" spans="1:61" x14ac:dyDescent="0.25">
      <c r="A280" s="29">
        <v>280</v>
      </c>
      <c r="B280" s="3" t="s">
        <v>1187</v>
      </c>
      <c r="C280" s="13" t="s">
        <v>337</v>
      </c>
      <c r="D280" s="13" t="s">
        <v>632</v>
      </c>
      <c r="E280" s="13" t="s">
        <v>1188</v>
      </c>
      <c r="F280" s="18" t="s">
        <v>1522</v>
      </c>
      <c r="G280" s="18">
        <v>45965</v>
      </c>
      <c r="H280" s="18">
        <v>46142</v>
      </c>
      <c r="I280" s="13" t="s">
        <v>23</v>
      </c>
      <c r="J280" s="13" t="s">
        <v>24</v>
      </c>
      <c r="K280" s="13" t="s">
        <v>56</v>
      </c>
      <c r="L280" s="13" t="s">
        <v>216</v>
      </c>
      <c r="M280" s="13" t="s">
        <v>1621</v>
      </c>
      <c r="N280" s="4">
        <v>940645414</v>
      </c>
      <c r="O280" s="4" t="s">
        <v>28</v>
      </c>
      <c r="P280" s="1" t="s">
        <v>39</v>
      </c>
      <c r="Q280" s="1" t="s">
        <v>5</v>
      </c>
      <c r="R280" s="1" t="s">
        <v>5</v>
      </c>
      <c r="S280" s="1" t="s">
        <v>5</v>
      </c>
      <c r="T280" s="1" t="s">
        <v>5</v>
      </c>
      <c r="U280" s="1" t="s">
        <v>5</v>
      </c>
      <c r="V280" s="1" t="s">
        <v>5</v>
      </c>
      <c r="W280" s="1" t="s">
        <v>5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3">
        <f t="shared" si="64"/>
        <v>1</v>
      </c>
      <c r="AU280" s="3">
        <f t="shared" si="65"/>
        <v>0</v>
      </c>
      <c r="AV280" s="3">
        <f t="shared" si="66"/>
        <v>0</v>
      </c>
      <c r="AW280" s="3">
        <f t="shared" si="67"/>
        <v>0</v>
      </c>
      <c r="AX280" s="3">
        <f t="shared" si="68"/>
        <v>0</v>
      </c>
      <c r="AY280" s="3">
        <f t="shared" si="69"/>
        <v>7</v>
      </c>
      <c r="AZ280" s="3">
        <f t="shared" si="70"/>
        <v>0</v>
      </c>
      <c r="BA280" s="3">
        <f t="shared" si="71"/>
        <v>0</v>
      </c>
      <c r="BB280" s="3">
        <f t="shared" si="72"/>
        <v>0</v>
      </c>
      <c r="BC280" s="3">
        <f t="shared" si="73"/>
        <v>0</v>
      </c>
      <c r="BD280" s="3">
        <f t="shared" si="74"/>
        <v>0</v>
      </c>
      <c r="BE280" s="3">
        <f t="shared" si="75"/>
        <v>0</v>
      </c>
      <c r="BF280" s="3">
        <f t="shared" si="76"/>
        <v>0</v>
      </c>
      <c r="BG280" s="3">
        <f t="shared" si="77"/>
        <v>0</v>
      </c>
      <c r="BH280" s="3">
        <f t="shared" si="78"/>
        <v>0</v>
      </c>
      <c r="BI280" s="3">
        <f t="shared" si="79"/>
        <v>8</v>
      </c>
    </row>
    <row r="281" spans="1:61" x14ac:dyDescent="0.25">
      <c r="A281" s="29">
        <v>281</v>
      </c>
      <c r="B281" s="3" t="s">
        <v>1189</v>
      </c>
      <c r="C281" s="13" t="s">
        <v>135</v>
      </c>
      <c r="D281" s="13" t="s">
        <v>147</v>
      </c>
      <c r="E281" s="13" t="s">
        <v>1190</v>
      </c>
      <c r="F281" s="18" t="s">
        <v>1522</v>
      </c>
      <c r="G281" s="18">
        <v>45965</v>
      </c>
      <c r="H281" s="18">
        <v>46142</v>
      </c>
      <c r="I281" s="13" t="s">
        <v>23</v>
      </c>
      <c r="J281" s="13" t="s">
        <v>24</v>
      </c>
      <c r="K281" s="13" t="s">
        <v>43</v>
      </c>
      <c r="L281" s="13" t="s">
        <v>216</v>
      </c>
      <c r="M281" s="13" t="s">
        <v>1621</v>
      </c>
      <c r="N281" s="4" t="s">
        <v>1682</v>
      </c>
      <c r="O281" s="4" t="s">
        <v>28</v>
      </c>
      <c r="P281" s="1" t="s">
        <v>29</v>
      </c>
      <c r="Q281" s="1" t="s">
        <v>5</v>
      </c>
      <c r="R281" s="1" t="s">
        <v>5</v>
      </c>
      <c r="S281" s="1" t="s">
        <v>5</v>
      </c>
      <c r="T281" s="1" t="s">
        <v>5</v>
      </c>
      <c r="U281" s="1" t="s">
        <v>5</v>
      </c>
      <c r="V281" s="1" t="s">
        <v>5</v>
      </c>
      <c r="W281" s="1" t="s">
        <v>5</v>
      </c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3">
        <f t="shared" si="64"/>
        <v>0</v>
      </c>
      <c r="AU281" s="3">
        <f t="shared" si="65"/>
        <v>1</v>
      </c>
      <c r="AV281" s="3">
        <f t="shared" si="66"/>
        <v>0</v>
      </c>
      <c r="AW281" s="3">
        <f t="shared" si="67"/>
        <v>0</v>
      </c>
      <c r="AX281" s="3">
        <f t="shared" si="68"/>
        <v>0</v>
      </c>
      <c r="AY281" s="3">
        <f t="shared" si="69"/>
        <v>7</v>
      </c>
      <c r="AZ281" s="3">
        <f t="shared" si="70"/>
        <v>0</v>
      </c>
      <c r="BA281" s="3">
        <f t="shared" si="71"/>
        <v>0</v>
      </c>
      <c r="BB281" s="3">
        <f t="shared" si="72"/>
        <v>0</v>
      </c>
      <c r="BC281" s="3">
        <f t="shared" si="73"/>
        <v>0</v>
      </c>
      <c r="BD281" s="3">
        <f t="shared" si="74"/>
        <v>0</v>
      </c>
      <c r="BE281" s="3">
        <f t="shared" si="75"/>
        <v>0</v>
      </c>
      <c r="BF281" s="3">
        <f t="shared" si="76"/>
        <v>0</v>
      </c>
      <c r="BG281" s="3">
        <f t="shared" si="77"/>
        <v>0</v>
      </c>
      <c r="BH281" s="3">
        <f t="shared" si="78"/>
        <v>0</v>
      </c>
      <c r="BI281" s="3">
        <f t="shared" si="79"/>
        <v>8</v>
      </c>
    </row>
    <row r="282" spans="1:61" x14ac:dyDescent="0.25">
      <c r="A282" s="29">
        <v>282</v>
      </c>
      <c r="B282" s="3" t="s">
        <v>1191</v>
      </c>
      <c r="C282" s="13" t="s">
        <v>734</v>
      </c>
      <c r="D282" s="13" t="s">
        <v>1192</v>
      </c>
      <c r="E282" s="13" t="s">
        <v>1193</v>
      </c>
      <c r="F282" s="18" t="s">
        <v>34</v>
      </c>
      <c r="G282" s="18">
        <v>45965</v>
      </c>
      <c r="H282" s="18">
        <v>46142</v>
      </c>
      <c r="I282" s="13" t="s">
        <v>23</v>
      </c>
      <c r="J282" s="13" t="s">
        <v>24</v>
      </c>
      <c r="K282" s="13" t="s">
        <v>43</v>
      </c>
      <c r="L282" s="13" t="s">
        <v>216</v>
      </c>
      <c r="M282" s="13" t="s">
        <v>1621</v>
      </c>
      <c r="N282" s="4" t="s">
        <v>1685</v>
      </c>
      <c r="O282" s="4" t="s">
        <v>28</v>
      </c>
      <c r="P282" s="1" t="s">
        <v>29</v>
      </c>
      <c r="Q282" s="1" t="s">
        <v>5</v>
      </c>
      <c r="R282" s="1" t="s">
        <v>5</v>
      </c>
      <c r="S282" s="1" t="s">
        <v>5</v>
      </c>
      <c r="T282" s="1" t="s">
        <v>5</v>
      </c>
      <c r="U282" s="1" t="s">
        <v>5</v>
      </c>
      <c r="V282" s="1" t="s">
        <v>5</v>
      </c>
      <c r="W282" s="1" t="s">
        <v>5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3">
        <f t="shared" si="64"/>
        <v>0</v>
      </c>
      <c r="AU282" s="3">
        <f t="shared" si="65"/>
        <v>1</v>
      </c>
      <c r="AV282" s="3">
        <f t="shared" si="66"/>
        <v>0</v>
      </c>
      <c r="AW282" s="3">
        <f t="shared" si="67"/>
        <v>0</v>
      </c>
      <c r="AX282" s="3">
        <f t="shared" si="68"/>
        <v>0</v>
      </c>
      <c r="AY282" s="3">
        <f t="shared" si="69"/>
        <v>7</v>
      </c>
      <c r="AZ282" s="3">
        <f t="shared" si="70"/>
        <v>0</v>
      </c>
      <c r="BA282" s="3">
        <f t="shared" si="71"/>
        <v>0</v>
      </c>
      <c r="BB282" s="3">
        <f t="shared" si="72"/>
        <v>0</v>
      </c>
      <c r="BC282" s="3">
        <f t="shared" si="73"/>
        <v>0</v>
      </c>
      <c r="BD282" s="3">
        <f t="shared" si="74"/>
        <v>0</v>
      </c>
      <c r="BE282" s="3">
        <f t="shared" si="75"/>
        <v>0</v>
      </c>
      <c r="BF282" s="3">
        <f t="shared" si="76"/>
        <v>0</v>
      </c>
      <c r="BG282" s="3">
        <f t="shared" si="77"/>
        <v>0</v>
      </c>
      <c r="BH282" s="3">
        <f t="shared" si="78"/>
        <v>0</v>
      </c>
      <c r="BI282" s="3">
        <f t="shared" si="79"/>
        <v>8</v>
      </c>
    </row>
    <row r="283" spans="1:61" x14ac:dyDescent="0.25">
      <c r="A283" s="29">
        <v>285</v>
      </c>
      <c r="B283" s="3" t="s">
        <v>876</v>
      </c>
      <c r="C283" s="13" t="s">
        <v>877</v>
      </c>
      <c r="D283" s="13" t="s">
        <v>157</v>
      </c>
      <c r="E283" s="13" t="s">
        <v>878</v>
      </c>
      <c r="F283" s="22" t="s">
        <v>879</v>
      </c>
      <c r="G283" s="25">
        <v>45965</v>
      </c>
      <c r="H283" s="25">
        <v>46142</v>
      </c>
      <c r="I283" s="22" t="s">
        <v>23</v>
      </c>
      <c r="J283" s="22" t="s">
        <v>24</v>
      </c>
      <c r="K283" s="13" t="s">
        <v>84</v>
      </c>
      <c r="L283" s="13" t="s">
        <v>85</v>
      </c>
      <c r="M283" s="13" t="s">
        <v>1621</v>
      </c>
      <c r="N283" s="4">
        <v>997519800</v>
      </c>
      <c r="O283" s="4" t="s">
        <v>84</v>
      </c>
      <c r="P283" s="1" t="s">
        <v>39</v>
      </c>
      <c r="Q283" s="1" t="s">
        <v>510</v>
      </c>
      <c r="R283" s="1" t="s">
        <v>5</v>
      </c>
      <c r="S283" s="1" t="s">
        <v>5</v>
      </c>
      <c r="T283" s="1" t="s">
        <v>5</v>
      </c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3">
        <f t="shared" si="64"/>
        <v>1</v>
      </c>
      <c r="AU283" s="3">
        <f t="shared" si="65"/>
        <v>0</v>
      </c>
      <c r="AV283" s="3">
        <f t="shared" si="66"/>
        <v>0</v>
      </c>
      <c r="AW283" s="3">
        <f t="shared" si="67"/>
        <v>1</v>
      </c>
      <c r="AX283" s="3">
        <f t="shared" si="68"/>
        <v>0</v>
      </c>
      <c r="AY283" s="3">
        <f t="shared" si="69"/>
        <v>3</v>
      </c>
      <c r="AZ283" s="3">
        <f t="shared" si="70"/>
        <v>0</v>
      </c>
      <c r="BA283" s="3">
        <f t="shared" si="71"/>
        <v>0</v>
      </c>
      <c r="BB283" s="3">
        <f t="shared" si="72"/>
        <v>0</v>
      </c>
      <c r="BC283" s="3">
        <f t="shared" si="73"/>
        <v>0</v>
      </c>
      <c r="BD283" s="3">
        <f t="shared" si="74"/>
        <v>0</v>
      </c>
      <c r="BE283" s="3">
        <f t="shared" si="75"/>
        <v>0</v>
      </c>
      <c r="BF283" s="3">
        <f t="shared" si="76"/>
        <v>0</v>
      </c>
      <c r="BG283" s="3">
        <f t="shared" si="77"/>
        <v>0</v>
      </c>
      <c r="BH283" s="3">
        <f t="shared" si="78"/>
        <v>0</v>
      </c>
      <c r="BI283" s="3">
        <f t="shared" si="79"/>
        <v>5</v>
      </c>
    </row>
    <row r="284" spans="1:61" x14ac:dyDescent="0.25">
      <c r="A284" s="29">
        <v>284</v>
      </c>
      <c r="B284" s="3" t="s">
        <v>1198</v>
      </c>
      <c r="C284" s="13" t="s">
        <v>1199</v>
      </c>
      <c r="D284" s="13" t="s">
        <v>1200</v>
      </c>
      <c r="E284" s="13" t="s">
        <v>741</v>
      </c>
      <c r="F284" s="18" t="s">
        <v>138</v>
      </c>
      <c r="G284" s="18">
        <v>45965</v>
      </c>
      <c r="H284" s="18">
        <v>46142</v>
      </c>
      <c r="I284" s="13" t="s">
        <v>23</v>
      </c>
      <c r="J284" s="13" t="s">
        <v>24</v>
      </c>
      <c r="K284" s="13" t="s">
        <v>43</v>
      </c>
      <c r="L284" s="13" t="s">
        <v>216</v>
      </c>
      <c r="M284" s="13" t="s">
        <v>1621</v>
      </c>
      <c r="N284" s="4">
        <v>965321046</v>
      </c>
      <c r="O284" s="4" t="s">
        <v>28</v>
      </c>
      <c r="P284" s="1" t="s">
        <v>29</v>
      </c>
      <c r="Q284" s="1" t="s">
        <v>5</v>
      </c>
      <c r="R284" s="1" t="s">
        <v>5</v>
      </c>
      <c r="S284" s="1" t="s">
        <v>5</v>
      </c>
      <c r="T284" s="1" t="s">
        <v>5</v>
      </c>
      <c r="U284" s="1" t="s">
        <v>5</v>
      </c>
      <c r="V284" s="1" t="s">
        <v>5</v>
      </c>
      <c r="W284" s="1" t="s">
        <v>5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3">
        <f t="shared" si="64"/>
        <v>0</v>
      </c>
      <c r="AU284" s="3">
        <f t="shared" si="65"/>
        <v>1</v>
      </c>
      <c r="AV284" s="3">
        <f t="shared" si="66"/>
        <v>0</v>
      </c>
      <c r="AW284" s="3">
        <f t="shared" si="67"/>
        <v>0</v>
      </c>
      <c r="AX284" s="3">
        <f t="shared" si="68"/>
        <v>0</v>
      </c>
      <c r="AY284" s="3">
        <f t="shared" si="69"/>
        <v>7</v>
      </c>
      <c r="AZ284" s="3">
        <f t="shared" si="70"/>
        <v>0</v>
      </c>
      <c r="BA284" s="3">
        <f t="shared" si="71"/>
        <v>0</v>
      </c>
      <c r="BB284" s="3">
        <f t="shared" si="72"/>
        <v>0</v>
      </c>
      <c r="BC284" s="3">
        <f t="shared" si="73"/>
        <v>0</v>
      </c>
      <c r="BD284" s="3">
        <f t="shared" si="74"/>
        <v>0</v>
      </c>
      <c r="BE284" s="3">
        <f t="shared" si="75"/>
        <v>0</v>
      </c>
      <c r="BF284" s="3">
        <f t="shared" si="76"/>
        <v>0</v>
      </c>
      <c r="BG284" s="3">
        <f t="shared" si="77"/>
        <v>0</v>
      </c>
      <c r="BH284" s="3">
        <f t="shared" si="78"/>
        <v>0</v>
      </c>
      <c r="BI284" s="3">
        <f t="shared" si="79"/>
        <v>8</v>
      </c>
    </row>
    <row r="285" spans="1:61" x14ac:dyDescent="0.25">
      <c r="A285" s="29">
        <v>286</v>
      </c>
      <c r="B285" s="3" t="s">
        <v>1201</v>
      </c>
      <c r="C285" s="13" t="s">
        <v>268</v>
      </c>
      <c r="D285" s="13" t="s">
        <v>53</v>
      </c>
      <c r="E285" s="13" t="s">
        <v>569</v>
      </c>
      <c r="F285" s="18" t="s">
        <v>67</v>
      </c>
      <c r="G285" s="18">
        <v>45965</v>
      </c>
      <c r="H285" s="18">
        <v>46142</v>
      </c>
      <c r="I285" s="13" t="s">
        <v>23</v>
      </c>
      <c r="J285" s="13" t="s">
        <v>24</v>
      </c>
      <c r="K285" s="13" t="s">
        <v>25</v>
      </c>
      <c r="L285" s="13" t="s">
        <v>292</v>
      </c>
      <c r="M285" s="13" t="s">
        <v>1621</v>
      </c>
      <c r="N285" s="4">
        <v>977442238</v>
      </c>
      <c r="O285" s="4" t="s">
        <v>28</v>
      </c>
      <c r="P285" s="1" t="s">
        <v>5</v>
      </c>
      <c r="Q285" s="1" t="s">
        <v>39</v>
      </c>
      <c r="R285" s="1" t="s">
        <v>39</v>
      </c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3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3">
        <f t="shared" si="64"/>
        <v>2</v>
      </c>
      <c r="AU285" s="3">
        <f t="shared" si="65"/>
        <v>0</v>
      </c>
      <c r="AV285" s="3">
        <f t="shared" si="66"/>
        <v>0</v>
      </c>
      <c r="AW285" s="3">
        <f t="shared" si="67"/>
        <v>0</v>
      </c>
      <c r="AX285" s="3">
        <f t="shared" si="68"/>
        <v>0</v>
      </c>
      <c r="AY285" s="3">
        <f t="shared" si="69"/>
        <v>1</v>
      </c>
      <c r="AZ285" s="3">
        <f t="shared" si="70"/>
        <v>0</v>
      </c>
      <c r="BA285" s="3">
        <f t="shared" si="71"/>
        <v>0</v>
      </c>
      <c r="BB285" s="3">
        <f t="shared" si="72"/>
        <v>0</v>
      </c>
      <c r="BC285" s="3">
        <f t="shared" si="73"/>
        <v>0</v>
      </c>
      <c r="BD285" s="3">
        <f t="shared" si="74"/>
        <v>0</v>
      </c>
      <c r="BE285" s="3">
        <f t="shared" si="75"/>
        <v>0</v>
      </c>
      <c r="BF285" s="3">
        <f t="shared" si="76"/>
        <v>0</v>
      </c>
      <c r="BG285" s="3">
        <f t="shared" si="77"/>
        <v>0</v>
      </c>
      <c r="BH285" s="3">
        <f t="shared" si="78"/>
        <v>0</v>
      </c>
      <c r="BI285" s="3">
        <f t="shared" si="79"/>
        <v>3</v>
      </c>
    </row>
    <row r="286" spans="1:61" x14ac:dyDescent="0.25">
      <c r="A286" s="29">
        <v>287</v>
      </c>
      <c r="B286" s="3" t="s">
        <v>1205</v>
      </c>
      <c r="C286" s="13" t="s">
        <v>1206</v>
      </c>
      <c r="D286" s="13" t="s">
        <v>618</v>
      </c>
      <c r="E286" s="13" t="s">
        <v>1207</v>
      </c>
      <c r="F286" s="18" t="s">
        <v>138</v>
      </c>
      <c r="G286" s="18">
        <v>45971</v>
      </c>
      <c r="H286" s="18">
        <v>46142</v>
      </c>
      <c r="I286" s="13" t="s">
        <v>23</v>
      </c>
      <c r="J286" s="13" t="s">
        <v>24</v>
      </c>
      <c r="K286" s="13" t="s">
        <v>25</v>
      </c>
      <c r="L286" s="13" t="s">
        <v>292</v>
      </c>
      <c r="M286" s="13" t="s">
        <v>1621</v>
      </c>
      <c r="N286" s="4">
        <v>989886277</v>
      </c>
      <c r="O286" s="4" t="s">
        <v>28</v>
      </c>
      <c r="P286" s="1" t="s">
        <v>5</v>
      </c>
      <c r="Q286" s="1" t="s">
        <v>39</v>
      </c>
      <c r="R286" s="1" t="s">
        <v>39</v>
      </c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3">
        <f t="shared" si="64"/>
        <v>2</v>
      </c>
      <c r="AU286" s="3">
        <f t="shared" si="65"/>
        <v>0</v>
      </c>
      <c r="AV286" s="3">
        <f t="shared" si="66"/>
        <v>0</v>
      </c>
      <c r="AW286" s="3">
        <f t="shared" si="67"/>
        <v>0</v>
      </c>
      <c r="AX286" s="3">
        <f t="shared" si="68"/>
        <v>0</v>
      </c>
      <c r="AY286" s="3">
        <f t="shared" si="69"/>
        <v>1</v>
      </c>
      <c r="AZ286" s="3">
        <f t="shared" si="70"/>
        <v>0</v>
      </c>
      <c r="BA286" s="3">
        <f t="shared" si="71"/>
        <v>0</v>
      </c>
      <c r="BB286" s="3">
        <f t="shared" si="72"/>
        <v>0</v>
      </c>
      <c r="BC286" s="3">
        <f t="shared" si="73"/>
        <v>0</v>
      </c>
      <c r="BD286" s="3">
        <f t="shared" si="74"/>
        <v>0</v>
      </c>
      <c r="BE286" s="3">
        <f t="shared" si="75"/>
        <v>0</v>
      </c>
      <c r="BF286" s="3">
        <f t="shared" si="76"/>
        <v>0</v>
      </c>
      <c r="BG286" s="3">
        <f t="shared" si="77"/>
        <v>0</v>
      </c>
      <c r="BH286" s="3">
        <f t="shared" si="78"/>
        <v>0</v>
      </c>
      <c r="BI286" s="3">
        <f t="shared" si="79"/>
        <v>3</v>
      </c>
    </row>
    <row r="287" spans="1:61" x14ac:dyDescent="0.25">
      <c r="A287" s="29">
        <v>288</v>
      </c>
      <c r="B287" s="3" t="s">
        <v>1202</v>
      </c>
      <c r="C287" s="13" t="s">
        <v>1203</v>
      </c>
      <c r="D287" s="13" t="s">
        <v>338</v>
      </c>
      <c r="E287" s="13" t="s">
        <v>1204</v>
      </c>
      <c r="F287" s="18" t="s">
        <v>1522</v>
      </c>
      <c r="G287" s="18">
        <v>45971</v>
      </c>
      <c r="H287" s="18">
        <v>46142</v>
      </c>
      <c r="I287" s="13" t="s">
        <v>23</v>
      </c>
      <c r="J287" s="13" t="s">
        <v>24</v>
      </c>
      <c r="K287" s="13" t="s">
        <v>56</v>
      </c>
      <c r="L287" s="13" t="s">
        <v>216</v>
      </c>
      <c r="M287" s="13" t="s">
        <v>1621</v>
      </c>
      <c r="N287" s="4">
        <v>997102102</v>
      </c>
      <c r="O287" s="4" t="s">
        <v>28</v>
      </c>
      <c r="P287" s="1" t="s">
        <v>39</v>
      </c>
      <c r="Q287" s="1" t="s">
        <v>5</v>
      </c>
      <c r="R287" s="1" t="s">
        <v>5</v>
      </c>
      <c r="S287" s="1" t="s">
        <v>5</v>
      </c>
      <c r="T287" s="1" t="s">
        <v>5</v>
      </c>
      <c r="U287" s="1" t="s">
        <v>5</v>
      </c>
      <c r="V287" s="1" t="s">
        <v>5</v>
      </c>
      <c r="W287" s="1" t="s">
        <v>5</v>
      </c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3">
        <f t="shared" si="64"/>
        <v>1</v>
      </c>
      <c r="AU287" s="3">
        <f t="shared" si="65"/>
        <v>0</v>
      </c>
      <c r="AV287" s="3">
        <f t="shared" si="66"/>
        <v>0</v>
      </c>
      <c r="AW287" s="3">
        <f t="shared" si="67"/>
        <v>0</v>
      </c>
      <c r="AX287" s="3">
        <f t="shared" si="68"/>
        <v>0</v>
      </c>
      <c r="AY287" s="3">
        <f t="shared" si="69"/>
        <v>7</v>
      </c>
      <c r="AZ287" s="3">
        <f t="shared" si="70"/>
        <v>0</v>
      </c>
      <c r="BA287" s="3">
        <f t="shared" si="71"/>
        <v>0</v>
      </c>
      <c r="BB287" s="3">
        <f t="shared" si="72"/>
        <v>0</v>
      </c>
      <c r="BC287" s="3">
        <f t="shared" si="73"/>
        <v>0</v>
      </c>
      <c r="BD287" s="3">
        <f t="shared" si="74"/>
        <v>0</v>
      </c>
      <c r="BE287" s="3">
        <f t="shared" si="75"/>
        <v>0</v>
      </c>
      <c r="BF287" s="3">
        <f t="shared" si="76"/>
        <v>0</v>
      </c>
      <c r="BG287" s="3">
        <f t="shared" si="77"/>
        <v>0</v>
      </c>
      <c r="BH287" s="3">
        <f t="shared" si="78"/>
        <v>0</v>
      </c>
      <c r="BI287" s="3">
        <f t="shared" si="79"/>
        <v>8</v>
      </c>
    </row>
    <row r="288" spans="1:61" x14ac:dyDescent="0.25">
      <c r="A288" s="29">
        <v>289</v>
      </c>
      <c r="B288" s="3" t="s">
        <v>1208</v>
      </c>
      <c r="C288" s="13" t="s">
        <v>776</v>
      </c>
      <c r="D288" s="13" t="s">
        <v>53</v>
      </c>
      <c r="E288" s="13" t="s">
        <v>1209</v>
      </c>
      <c r="F288" s="18" t="s">
        <v>149</v>
      </c>
      <c r="G288" s="18">
        <v>45971</v>
      </c>
      <c r="H288" s="18">
        <v>46142</v>
      </c>
      <c r="I288" s="13" t="s">
        <v>23</v>
      </c>
      <c r="J288" s="13" t="s">
        <v>24</v>
      </c>
      <c r="K288" s="13" t="s">
        <v>43</v>
      </c>
      <c r="L288" s="13" t="s">
        <v>150</v>
      </c>
      <c r="M288" s="13" t="s">
        <v>1621</v>
      </c>
      <c r="N288" s="4">
        <v>999707147</v>
      </c>
      <c r="O288" s="4" t="s">
        <v>28</v>
      </c>
      <c r="P288" s="1" t="s">
        <v>29</v>
      </c>
      <c r="Q288" s="1" t="s">
        <v>5</v>
      </c>
      <c r="R288" s="1" t="s">
        <v>5</v>
      </c>
      <c r="S288" s="1" t="s">
        <v>5</v>
      </c>
      <c r="T288" s="1" t="s">
        <v>5</v>
      </c>
      <c r="U288" s="1" t="s">
        <v>5</v>
      </c>
      <c r="V288" s="1" t="s">
        <v>5</v>
      </c>
      <c r="W288" s="1" t="s">
        <v>5</v>
      </c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3">
        <f t="shared" si="64"/>
        <v>0</v>
      </c>
      <c r="AU288" s="3">
        <f t="shared" si="65"/>
        <v>1</v>
      </c>
      <c r="AV288" s="3">
        <f t="shared" si="66"/>
        <v>0</v>
      </c>
      <c r="AW288" s="3">
        <f t="shared" si="67"/>
        <v>0</v>
      </c>
      <c r="AX288" s="3">
        <f t="shared" si="68"/>
        <v>0</v>
      </c>
      <c r="AY288" s="3">
        <f t="shared" si="69"/>
        <v>7</v>
      </c>
      <c r="AZ288" s="3">
        <f t="shared" si="70"/>
        <v>0</v>
      </c>
      <c r="BA288" s="3">
        <f t="shared" si="71"/>
        <v>0</v>
      </c>
      <c r="BB288" s="3">
        <f t="shared" si="72"/>
        <v>0</v>
      </c>
      <c r="BC288" s="3">
        <f t="shared" si="73"/>
        <v>0</v>
      </c>
      <c r="BD288" s="3">
        <f t="shared" si="74"/>
        <v>0</v>
      </c>
      <c r="BE288" s="3">
        <f t="shared" si="75"/>
        <v>0</v>
      </c>
      <c r="BF288" s="3">
        <f t="shared" si="76"/>
        <v>0</v>
      </c>
      <c r="BG288" s="3">
        <f t="shared" si="77"/>
        <v>0</v>
      </c>
      <c r="BH288" s="3">
        <f t="shared" si="78"/>
        <v>0</v>
      </c>
      <c r="BI288" s="3">
        <f t="shared" si="79"/>
        <v>8</v>
      </c>
    </row>
    <row r="289" spans="1:126" x14ac:dyDescent="0.25">
      <c r="A289" s="29">
        <v>291</v>
      </c>
      <c r="B289" s="3" t="s">
        <v>1212</v>
      </c>
      <c r="C289" s="13" t="s">
        <v>1213</v>
      </c>
      <c r="D289" s="13" t="s">
        <v>240</v>
      </c>
      <c r="E289" s="13" t="s">
        <v>1214</v>
      </c>
      <c r="F289" s="18" t="s">
        <v>1522</v>
      </c>
      <c r="G289" s="18">
        <v>45971</v>
      </c>
      <c r="H289" s="18">
        <v>46142</v>
      </c>
      <c r="I289" s="13" t="s">
        <v>23</v>
      </c>
      <c r="J289" s="13" t="s">
        <v>24</v>
      </c>
      <c r="K289" s="13" t="s">
        <v>43</v>
      </c>
      <c r="L289" s="13" t="s">
        <v>216</v>
      </c>
      <c r="M289" s="13" t="s">
        <v>1621</v>
      </c>
      <c r="N289" s="4">
        <v>997154110</v>
      </c>
      <c r="O289" s="4" t="s">
        <v>28</v>
      </c>
      <c r="P289" s="1" t="s">
        <v>29</v>
      </c>
      <c r="Q289" s="1" t="s">
        <v>5</v>
      </c>
      <c r="R289" s="1" t="s">
        <v>5</v>
      </c>
      <c r="S289" s="1" t="s">
        <v>5</v>
      </c>
      <c r="T289" s="1" t="s">
        <v>5</v>
      </c>
      <c r="U289" s="1" t="s">
        <v>5</v>
      </c>
      <c r="V289" s="1" t="s">
        <v>5</v>
      </c>
      <c r="W289" s="1" t="s">
        <v>5</v>
      </c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3">
        <f t="shared" si="64"/>
        <v>0</v>
      </c>
      <c r="AU289" s="3">
        <f t="shared" si="65"/>
        <v>1</v>
      </c>
      <c r="AV289" s="3">
        <f t="shared" si="66"/>
        <v>0</v>
      </c>
      <c r="AW289" s="3">
        <f t="shared" si="67"/>
        <v>0</v>
      </c>
      <c r="AX289" s="3">
        <f t="shared" si="68"/>
        <v>0</v>
      </c>
      <c r="AY289" s="3">
        <f t="shared" si="69"/>
        <v>7</v>
      </c>
      <c r="AZ289" s="3">
        <f t="shared" si="70"/>
        <v>0</v>
      </c>
      <c r="BA289" s="3">
        <f t="shared" si="71"/>
        <v>0</v>
      </c>
      <c r="BB289" s="3">
        <f t="shared" si="72"/>
        <v>0</v>
      </c>
      <c r="BC289" s="3">
        <f t="shared" si="73"/>
        <v>0</v>
      </c>
      <c r="BD289" s="3">
        <f t="shared" si="74"/>
        <v>0</v>
      </c>
      <c r="BE289" s="3">
        <f t="shared" si="75"/>
        <v>0</v>
      </c>
      <c r="BF289" s="3">
        <f t="shared" si="76"/>
        <v>0</v>
      </c>
      <c r="BG289" s="3">
        <f t="shared" si="77"/>
        <v>0</v>
      </c>
      <c r="BH289" s="3">
        <f t="shared" si="78"/>
        <v>0</v>
      </c>
      <c r="BI289" s="3">
        <f t="shared" si="79"/>
        <v>8</v>
      </c>
    </row>
    <row r="290" spans="1:126" x14ac:dyDescent="0.25">
      <c r="A290" s="29">
        <v>290</v>
      </c>
      <c r="B290" s="3" t="s">
        <v>1210</v>
      </c>
      <c r="C290" s="13" t="s">
        <v>725</v>
      </c>
      <c r="D290" s="13" t="s">
        <v>291</v>
      </c>
      <c r="E290" s="13" t="s">
        <v>1211</v>
      </c>
      <c r="F290" s="18" t="s">
        <v>1522</v>
      </c>
      <c r="G290" s="18">
        <v>45971</v>
      </c>
      <c r="H290" s="18">
        <v>46142</v>
      </c>
      <c r="I290" s="13" t="s">
        <v>23</v>
      </c>
      <c r="J290" s="13" t="s">
        <v>24</v>
      </c>
      <c r="K290" s="13" t="s">
        <v>56</v>
      </c>
      <c r="L290" s="13" t="s">
        <v>216</v>
      </c>
      <c r="M290" s="13" t="s">
        <v>1621</v>
      </c>
      <c r="N290" s="4">
        <v>931999945</v>
      </c>
      <c r="O290" s="4" t="s">
        <v>28</v>
      </c>
      <c r="P290" s="1" t="s">
        <v>39</v>
      </c>
      <c r="Q290" s="1" t="s">
        <v>5</v>
      </c>
      <c r="R290" s="1" t="s">
        <v>5</v>
      </c>
      <c r="S290" s="1" t="s">
        <v>5</v>
      </c>
      <c r="T290" s="1" t="s">
        <v>5</v>
      </c>
      <c r="U290" s="1" t="s">
        <v>5</v>
      </c>
      <c r="V290" s="1" t="s">
        <v>5</v>
      </c>
      <c r="W290" s="1" t="s">
        <v>5</v>
      </c>
      <c r="X290" s="1"/>
      <c r="Y290" s="1"/>
      <c r="Z290" s="1"/>
      <c r="AA290" s="1"/>
      <c r="AB290" s="1"/>
      <c r="AC290" s="1"/>
      <c r="AD290" s="1"/>
      <c r="AE290" s="1"/>
      <c r="AF290" s="1"/>
      <c r="AG290" s="3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3">
        <f t="shared" si="64"/>
        <v>1</v>
      </c>
      <c r="AU290" s="3">
        <f t="shared" si="65"/>
        <v>0</v>
      </c>
      <c r="AV290" s="3">
        <f t="shared" si="66"/>
        <v>0</v>
      </c>
      <c r="AW290" s="3">
        <f t="shared" si="67"/>
        <v>0</v>
      </c>
      <c r="AX290" s="3">
        <f t="shared" si="68"/>
        <v>0</v>
      </c>
      <c r="AY290" s="3">
        <f t="shared" si="69"/>
        <v>7</v>
      </c>
      <c r="AZ290" s="3">
        <f t="shared" si="70"/>
        <v>0</v>
      </c>
      <c r="BA290" s="3">
        <f t="shared" si="71"/>
        <v>0</v>
      </c>
      <c r="BB290" s="3">
        <f t="shared" si="72"/>
        <v>0</v>
      </c>
      <c r="BC290" s="3">
        <f t="shared" si="73"/>
        <v>0</v>
      </c>
      <c r="BD290" s="3">
        <f t="shared" si="74"/>
        <v>0</v>
      </c>
      <c r="BE290" s="3">
        <f t="shared" si="75"/>
        <v>0</v>
      </c>
      <c r="BF290" s="3">
        <f t="shared" si="76"/>
        <v>0</v>
      </c>
      <c r="BG290" s="3">
        <f t="shared" si="77"/>
        <v>0</v>
      </c>
      <c r="BH290" s="3">
        <f t="shared" si="78"/>
        <v>0</v>
      </c>
      <c r="BI290" s="3">
        <f t="shared" si="79"/>
        <v>8</v>
      </c>
    </row>
    <row r="291" spans="1:126" ht="11.4" customHeight="1" x14ac:dyDescent="0.25">
      <c r="A291" s="29">
        <v>292</v>
      </c>
      <c r="B291" s="3" t="s">
        <v>1457</v>
      </c>
      <c r="C291" s="13" t="s">
        <v>412</v>
      </c>
      <c r="D291" s="13" t="s">
        <v>269</v>
      </c>
      <c r="E291" s="13" t="s">
        <v>1458</v>
      </c>
      <c r="F291" s="18" t="s">
        <v>1522</v>
      </c>
      <c r="G291" s="18">
        <v>45971</v>
      </c>
      <c r="H291" s="18">
        <v>46142</v>
      </c>
      <c r="I291" s="13" t="s">
        <v>23</v>
      </c>
      <c r="J291" s="13" t="s">
        <v>24</v>
      </c>
      <c r="K291" s="13" t="s">
        <v>56</v>
      </c>
      <c r="L291" s="13" t="s">
        <v>26</v>
      </c>
      <c r="M291" s="13" t="s">
        <v>1621</v>
      </c>
      <c r="N291" s="4">
        <v>926489827</v>
      </c>
      <c r="O291" s="4" t="s">
        <v>28</v>
      </c>
      <c r="P291" s="1" t="s">
        <v>39</v>
      </c>
      <c r="Q291" s="1" t="s">
        <v>5</v>
      </c>
      <c r="R291" s="1" t="s">
        <v>5</v>
      </c>
      <c r="S291" s="1" t="s">
        <v>5</v>
      </c>
      <c r="T291" s="1" t="s">
        <v>5</v>
      </c>
      <c r="U291" s="1" t="s">
        <v>5</v>
      </c>
      <c r="V291" s="1" t="s">
        <v>5</v>
      </c>
      <c r="W291" s="1" t="s">
        <v>5</v>
      </c>
      <c r="X291" s="1"/>
      <c r="Y291" s="1"/>
      <c r="Z291" s="1"/>
      <c r="AA291" s="3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3">
        <f t="shared" si="64"/>
        <v>1</v>
      </c>
      <c r="AU291" s="3">
        <f t="shared" si="65"/>
        <v>0</v>
      </c>
      <c r="AV291" s="3">
        <f t="shared" si="66"/>
        <v>0</v>
      </c>
      <c r="AW291" s="3">
        <f t="shared" si="67"/>
        <v>0</v>
      </c>
      <c r="AX291" s="3">
        <f t="shared" si="68"/>
        <v>0</v>
      </c>
      <c r="AY291" s="3">
        <f t="shared" si="69"/>
        <v>7</v>
      </c>
      <c r="AZ291" s="3">
        <f t="shared" si="70"/>
        <v>0</v>
      </c>
      <c r="BA291" s="3">
        <f t="shared" si="71"/>
        <v>0</v>
      </c>
      <c r="BB291" s="3">
        <f t="shared" si="72"/>
        <v>0</v>
      </c>
      <c r="BC291" s="3">
        <f t="shared" si="73"/>
        <v>0</v>
      </c>
      <c r="BD291" s="3">
        <f t="shared" si="74"/>
        <v>0</v>
      </c>
      <c r="BE291" s="3">
        <f t="shared" si="75"/>
        <v>0</v>
      </c>
      <c r="BF291" s="3">
        <f t="shared" si="76"/>
        <v>0</v>
      </c>
      <c r="BG291" s="3">
        <f t="shared" si="77"/>
        <v>0</v>
      </c>
      <c r="BH291" s="3">
        <f t="shared" si="78"/>
        <v>0</v>
      </c>
      <c r="BI291" s="3">
        <f t="shared" si="79"/>
        <v>8</v>
      </c>
    </row>
    <row r="292" spans="1:126" x14ac:dyDescent="0.25">
      <c r="A292" s="29">
        <v>293</v>
      </c>
      <c r="B292" s="3" t="s">
        <v>1217</v>
      </c>
      <c r="C292" s="13" t="s">
        <v>1218</v>
      </c>
      <c r="D292" s="13" t="s">
        <v>203</v>
      </c>
      <c r="E292" s="13" t="s">
        <v>296</v>
      </c>
      <c r="F292" s="18" t="s">
        <v>1522</v>
      </c>
      <c r="G292" s="18">
        <v>45971</v>
      </c>
      <c r="H292" s="18">
        <v>46142</v>
      </c>
      <c r="I292" s="13" t="s">
        <v>23</v>
      </c>
      <c r="J292" s="13" t="s">
        <v>24</v>
      </c>
      <c r="K292" s="13" t="s">
        <v>56</v>
      </c>
      <c r="L292" s="13" t="s">
        <v>216</v>
      </c>
      <c r="M292" s="13" t="s">
        <v>1621</v>
      </c>
      <c r="N292" s="4">
        <v>995810509</v>
      </c>
      <c r="O292" s="4" t="s">
        <v>28</v>
      </c>
      <c r="P292" s="1" t="s">
        <v>39</v>
      </c>
      <c r="Q292" s="3" t="s">
        <v>5</v>
      </c>
      <c r="R292" s="3" t="s">
        <v>5</v>
      </c>
      <c r="S292" s="3" t="s">
        <v>5</v>
      </c>
      <c r="T292" s="3" t="s">
        <v>5</v>
      </c>
      <c r="U292" s="3" t="s">
        <v>5</v>
      </c>
      <c r="V292" s="3" t="s">
        <v>5</v>
      </c>
      <c r="W292" s="3" t="s">
        <v>5</v>
      </c>
      <c r="X292" s="1"/>
      <c r="Y292" s="1"/>
      <c r="Z292" s="1"/>
      <c r="AA292" s="1"/>
      <c r="AB292" s="3"/>
      <c r="AC292" s="3"/>
      <c r="AD292" s="3"/>
      <c r="AE292" s="3"/>
      <c r="AF292" s="3"/>
      <c r="AG292" s="3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3">
        <f t="shared" si="64"/>
        <v>1</v>
      </c>
      <c r="AU292" s="3">
        <f t="shared" si="65"/>
        <v>0</v>
      </c>
      <c r="AV292" s="3">
        <f t="shared" si="66"/>
        <v>0</v>
      </c>
      <c r="AW292" s="3">
        <f t="shared" si="67"/>
        <v>0</v>
      </c>
      <c r="AX292" s="3">
        <f t="shared" si="68"/>
        <v>0</v>
      </c>
      <c r="AY292" s="3">
        <f t="shared" si="69"/>
        <v>7</v>
      </c>
      <c r="AZ292" s="3">
        <f t="shared" si="70"/>
        <v>0</v>
      </c>
      <c r="BA292" s="3">
        <f t="shared" si="71"/>
        <v>0</v>
      </c>
      <c r="BB292" s="3">
        <f t="shared" si="72"/>
        <v>0</v>
      </c>
      <c r="BC292" s="3">
        <f t="shared" si="73"/>
        <v>0</v>
      </c>
      <c r="BD292" s="3">
        <f t="shared" si="74"/>
        <v>0</v>
      </c>
      <c r="BE292" s="3">
        <f t="shared" si="75"/>
        <v>0</v>
      </c>
      <c r="BF292" s="3">
        <f t="shared" si="76"/>
        <v>0</v>
      </c>
      <c r="BG292" s="3">
        <f t="shared" si="77"/>
        <v>0</v>
      </c>
      <c r="BH292" s="3">
        <f t="shared" si="78"/>
        <v>0</v>
      </c>
      <c r="BI292" s="3">
        <f t="shared" si="79"/>
        <v>8</v>
      </c>
    </row>
    <row r="293" spans="1:126" x14ac:dyDescent="0.25">
      <c r="A293" s="29">
        <v>294</v>
      </c>
      <c r="B293" s="3" t="s">
        <v>1215</v>
      </c>
      <c r="C293" s="13" t="s">
        <v>1071</v>
      </c>
      <c r="D293" s="13" t="s">
        <v>259</v>
      </c>
      <c r="E293" s="13" t="s">
        <v>1216</v>
      </c>
      <c r="F293" s="18" t="s">
        <v>34</v>
      </c>
      <c r="G293" s="18">
        <v>45971</v>
      </c>
      <c r="H293" s="18">
        <v>46142</v>
      </c>
      <c r="I293" s="13" t="s">
        <v>23</v>
      </c>
      <c r="J293" s="13" t="s">
        <v>24</v>
      </c>
      <c r="K293" s="13" t="s">
        <v>25</v>
      </c>
      <c r="L293" s="13" t="s">
        <v>292</v>
      </c>
      <c r="M293" s="13" t="s">
        <v>1621</v>
      </c>
      <c r="N293" s="4">
        <v>990140573</v>
      </c>
      <c r="O293" s="4" t="s">
        <v>28</v>
      </c>
      <c r="P293" s="1" t="s">
        <v>5</v>
      </c>
      <c r="Q293" s="1" t="s">
        <v>39</v>
      </c>
      <c r="R293" s="1" t="s">
        <v>39</v>
      </c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3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3">
        <f t="shared" si="64"/>
        <v>2</v>
      </c>
      <c r="AU293" s="3">
        <f t="shared" si="65"/>
        <v>0</v>
      </c>
      <c r="AV293" s="3">
        <f t="shared" si="66"/>
        <v>0</v>
      </c>
      <c r="AW293" s="3">
        <f t="shared" si="67"/>
        <v>0</v>
      </c>
      <c r="AX293" s="3">
        <f t="shared" si="68"/>
        <v>0</v>
      </c>
      <c r="AY293" s="3">
        <f t="shared" si="69"/>
        <v>1</v>
      </c>
      <c r="AZ293" s="3">
        <f t="shared" si="70"/>
        <v>0</v>
      </c>
      <c r="BA293" s="3">
        <f t="shared" si="71"/>
        <v>0</v>
      </c>
      <c r="BB293" s="3">
        <f t="shared" si="72"/>
        <v>0</v>
      </c>
      <c r="BC293" s="3">
        <f t="shared" si="73"/>
        <v>0</v>
      </c>
      <c r="BD293" s="3">
        <f t="shared" si="74"/>
        <v>0</v>
      </c>
      <c r="BE293" s="3">
        <f t="shared" si="75"/>
        <v>0</v>
      </c>
      <c r="BF293" s="3">
        <f t="shared" si="76"/>
        <v>0</v>
      </c>
      <c r="BG293" s="3">
        <f t="shared" si="77"/>
        <v>0</v>
      </c>
      <c r="BH293" s="3">
        <f t="shared" si="78"/>
        <v>0</v>
      </c>
      <c r="BI293" s="3">
        <f t="shared" si="79"/>
        <v>3</v>
      </c>
    </row>
    <row r="294" spans="1:126" x14ac:dyDescent="0.25">
      <c r="A294" s="29">
        <v>295</v>
      </c>
      <c r="B294" s="3" t="s">
        <v>1520</v>
      </c>
      <c r="C294" s="13" t="s">
        <v>791</v>
      </c>
      <c r="D294" s="13" t="s">
        <v>1219</v>
      </c>
      <c r="E294" s="13" t="s">
        <v>1220</v>
      </c>
      <c r="F294" s="22" t="s">
        <v>1221</v>
      </c>
      <c r="G294" s="25">
        <v>45973</v>
      </c>
      <c r="H294" s="25">
        <v>46142</v>
      </c>
      <c r="I294" s="22" t="s">
        <v>23</v>
      </c>
      <c r="J294" s="22" t="s">
        <v>1566</v>
      </c>
      <c r="K294" s="13" t="s">
        <v>84</v>
      </c>
      <c r="L294" s="13" t="s">
        <v>68</v>
      </c>
      <c r="M294" s="13" t="s">
        <v>1621</v>
      </c>
      <c r="N294" s="4" t="s">
        <v>1655</v>
      </c>
      <c r="O294" s="4" t="s">
        <v>84</v>
      </c>
      <c r="P294" s="1" t="s">
        <v>510</v>
      </c>
      <c r="Q294" s="1" t="s">
        <v>510</v>
      </c>
      <c r="R294" s="1" t="s">
        <v>5</v>
      </c>
      <c r="S294" s="1" t="s">
        <v>5</v>
      </c>
      <c r="T294" s="1" t="s">
        <v>5</v>
      </c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3">
        <f t="shared" si="64"/>
        <v>0</v>
      </c>
      <c r="AU294" s="3">
        <f t="shared" si="65"/>
        <v>0</v>
      </c>
      <c r="AV294" s="3">
        <f t="shared" si="66"/>
        <v>0</v>
      </c>
      <c r="AW294" s="3">
        <f t="shared" si="67"/>
        <v>2</v>
      </c>
      <c r="AX294" s="3">
        <f t="shared" si="68"/>
        <v>0</v>
      </c>
      <c r="AY294" s="3">
        <f t="shared" si="69"/>
        <v>3</v>
      </c>
      <c r="AZ294" s="3">
        <f t="shared" si="70"/>
        <v>0</v>
      </c>
      <c r="BA294" s="3">
        <f t="shared" si="71"/>
        <v>0</v>
      </c>
      <c r="BB294" s="3">
        <f t="shared" si="72"/>
        <v>0</v>
      </c>
      <c r="BC294" s="3">
        <f t="shared" si="73"/>
        <v>0</v>
      </c>
      <c r="BD294" s="3">
        <f t="shared" si="74"/>
        <v>0</v>
      </c>
      <c r="BE294" s="3">
        <f t="shared" si="75"/>
        <v>0</v>
      </c>
      <c r="BF294" s="3">
        <f t="shared" si="76"/>
        <v>0</v>
      </c>
      <c r="BG294" s="3">
        <f t="shared" si="77"/>
        <v>0</v>
      </c>
      <c r="BH294" s="3">
        <f t="shared" si="78"/>
        <v>0</v>
      </c>
      <c r="BI294" s="3">
        <f t="shared" si="79"/>
        <v>5</v>
      </c>
    </row>
    <row r="295" spans="1:126" x14ac:dyDescent="0.25">
      <c r="A295" s="29">
        <v>298</v>
      </c>
      <c r="B295" s="3" t="s">
        <v>1240</v>
      </c>
      <c r="C295" s="13" t="s">
        <v>567</v>
      </c>
      <c r="D295" s="13" t="s">
        <v>287</v>
      </c>
      <c r="E295" s="13" t="s">
        <v>1241</v>
      </c>
      <c r="F295" s="18" t="s">
        <v>1522</v>
      </c>
      <c r="G295" s="18">
        <v>45974</v>
      </c>
      <c r="H295" s="18">
        <v>46142</v>
      </c>
      <c r="I295" s="13" t="s">
        <v>23</v>
      </c>
      <c r="J295" s="13" t="s">
        <v>24</v>
      </c>
      <c r="K295" s="13" t="s">
        <v>36</v>
      </c>
      <c r="L295" s="13" t="s">
        <v>292</v>
      </c>
      <c r="M295" s="13" t="s">
        <v>1621</v>
      </c>
      <c r="N295" s="4">
        <v>979847003</v>
      </c>
      <c r="O295" s="4" t="s">
        <v>28</v>
      </c>
      <c r="P295" s="1" t="s">
        <v>5</v>
      </c>
      <c r="Q295" s="1" t="s">
        <v>29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3">
        <f t="shared" si="64"/>
        <v>0</v>
      </c>
      <c r="AU295" s="3">
        <f t="shared" si="65"/>
        <v>1</v>
      </c>
      <c r="AV295" s="3">
        <f t="shared" si="66"/>
        <v>0</v>
      </c>
      <c r="AW295" s="3">
        <f t="shared" si="67"/>
        <v>0</v>
      </c>
      <c r="AX295" s="3">
        <f t="shared" si="68"/>
        <v>0</v>
      </c>
      <c r="AY295" s="3">
        <f t="shared" si="69"/>
        <v>1</v>
      </c>
      <c r="AZ295" s="3">
        <f t="shared" si="70"/>
        <v>0</v>
      </c>
      <c r="BA295" s="3">
        <f t="shared" si="71"/>
        <v>0</v>
      </c>
      <c r="BB295" s="3">
        <f t="shared" si="72"/>
        <v>0</v>
      </c>
      <c r="BC295" s="3">
        <f t="shared" si="73"/>
        <v>0</v>
      </c>
      <c r="BD295" s="3">
        <f t="shared" si="74"/>
        <v>0</v>
      </c>
      <c r="BE295" s="3">
        <f t="shared" si="75"/>
        <v>0</v>
      </c>
      <c r="BF295" s="3">
        <f t="shared" si="76"/>
        <v>0</v>
      </c>
      <c r="BG295" s="3">
        <f t="shared" si="77"/>
        <v>0</v>
      </c>
      <c r="BH295" s="3">
        <f t="shared" si="78"/>
        <v>0</v>
      </c>
      <c r="BI295" s="3">
        <f t="shared" si="79"/>
        <v>2</v>
      </c>
    </row>
    <row r="296" spans="1:126" x14ac:dyDescent="0.25">
      <c r="A296" s="29">
        <v>299</v>
      </c>
      <c r="B296" s="3" t="s">
        <v>1242</v>
      </c>
      <c r="C296" s="13" t="s">
        <v>1243</v>
      </c>
      <c r="D296" s="13" t="s">
        <v>269</v>
      </c>
      <c r="E296" s="13" t="s">
        <v>1244</v>
      </c>
      <c r="F296" s="18" t="s">
        <v>34</v>
      </c>
      <c r="G296" s="18">
        <v>45974</v>
      </c>
      <c r="H296" s="18">
        <v>46142</v>
      </c>
      <c r="I296" s="13" t="s">
        <v>23</v>
      </c>
      <c r="J296" s="13" t="s">
        <v>24</v>
      </c>
      <c r="K296" s="13" t="s">
        <v>36</v>
      </c>
      <c r="L296" s="13" t="s">
        <v>292</v>
      </c>
      <c r="M296" s="13" t="s">
        <v>1621</v>
      </c>
      <c r="N296" s="4">
        <v>996239232</v>
      </c>
      <c r="O296" s="4" t="s">
        <v>28</v>
      </c>
      <c r="P296" s="1" t="s">
        <v>5</v>
      </c>
      <c r="Q296" s="1" t="s">
        <v>29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3">
        <f t="shared" si="64"/>
        <v>0</v>
      </c>
      <c r="AU296" s="3">
        <f t="shared" si="65"/>
        <v>1</v>
      </c>
      <c r="AV296" s="3">
        <f t="shared" si="66"/>
        <v>0</v>
      </c>
      <c r="AW296" s="3">
        <f t="shared" si="67"/>
        <v>0</v>
      </c>
      <c r="AX296" s="3">
        <f t="shared" si="68"/>
        <v>0</v>
      </c>
      <c r="AY296" s="3">
        <f t="shared" si="69"/>
        <v>1</v>
      </c>
      <c r="AZ296" s="3">
        <f t="shared" si="70"/>
        <v>0</v>
      </c>
      <c r="BA296" s="3">
        <f t="shared" si="71"/>
        <v>0</v>
      </c>
      <c r="BB296" s="3">
        <f t="shared" si="72"/>
        <v>0</v>
      </c>
      <c r="BC296" s="3">
        <f t="shared" si="73"/>
        <v>0</v>
      </c>
      <c r="BD296" s="3">
        <f t="shared" si="74"/>
        <v>0</v>
      </c>
      <c r="BE296" s="3">
        <f t="shared" si="75"/>
        <v>0</v>
      </c>
      <c r="BF296" s="3">
        <f t="shared" si="76"/>
        <v>0</v>
      </c>
      <c r="BG296" s="3">
        <f t="shared" si="77"/>
        <v>0</v>
      </c>
      <c r="BH296" s="3">
        <f t="shared" si="78"/>
        <v>0</v>
      </c>
      <c r="BI296" s="3">
        <f t="shared" si="79"/>
        <v>2</v>
      </c>
    </row>
    <row r="297" spans="1:126" x14ac:dyDescent="0.25">
      <c r="A297" s="29">
        <v>300</v>
      </c>
      <c r="B297" s="3" t="s">
        <v>1245</v>
      </c>
      <c r="C297" s="13" t="s">
        <v>807</v>
      </c>
      <c r="D297" s="13" t="s">
        <v>985</v>
      </c>
      <c r="E297" s="13" t="s">
        <v>1246</v>
      </c>
      <c r="F297" s="18" t="s">
        <v>138</v>
      </c>
      <c r="G297" s="18">
        <v>45974</v>
      </c>
      <c r="H297" s="18">
        <v>46142</v>
      </c>
      <c r="I297" s="13" t="s">
        <v>23</v>
      </c>
      <c r="J297" s="13" t="s">
        <v>24</v>
      </c>
      <c r="K297" s="13" t="s">
        <v>36</v>
      </c>
      <c r="L297" s="13" t="s">
        <v>292</v>
      </c>
      <c r="M297" s="13" t="s">
        <v>1621</v>
      </c>
      <c r="N297" s="4">
        <v>92479352</v>
      </c>
      <c r="O297" s="4" t="s">
        <v>28</v>
      </c>
      <c r="P297" s="1" t="s">
        <v>5</v>
      </c>
      <c r="Q297" s="1" t="s">
        <v>29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3">
        <f t="shared" si="64"/>
        <v>0</v>
      </c>
      <c r="AU297" s="3">
        <f t="shared" si="65"/>
        <v>1</v>
      </c>
      <c r="AV297" s="3">
        <f t="shared" si="66"/>
        <v>0</v>
      </c>
      <c r="AW297" s="3">
        <f t="shared" si="67"/>
        <v>0</v>
      </c>
      <c r="AX297" s="3">
        <f t="shared" si="68"/>
        <v>0</v>
      </c>
      <c r="AY297" s="3">
        <f t="shared" si="69"/>
        <v>1</v>
      </c>
      <c r="AZ297" s="3">
        <f t="shared" si="70"/>
        <v>0</v>
      </c>
      <c r="BA297" s="3">
        <f t="shared" si="71"/>
        <v>0</v>
      </c>
      <c r="BB297" s="3">
        <f t="shared" si="72"/>
        <v>0</v>
      </c>
      <c r="BC297" s="3">
        <f t="shared" si="73"/>
        <v>0</v>
      </c>
      <c r="BD297" s="3">
        <f t="shared" si="74"/>
        <v>0</v>
      </c>
      <c r="BE297" s="3">
        <f t="shared" si="75"/>
        <v>0</v>
      </c>
      <c r="BF297" s="3">
        <f t="shared" si="76"/>
        <v>0</v>
      </c>
      <c r="BG297" s="3">
        <f t="shared" si="77"/>
        <v>0</v>
      </c>
      <c r="BH297" s="3">
        <f t="shared" si="78"/>
        <v>0</v>
      </c>
      <c r="BI297" s="3">
        <f t="shared" si="79"/>
        <v>2</v>
      </c>
    </row>
    <row r="298" spans="1:126" s="17" customFormat="1" x14ac:dyDescent="0.25">
      <c r="A298" s="29">
        <v>301</v>
      </c>
      <c r="B298" s="3" t="s">
        <v>1222</v>
      </c>
      <c r="C298" s="13" t="s">
        <v>1223</v>
      </c>
      <c r="D298" s="13" t="s">
        <v>1224</v>
      </c>
      <c r="E298" s="13" t="s">
        <v>1225</v>
      </c>
      <c r="F298" s="18" t="s">
        <v>1524</v>
      </c>
      <c r="G298" s="18">
        <v>45974</v>
      </c>
      <c r="H298" s="18">
        <v>46142</v>
      </c>
      <c r="I298" s="13" t="s">
        <v>23</v>
      </c>
      <c r="J298" s="13" t="s">
        <v>24</v>
      </c>
      <c r="K298" s="13" t="s">
        <v>56</v>
      </c>
      <c r="L298" s="13" t="s">
        <v>150</v>
      </c>
      <c r="M298" s="13" t="s">
        <v>1621</v>
      </c>
      <c r="N298" s="4">
        <v>975575245</v>
      </c>
      <c r="O298" s="4" t="s">
        <v>28</v>
      </c>
      <c r="P298" s="1" t="s">
        <v>39</v>
      </c>
      <c r="Q298" s="1" t="s">
        <v>5</v>
      </c>
      <c r="R298" s="1" t="s">
        <v>5</v>
      </c>
      <c r="S298" s="1" t="s">
        <v>5</v>
      </c>
      <c r="T298" s="1" t="s">
        <v>5</v>
      </c>
      <c r="U298" s="1" t="s">
        <v>5</v>
      </c>
      <c r="V298" s="1" t="s">
        <v>5</v>
      </c>
      <c r="W298" s="1" t="s">
        <v>5</v>
      </c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3">
        <f t="shared" si="64"/>
        <v>1</v>
      </c>
      <c r="AU298" s="3">
        <f t="shared" si="65"/>
        <v>0</v>
      </c>
      <c r="AV298" s="3">
        <f t="shared" si="66"/>
        <v>0</v>
      </c>
      <c r="AW298" s="3">
        <f t="shared" si="67"/>
        <v>0</v>
      </c>
      <c r="AX298" s="3">
        <f t="shared" si="68"/>
        <v>0</v>
      </c>
      <c r="AY298" s="3">
        <f t="shared" si="69"/>
        <v>7</v>
      </c>
      <c r="AZ298" s="3">
        <f t="shared" si="70"/>
        <v>0</v>
      </c>
      <c r="BA298" s="3">
        <f t="shared" si="71"/>
        <v>0</v>
      </c>
      <c r="BB298" s="3">
        <f t="shared" si="72"/>
        <v>0</v>
      </c>
      <c r="BC298" s="3">
        <f t="shared" si="73"/>
        <v>0</v>
      </c>
      <c r="BD298" s="3">
        <f t="shared" si="74"/>
        <v>0</v>
      </c>
      <c r="BE298" s="3">
        <f t="shared" si="75"/>
        <v>0</v>
      </c>
      <c r="BF298" s="3">
        <f t="shared" si="76"/>
        <v>0</v>
      </c>
      <c r="BG298" s="3">
        <f t="shared" si="77"/>
        <v>0</v>
      </c>
      <c r="BH298" s="3">
        <f t="shared" si="78"/>
        <v>0</v>
      </c>
      <c r="BI298" s="3">
        <f t="shared" si="79"/>
        <v>8</v>
      </c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</row>
    <row r="299" spans="1:126" x14ac:dyDescent="0.25">
      <c r="A299" s="29">
        <v>296</v>
      </c>
      <c r="B299" s="3" t="s">
        <v>385</v>
      </c>
      <c r="C299" s="13" t="s">
        <v>386</v>
      </c>
      <c r="D299" s="13" t="s">
        <v>387</v>
      </c>
      <c r="E299" s="13" t="s">
        <v>388</v>
      </c>
      <c r="F299" s="22" t="s">
        <v>389</v>
      </c>
      <c r="G299" s="25">
        <v>45974</v>
      </c>
      <c r="H299" s="25">
        <v>46142</v>
      </c>
      <c r="I299" s="22" t="s">
        <v>23</v>
      </c>
      <c r="J299" s="22" t="s">
        <v>24</v>
      </c>
      <c r="K299" s="13" t="s">
        <v>84</v>
      </c>
      <c r="L299" s="13" t="s">
        <v>85</v>
      </c>
      <c r="M299" s="13" t="s">
        <v>1621</v>
      </c>
      <c r="N299" s="4">
        <v>994233158</v>
      </c>
      <c r="O299" s="4" t="s">
        <v>84</v>
      </c>
      <c r="P299" s="1" t="s">
        <v>39</v>
      </c>
      <c r="Q299" s="1" t="s">
        <v>39</v>
      </c>
      <c r="R299" s="1" t="s">
        <v>5</v>
      </c>
      <c r="S299" s="1" t="s">
        <v>5</v>
      </c>
      <c r="T299" s="1" t="s">
        <v>5</v>
      </c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3">
        <f t="shared" si="64"/>
        <v>2</v>
      </c>
      <c r="AU299" s="3">
        <f t="shared" si="65"/>
        <v>0</v>
      </c>
      <c r="AV299" s="3">
        <f t="shared" si="66"/>
        <v>0</v>
      </c>
      <c r="AW299" s="3">
        <f t="shared" si="67"/>
        <v>0</v>
      </c>
      <c r="AX299" s="3">
        <f t="shared" si="68"/>
        <v>0</v>
      </c>
      <c r="AY299" s="3">
        <f t="shared" si="69"/>
        <v>3</v>
      </c>
      <c r="AZ299" s="3">
        <f t="shared" si="70"/>
        <v>0</v>
      </c>
      <c r="BA299" s="3">
        <f t="shared" si="71"/>
        <v>0</v>
      </c>
      <c r="BB299" s="3">
        <f t="shared" si="72"/>
        <v>0</v>
      </c>
      <c r="BC299" s="3">
        <f t="shared" si="73"/>
        <v>0</v>
      </c>
      <c r="BD299" s="3">
        <f t="shared" si="74"/>
        <v>0</v>
      </c>
      <c r="BE299" s="3">
        <f t="shared" si="75"/>
        <v>0</v>
      </c>
      <c r="BF299" s="3">
        <f t="shared" si="76"/>
        <v>0</v>
      </c>
      <c r="BG299" s="3">
        <f t="shared" si="77"/>
        <v>0</v>
      </c>
      <c r="BH299" s="3">
        <f t="shared" si="78"/>
        <v>0</v>
      </c>
      <c r="BI299" s="3">
        <f t="shared" si="79"/>
        <v>5</v>
      </c>
    </row>
    <row r="300" spans="1:126" x14ac:dyDescent="0.25">
      <c r="A300" s="29">
        <v>304</v>
      </c>
      <c r="B300" s="3" t="s">
        <v>1232</v>
      </c>
      <c r="C300" s="13" t="s">
        <v>1233</v>
      </c>
      <c r="D300" s="13" t="s">
        <v>222</v>
      </c>
      <c r="E300" s="13" t="s">
        <v>1234</v>
      </c>
      <c r="F300" s="18" t="s">
        <v>55</v>
      </c>
      <c r="G300" s="18">
        <v>45974</v>
      </c>
      <c r="H300" s="18">
        <v>46142</v>
      </c>
      <c r="I300" s="13" t="s">
        <v>23</v>
      </c>
      <c r="J300" s="13" t="s">
        <v>24</v>
      </c>
      <c r="K300" s="13" t="s">
        <v>226</v>
      </c>
      <c r="L300" s="13" t="s">
        <v>292</v>
      </c>
      <c r="M300" s="13" t="s">
        <v>1621</v>
      </c>
      <c r="N300" s="4">
        <v>991659311</v>
      </c>
      <c r="O300" s="4" t="s">
        <v>28</v>
      </c>
      <c r="P300" s="1" t="s">
        <v>92</v>
      </c>
      <c r="Q300" s="1" t="s">
        <v>92</v>
      </c>
      <c r="R300" s="1" t="s">
        <v>92</v>
      </c>
      <c r="S300" s="1" t="s">
        <v>92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3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3">
        <f t="shared" si="64"/>
        <v>0</v>
      </c>
      <c r="AU300" s="3">
        <f t="shared" si="65"/>
        <v>0</v>
      </c>
      <c r="AV300" s="3">
        <f t="shared" si="66"/>
        <v>0</v>
      </c>
      <c r="AW300" s="3">
        <f t="shared" si="67"/>
        <v>0</v>
      </c>
      <c r="AX300" s="3">
        <f t="shared" si="68"/>
        <v>0</v>
      </c>
      <c r="AY300" s="3">
        <f t="shared" si="69"/>
        <v>0</v>
      </c>
      <c r="AZ300" s="3">
        <f t="shared" si="70"/>
        <v>0</v>
      </c>
      <c r="BA300" s="3">
        <f t="shared" si="71"/>
        <v>4</v>
      </c>
      <c r="BB300" s="3">
        <f t="shared" si="72"/>
        <v>0</v>
      </c>
      <c r="BC300" s="3">
        <f t="shared" si="73"/>
        <v>0</v>
      </c>
      <c r="BD300" s="3">
        <f t="shared" si="74"/>
        <v>0</v>
      </c>
      <c r="BE300" s="3">
        <f t="shared" si="75"/>
        <v>0</v>
      </c>
      <c r="BF300" s="3">
        <f t="shared" si="76"/>
        <v>0</v>
      </c>
      <c r="BG300" s="3">
        <f t="shared" si="77"/>
        <v>0</v>
      </c>
      <c r="BH300" s="3">
        <f t="shared" si="78"/>
        <v>0</v>
      </c>
      <c r="BI300" s="3">
        <f t="shared" si="79"/>
        <v>0</v>
      </c>
    </row>
    <row r="301" spans="1:126" x14ac:dyDescent="0.25">
      <c r="A301" s="29">
        <v>302</v>
      </c>
      <c r="B301" s="3" t="s">
        <v>1226</v>
      </c>
      <c r="C301" s="13" t="s">
        <v>1227</v>
      </c>
      <c r="D301" s="13" t="s">
        <v>1338</v>
      </c>
      <c r="E301" s="13" t="s">
        <v>1228</v>
      </c>
      <c r="F301" s="18" t="s">
        <v>1534</v>
      </c>
      <c r="G301" s="18">
        <v>45974</v>
      </c>
      <c r="H301" s="18">
        <v>46142</v>
      </c>
      <c r="I301" s="13" t="s">
        <v>23</v>
      </c>
      <c r="J301" s="13" t="s">
        <v>24</v>
      </c>
      <c r="K301" s="13" t="s">
        <v>43</v>
      </c>
      <c r="L301" s="13" t="s">
        <v>216</v>
      </c>
      <c r="M301" s="13" t="s">
        <v>1621</v>
      </c>
      <c r="N301" s="4">
        <v>941928739</v>
      </c>
      <c r="O301" s="4" t="s">
        <v>28</v>
      </c>
      <c r="P301" s="1" t="s">
        <v>29</v>
      </c>
      <c r="Q301" s="1" t="s">
        <v>5</v>
      </c>
      <c r="R301" s="1" t="s">
        <v>5</v>
      </c>
      <c r="S301" s="1" t="s">
        <v>5</v>
      </c>
      <c r="T301" s="1" t="s">
        <v>5</v>
      </c>
      <c r="U301" s="1" t="s">
        <v>5</v>
      </c>
      <c r="V301" s="1" t="s">
        <v>5</v>
      </c>
      <c r="W301" s="1" t="s">
        <v>5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3"/>
      <c r="AQ301" s="3"/>
      <c r="AR301" s="3"/>
      <c r="AS301" s="3"/>
      <c r="AT301" s="3">
        <f t="shared" si="64"/>
        <v>0</v>
      </c>
      <c r="AU301" s="3">
        <f t="shared" si="65"/>
        <v>1</v>
      </c>
      <c r="AV301" s="3">
        <f t="shared" si="66"/>
        <v>0</v>
      </c>
      <c r="AW301" s="3">
        <f t="shared" si="67"/>
        <v>0</v>
      </c>
      <c r="AX301" s="3">
        <f t="shared" si="68"/>
        <v>0</v>
      </c>
      <c r="AY301" s="3">
        <f t="shared" si="69"/>
        <v>7</v>
      </c>
      <c r="AZ301" s="3">
        <f t="shared" si="70"/>
        <v>0</v>
      </c>
      <c r="BA301" s="3">
        <f t="shared" si="71"/>
        <v>0</v>
      </c>
      <c r="BB301" s="3">
        <f t="shared" si="72"/>
        <v>0</v>
      </c>
      <c r="BC301" s="3">
        <f t="shared" si="73"/>
        <v>0</v>
      </c>
      <c r="BD301" s="3">
        <f t="shared" si="74"/>
        <v>0</v>
      </c>
      <c r="BE301" s="3">
        <f t="shared" si="75"/>
        <v>0</v>
      </c>
      <c r="BF301" s="3">
        <f t="shared" si="76"/>
        <v>0</v>
      </c>
      <c r="BG301" s="3">
        <f t="shared" si="77"/>
        <v>0</v>
      </c>
      <c r="BH301" s="3">
        <f t="shared" si="78"/>
        <v>0</v>
      </c>
      <c r="BI301" s="3">
        <f t="shared" si="79"/>
        <v>8</v>
      </c>
    </row>
    <row r="302" spans="1:126" x14ac:dyDescent="0.25">
      <c r="A302" s="29">
        <v>303</v>
      </c>
      <c r="B302" s="3" t="s">
        <v>1229</v>
      </c>
      <c r="C302" s="13" t="s">
        <v>380</v>
      </c>
      <c r="D302" s="13" t="s">
        <v>1230</v>
      </c>
      <c r="E302" s="13" t="s">
        <v>1231</v>
      </c>
      <c r="F302" s="18" t="s">
        <v>1522</v>
      </c>
      <c r="G302" s="18">
        <v>45974</v>
      </c>
      <c r="H302" s="18">
        <v>46142</v>
      </c>
      <c r="I302" s="13" t="s">
        <v>23</v>
      </c>
      <c r="J302" s="13" t="s">
        <v>24</v>
      </c>
      <c r="K302" s="13" t="s">
        <v>43</v>
      </c>
      <c r="L302" s="13" t="s">
        <v>216</v>
      </c>
      <c r="M302" s="13" t="s">
        <v>1621</v>
      </c>
      <c r="N302" s="4" t="s">
        <v>1686</v>
      </c>
      <c r="O302" s="4" t="s">
        <v>28</v>
      </c>
      <c r="P302" s="1" t="s">
        <v>29</v>
      </c>
      <c r="Q302" s="1" t="s">
        <v>5</v>
      </c>
      <c r="R302" s="1" t="s">
        <v>5</v>
      </c>
      <c r="S302" s="1" t="s">
        <v>5</v>
      </c>
      <c r="T302" s="1" t="s">
        <v>5</v>
      </c>
      <c r="U302" s="1" t="s">
        <v>5</v>
      </c>
      <c r="V302" s="1" t="s">
        <v>5</v>
      </c>
      <c r="W302" s="1" t="s">
        <v>5</v>
      </c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3">
        <f t="shared" si="64"/>
        <v>0</v>
      </c>
      <c r="AU302" s="3">
        <f t="shared" si="65"/>
        <v>1</v>
      </c>
      <c r="AV302" s="3">
        <f t="shared" si="66"/>
        <v>0</v>
      </c>
      <c r="AW302" s="3">
        <f t="shared" si="67"/>
        <v>0</v>
      </c>
      <c r="AX302" s="3">
        <f t="shared" si="68"/>
        <v>0</v>
      </c>
      <c r="AY302" s="3">
        <f t="shared" si="69"/>
        <v>7</v>
      </c>
      <c r="AZ302" s="3">
        <f t="shared" si="70"/>
        <v>0</v>
      </c>
      <c r="BA302" s="3">
        <f t="shared" si="71"/>
        <v>0</v>
      </c>
      <c r="BB302" s="3">
        <f t="shared" si="72"/>
        <v>0</v>
      </c>
      <c r="BC302" s="3">
        <f t="shared" si="73"/>
        <v>0</v>
      </c>
      <c r="BD302" s="3">
        <f t="shared" si="74"/>
        <v>0</v>
      </c>
      <c r="BE302" s="3">
        <f t="shared" si="75"/>
        <v>0</v>
      </c>
      <c r="BF302" s="3">
        <f t="shared" si="76"/>
        <v>0</v>
      </c>
      <c r="BG302" s="3">
        <f t="shared" si="77"/>
        <v>0</v>
      </c>
      <c r="BH302" s="3">
        <f t="shared" si="78"/>
        <v>0</v>
      </c>
      <c r="BI302" s="3">
        <f t="shared" si="79"/>
        <v>8</v>
      </c>
    </row>
    <row r="303" spans="1:126" x14ac:dyDescent="0.25">
      <c r="A303" s="29">
        <v>297</v>
      </c>
      <c r="B303" s="3" t="s">
        <v>1247</v>
      </c>
      <c r="C303" s="13" t="s">
        <v>1248</v>
      </c>
      <c r="D303" s="13" t="s">
        <v>1249</v>
      </c>
      <c r="E303" s="13" t="s">
        <v>1250</v>
      </c>
      <c r="F303" s="18" t="s">
        <v>138</v>
      </c>
      <c r="G303" s="18">
        <v>45974</v>
      </c>
      <c r="H303" s="18">
        <v>46142</v>
      </c>
      <c r="I303" s="13" t="s">
        <v>23</v>
      </c>
      <c r="J303" s="13" t="s">
        <v>24</v>
      </c>
      <c r="K303" s="13" t="s">
        <v>25</v>
      </c>
      <c r="L303" s="13" t="s">
        <v>292</v>
      </c>
      <c r="M303" s="13" t="s">
        <v>1621</v>
      </c>
      <c r="N303" s="4">
        <v>977571412</v>
      </c>
      <c r="O303" s="4" t="s">
        <v>28</v>
      </c>
      <c r="P303" s="1" t="s">
        <v>5</v>
      </c>
      <c r="Q303" s="1" t="s">
        <v>39</v>
      </c>
      <c r="R303" s="1" t="s">
        <v>39</v>
      </c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3">
        <f t="shared" si="64"/>
        <v>2</v>
      </c>
      <c r="AU303" s="3">
        <f t="shared" si="65"/>
        <v>0</v>
      </c>
      <c r="AV303" s="3">
        <f t="shared" si="66"/>
        <v>0</v>
      </c>
      <c r="AW303" s="3">
        <f t="shared" si="67"/>
        <v>0</v>
      </c>
      <c r="AX303" s="3">
        <f t="shared" si="68"/>
        <v>0</v>
      </c>
      <c r="AY303" s="3">
        <f t="shared" si="69"/>
        <v>1</v>
      </c>
      <c r="AZ303" s="3">
        <f t="shared" si="70"/>
        <v>0</v>
      </c>
      <c r="BA303" s="3">
        <f t="shared" si="71"/>
        <v>0</v>
      </c>
      <c r="BB303" s="3">
        <f t="shared" si="72"/>
        <v>0</v>
      </c>
      <c r="BC303" s="3">
        <f t="shared" si="73"/>
        <v>0</v>
      </c>
      <c r="BD303" s="3">
        <f t="shared" si="74"/>
        <v>0</v>
      </c>
      <c r="BE303" s="3">
        <f t="shared" si="75"/>
        <v>0</v>
      </c>
      <c r="BF303" s="3">
        <f t="shared" si="76"/>
        <v>0</v>
      </c>
      <c r="BG303" s="3">
        <f t="shared" si="77"/>
        <v>0</v>
      </c>
      <c r="BH303" s="3">
        <f t="shared" si="78"/>
        <v>0</v>
      </c>
      <c r="BI303" s="3">
        <f t="shared" si="79"/>
        <v>3</v>
      </c>
    </row>
    <row r="304" spans="1:126" x14ac:dyDescent="0.25">
      <c r="A304" s="29">
        <v>305</v>
      </c>
      <c r="B304" s="3" t="s">
        <v>1251</v>
      </c>
      <c r="C304" s="13" t="s">
        <v>397</v>
      </c>
      <c r="D304" s="13" t="s">
        <v>472</v>
      </c>
      <c r="E304" s="13" t="s">
        <v>857</v>
      </c>
      <c r="F304" s="18" t="s">
        <v>138</v>
      </c>
      <c r="G304" s="18">
        <v>45974</v>
      </c>
      <c r="H304" s="18">
        <v>46142</v>
      </c>
      <c r="I304" s="13" t="s">
        <v>23</v>
      </c>
      <c r="J304" s="13" t="s">
        <v>24</v>
      </c>
      <c r="K304" s="13" t="s">
        <v>43</v>
      </c>
      <c r="L304" s="13" t="s">
        <v>216</v>
      </c>
      <c r="M304" s="13" t="s">
        <v>1621</v>
      </c>
      <c r="N304" s="4" t="s">
        <v>1683</v>
      </c>
      <c r="O304" s="4" t="s">
        <v>28</v>
      </c>
      <c r="P304" s="1" t="s">
        <v>29</v>
      </c>
      <c r="Q304" s="1" t="s">
        <v>5</v>
      </c>
      <c r="R304" s="1" t="s">
        <v>5</v>
      </c>
      <c r="S304" s="1" t="s">
        <v>5</v>
      </c>
      <c r="T304" s="1" t="s">
        <v>5</v>
      </c>
      <c r="U304" s="1" t="s">
        <v>5</v>
      </c>
      <c r="V304" s="1" t="s">
        <v>5</v>
      </c>
      <c r="W304" s="1" t="s">
        <v>5</v>
      </c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3">
        <f t="shared" si="64"/>
        <v>0</v>
      </c>
      <c r="AU304" s="3">
        <f t="shared" si="65"/>
        <v>1</v>
      </c>
      <c r="AV304" s="3">
        <f t="shared" si="66"/>
        <v>0</v>
      </c>
      <c r="AW304" s="3">
        <f t="shared" si="67"/>
        <v>0</v>
      </c>
      <c r="AX304" s="3">
        <f t="shared" si="68"/>
        <v>0</v>
      </c>
      <c r="AY304" s="3">
        <f t="shared" si="69"/>
        <v>7</v>
      </c>
      <c r="AZ304" s="3">
        <f t="shared" si="70"/>
        <v>0</v>
      </c>
      <c r="BA304" s="3">
        <f t="shared" si="71"/>
        <v>0</v>
      </c>
      <c r="BB304" s="3">
        <f t="shared" si="72"/>
        <v>0</v>
      </c>
      <c r="BC304" s="3">
        <f t="shared" si="73"/>
        <v>0</v>
      </c>
      <c r="BD304" s="3">
        <f t="shared" si="74"/>
        <v>0</v>
      </c>
      <c r="BE304" s="3">
        <f t="shared" si="75"/>
        <v>0</v>
      </c>
      <c r="BF304" s="3">
        <f t="shared" si="76"/>
        <v>0</v>
      </c>
      <c r="BG304" s="3">
        <f t="shared" si="77"/>
        <v>0</v>
      </c>
      <c r="BH304" s="3">
        <f t="shared" si="78"/>
        <v>0</v>
      </c>
      <c r="BI304" s="3">
        <f t="shared" si="79"/>
        <v>8</v>
      </c>
    </row>
    <row r="305" spans="1:62" x14ac:dyDescent="0.25">
      <c r="A305" s="29">
        <v>306</v>
      </c>
      <c r="B305" s="3" t="s">
        <v>1252</v>
      </c>
      <c r="C305" s="13" t="s">
        <v>347</v>
      </c>
      <c r="D305" s="13" t="s">
        <v>157</v>
      </c>
      <c r="E305" s="13" t="s">
        <v>428</v>
      </c>
      <c r="F305" s="18" t="s">
        <v>138</v>
      </c>
      <c r="G305" s="18">
        <v>45974</v>
      </c>
      <c r="H305" s="18">
        <v>46142</v>
      </c>
      <c r="I305" s="13" t="s">
        <v>23</v>
      </c>
      <c r="J305" s="13" t="s">
        <v>24</v>
      </c>
      <c r="K305" s="13" t="s">
        <v>56</v>
      </c>
      <c r="L305" s="13" t="s">
        <v>216</v>
      </c>
      <c r="M305" s="13" t="s">
        <v>1621</v>
      </c>
      <c r="N305" s="4">
        <v>722257217</v>
      </c>
      <c r="O305" s="4" t="s">
        <v>28</v>
      </c>
      <c r="P305" s="1" t="s">
        <v>39</v>
      </c>
      <c r="Q305" s="3" t="s">
        <v>5</v>
      </c>
      <c r="R305" s="3" t="s">
        <v>5</v>
      </c>
      <c r="S305" s="3" t="s">
        <v>5</v>
      </c>
      <c r="T305" s="3" t="s">
        <v>5</v>
      </c>
      <c r="U305" s="3" t="s">
        <v>5</v>
      </c>
      <c r="V305" s="3" t="s">
        <v>5</v>
      </c>
      <c r="W305" s="3" t="s">
        <v>5</v>
      </c>
      <c r="X305" s="1"/>
      <c r="Y305" s="1"/>
      <c r="Z305" s="1"/>
      <c r="AA305" s="1"/>
      <c r="AB305" s="3"/>
      <c r="AC305" s="3"/>
      <c r="AD305" s="3"/>
      <c r="AE305" s="3"/>
      <c r="AF305" s="3"/>
      <c r="AG305" s="3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3">
        <f t="shared" si="64"/>
        <v>1</v>
      </c>
      <c r="AU305" s="3">
        <f t="shared" si="65"/>
        <v>0</v>
      </c>
      <c r="AV305" s="3">
        <f t="shared" si="66"/>
        <v>0</v>
      </c>
      <c r="AW305" s="3">
        <f t="shared" si="67"/>
        <v>0</v>
      </c>
      <c r="AX305" s="3">
        <f t="shared" si="68"/>
        <v>0</v>
      </c>
      <c r="AY305" s="3">
        <f t="shared" si="69"/>
        <v>7</v>
      </c>
      <c r="AZ305" s="3">
        <f t="shared" si="70"/>
        <v>0</v>
      </c>
      <c r="BA305" s="3">
        <f t="shared" si="71"/>
        <v>0</v>
      </c>
      <c r="BB305" s="3">
        <f t="shared" si="72"/>
        <v>0</v>
      </c>
      <c r="BC305" s="3">
        <f t="shared" si="73"/>
        <v>0</v>
      </c>
      <c r="BD305" s="3">
        <f t="shared" si="74"/>
        <v>0</v>
      </c>
      <c r="BE305" s="3">
        <f t="shared" si="75"/>
        <v>0</v>
      </c>
      <c r="BF305" s="3">
        <f t="shared" si="76"/>
        <v>0</v>
      </c>
      <c r="BG305" s="3">
        <f t="shared" si="77"/>
        <v>0</v>
      </c>
      <c r="BH305" s="3">
        <f t="shared" si="78"/>
        <v>0</v>
      </c>
      <c r="BI305" s="3">
        <f t="shared" si="79"/>
        <v>8</v>
      </c>
    </row>
    <row r="306" spans="1:62" x14ac:dyDescent="0.25">
      <c r="A306" s="29">
        <v>310</v>
      </c>
      <c r="B306" s="13" t="s">
        <v>1271</v>
      </c>
      <c r="C306" s="13" t="s">
        <v>414</v>
      </c>
      <c r="D306" s="13" t="s">
        <v>415</v>
      </c>
      <c r="E306" s="13" t="s">
        <v>1272</v>
      </c>
      <c r="F306" s="22" t="s">
        <v>1530</v>
      </c>
      <c r="G306" s="25">
        <v>45974</v>
      </c>
      <c r="H306" s="25">
        <v>46142</v>
      </c>
      <c r="I306" s="22" t="s">
        <v>23</v>
      </c>
      <c r="J306" s="22" t="s">
        <v>24</v>
      </c>
      <c r="K306" s="13" t="s">
        <v>84</v>
      </c>
      <c r="L306" s="13" t="s">
        <v>68</v>
      </c>
      <c r="M306" s="13" t="s">
        <v>1621</v>
      </c>
      <c r="N306" s="4">
        <v>97434521</v>
      </c>
      <c r="O306" s="16" t="s">
        <v>84</v>
      </c>
      <c r="P306" s="1" t="s">
        <v>39</v>
      </c>
      <c r="Q306" s="1" t="s">
        <v>39</v>
      </c>
      <c r="R306" s="1" t="s">
        <v>5</v>
      </c>
      <c r="S306" s="1" t="s">
        <v>5</v>
      </c>
      <c r="T306" s="1" t="s">
        <v>5</v>
      </c>
      <c r="U306" s="14"/>
      <c r="V306" s="1"/>
      <c r="W306" s="1"/>
      <c r="X306" s="1"/>
      <c r="Y306" s="1"/>
      <c r="Z306" s="1"/>
      <c r="AA306" s="14"/>
      <c r="AB306" s="14"/>
      <c r="AC306" s="14"/>
      <c r="AD306" s="14"/>
      <c r="AE306" s="14"/>
      <c r="AF306" s="14"/>
      <c r="AG306" s="14"/>
      <c r="AH306" s="1"/>
      <c r="AI306" s="14"/>
      <c r="AJ306" s="1"/>
      <c r="AK306" s="1"/>
      <c r="AL306" s="1"/>
      <c r="AM306" s="1"/>
      <c r="AN306" s="1"/>
      <c r="AO306" s="14"/>
      <c r="AP306" s="14"/>
      <c r="AQ306" s="1"/>
      <c r="AR306" s="1"/>
      <c r="AS306" s="14"/>
      <c r="AT306" s="3">
        <f t="shared" si="64"/>
        <v>2</v>
      </c>
      <c r="AU306" s="3">
        <f t="shared" si="65"/>
        <v>0</v>
      </c>
      <c r="AV306" s="3">
        <f t="shared" si="66"/>
        <v>0</v>
      </c>
      <c r="AW306" s="3">
        <f t="shared" si="67"/>
        <v>0</v>
      </c>
      <c r="AX306" s="3">
        <f t="shared" si="68"/>
        <v>0</v>
      </c>
      <c r="AY306" s="3">
        <f t="shared" si="69"/>
        <v>3</v>
      </c>
      <c r="AZ306" s="3">
        <f t="shared" si="70"/>
        <v>0</v>
      </c>
      <c r="BA306" s="3">
        <f t="shared" si="71"/>
        <v>0</v>
      </c>
      <c r="BB306" s="3">
        <f t="shared" si="72"/>
        <v>0</v>
      </c>
      <c r="BC306" s="3">
        <f t="shared" si="73"/>
        <v>0</v>
      </c>
      <c r="BD306" s="3">
        <f t="shared" si="74"/>
        <v>0</v>
      </c>
      <c r="BE306" s="3">
        <f t="shared" si="75"/>
        <v>0</v>
      </c>
      <c r="BF306" s="3">
        <f t="shared" si="76"/>
        <v>0</v>
      </c>
      <c r="BG306" s="3">
        <f t="shared" si="77"/>
        <v>0</v>
      </c>
      <c r="BH306" s="3">
        <f t="shared" si="78"/>
        <v>0</v>
      </c>
      <c r="BI306" s="3">
        <f t="shared" si="79"/>
        <v>5</v>
      </c>
      <c r="BJ306" s="17"/>
    </row>
    <row r="307" spans="1:62" x14ac:dyDescent="0.25">
      <c r="A307" s="29">
        <v>307</v>
      </c>
      <c r="B307" s="3" t="s">
        <v>1253</v>
      </c>
      <c r="C307" s="13" t="s">
        <v>1254</v>
      </c>
      <c r="D307" s="13" t="s">
        <v>1255</v>
      </c>
      <c r="E307" s="13" t="s">
        <v>154</v>
      </c>
      <c r="F307" s="18" t="s">
        <v>1522</v>
      </c>
      <c r="G307" s="18">
        <v>45974</v>
      </c>
      <c r="H307" s="18">
        <v>46142</v>
      </c>
      <c r="I307" s="13" t="s">
        <v>23</v>
      </c>
      <c r="J307" s="13" t="s">
        <v>24</v>
      </c>
      <c r="K307" s="13" t="s">
        <v>36</v>
      </c>
      <c r="L307" s="13" t="s">
        <v>292</v>
      </c>
      <c r="M307" s="13" t="s">
        <v>1621</v>
      </c>
      <c r="N307" s="4">
        <v>944857789</v>
      </c>
      <c r="O307" s="4" t="s">
        <v>28</v>
      </c>
      <c r="P307" s="1" t="s">
        <v>5</v>
      </c>
      <c r="Q307" s="1" t="s">
        <v>29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3">
        <f t="shared" si="64"/>
        <v>0</v>
      </c>
      <c r="AU307" s="3">
        <f t="shared" si="65"/>
        <v>1</v>
      </c>
      <c r="AV307" s="3">
        <f t="shared" si="66"/>
        <v>0</v>
      </c>
      <c r="AW307" s="3">
        <f t="shared" si="67"/>
        <v>0</v>
      </c>
      <c r="AX307" s="3">
        <f t="shared" si="68"/>
        <v>0</v>
      </c>
      <c r="AY307" s="3">
        <f t="shared" si="69"/>
        <v>1</v>
      </c>
      <c r="AZ307" s="3">
        <f t="shared" si="70"/>
        <v>0</v>
      </c>
      <c r="BA307" s="3">
        <f t="shared" si="71"/>
        <v>0</v>
      </c>
      <c r="BB307" s="3">
        <f t="shared" si="72"/>
        <v>0</v>
      </c>
      <c r="BC307" s="3">
        <f t="shared" si="73"/>
        <v>0</v>
      </c>
      <c r="BD307" s="3">
        <f t="shared" si="74"/>
        <v>0</v>
      </c>
      <c r="BE307" s="3">
        <f t="shared" si="75"/>
        <v>0</v>
      </c>
      <c r="BF307" s="3">
        <f t="shared" si="76"/>
        <v>0</v>
      </c>
      <c r="BG307" s="3">
        <f t="shared" si="77"/>
        <v>0</v>
      </c>
      <c r="BH307" s="3">
        <f t="shared" si="78"/>
        <v>0</v>
      </c>
      <c r="BI307" s="3">
        <f t="shared" si="79"/>
        <v>2</v>
      </c>
    </row>
    <row r="308" spans="1:62" x14ac:dyDescent="0.25">
      <c r="A308" s="29">
        <v>308</v>
      </c>
      <c r="B308" s="3" t="s">
        <v>1261</v>
      </c>
      <c r="C308" s="13" t="s">
        <v>360</v>
      </c>
      <c r="D308" s="13" t="s">
        <v>41</v>
      </c>
      <c r="E308" s="13" t="s">
        <v>1262</v>
      </c>
      <c r="F308" s="18" t="s">
        <v>1564</v>
      </c>
      <c r="G308" s="18">
        <v>45974</v>
      </c>
      <c r="H308" s="18">
        <v>46142</v>
      </c>
      <c r="I308" s="13" t="s">
        <v>23</v>
      </c>
      <c r="J308" s="13" t="s">
        <v>24</v>
      </c>
      <c r="K308" s="13" t="s">
        <v>36</v>
      </c>
      <c r="L308" s="13" t="s">
        <v>68</v>
      </c>
      <c r="M308" s="13" t="s">
        <v>1621</v>
      </c>
      <c r="N308" s="4">
        <v>982966768</v>
      </c>
      <c r="O308" s="4" t="s">
        <v>28</v>
      </c>
      <c r="P308" s="1" t="s">
        <v>5</v>
      </c>
      <c r="Q308" s="1" t="s">
        <v>29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3">
        <f t="shared" si="64"/>
        <v>0</v>
      </c>
      <c r="AU308" s="3">
        <f t="shared" si="65"/>
        <v>1</v>
      </c>
      <c r="AV308" s="3">
        <f t="shared" si="66"/>
        <v>0</v>
      </c>
      <c r="AW308" s="3">
        <f t="shared" si="67"/>
        <v>0</v>
      </c>
      <c r="AX308" s="3">
        <f t="shared" si="68"/>
        <v>0</v>
      </c>
      <c r="AY308" s="3">
        <f t="shared" si="69"/>
        <v>1</v>
      </c>
      <c r="AZ308" s="3">
        <f t="shared" si="70"/>
        <v>0</v>
      </c>
      <c r="BA308" s="3">
        <f t="shared" si="71"/>
        <v>0</v>
      </c>
      <c r="BB308" s="3">
        <f t="shared" si="72"/>
        <v>0</v>
      </c>
      <c r="BC308" s="3">
        <f t="shared" si="73"/>
        <v>0</v>
      </c>
      <c r="BD308" s="3">
        <f t="shared" si="74"/>
        <v>0</v>
      </c>
      <c r="BE308" s="3">
        <f t="shared" si="75"/>
        <v>0</v>
      </c>
      <c r="BF308" s="3">
        <f t="shared" si="76"/>
        <v>0</v>
      </c>
      <c r="BG308" s="3">
        <f t="shared" si="77"/>
        <v>0</v>
      </c>
      <c r="BH308" s="3">
        <f t="shared" si="78"/>
        <v>0</v>
      </c>
      <c r="BI308" s="3">
        <f t="shared" si="79"/>
        <v>2</v>
      </c>
    </row>
    <row r="309" spans="1:62" x14ac:dyDescent="0.25">
      <c r="A309" s="29">
        <v>309</v>
      </c>
      <c r="B309" s="3" t="s">
        <v>1263</v>
      </c>
      <c r="C309" s="13" t="s">
        <v>333</v>
      </c>
      <c r="D309" s="13" t="s">
        <v>337</v>
      </c>
      <c r="E309" s="13" t="s">
        <v>1264</v>
      </c>
      <c r="F309" s="18" t="s">
        <v>1522</v>
      </c>
      <c r="G309" s="18">
        <v>45974</v>
      </c>
      <c r="H309" s="18">
        <v>46142</v>
      </c>
      <c r="I309" s="13" t="s">
        <v>23</v>
      </c>
      <c r="J309" s="13" t="s">
        <v>24</v>
      </c>
      <c r="K309" s="13" t="s">
        <v>36</v>
      </c>
      <c r="L309" s="13" t="s">
        <v>292</v>
      </c>
      <c r="M309" s="13" t="s">
        <v>1621</v>
      </c>
      <c r="N309" s="4">
        <v>9818408</v>
      </c>
      <c r="O309" s="4" t="s">
        <v>28</v>
      </c>
      <c r="P309" s="1" t="s">
        <v>5</v>
      </c>
      <c r="Q309" s="1" t="s">
        <v>29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3">
        <f t="shared" si="64"/>
        <v>0</v>
      </c>
      <c r="AU309" s="3">
        <f t="shared" si="65"/>
        <v>1</v>
      </c>
      <c r="AV309" s="3">
        <f t="shared" si="66"/>
        <v>0</v>
      </c>
      <c r="AW309" s="3">
        <f t="shared" si="67"/>
        <v>0</v>
      </c>
      <c r="AX309" s="3">
        <f t="shared" si="68"/>
        <v>0</v>
      </c>
      <c r="AY309" s="3">
        <f t="shared" si="69"/>
        <v>1</v>
      </c>
      <c r="AZ309" s="3">
        <f t="shared" si="70"/>
        <v>0</v>
      </c>
      <c r="BA309" s="3">
        <f t="shared" si="71"/>
        <v>0</v>
      </c>
      <c r="BB309" s="3">
        <f t="shared" si="72"/>
        <v>0</v>
      </c>
      <c r="BC309" s="3">
        <f t="shared" si="73"/>
        <v>0</v>
      </c>
      <c r="BD309" s="3">
        <f t="shared" si="74"/>
        <v>0</v>
      </c>
      <c r="BE309" s="3">
        <f t="shared" si="75"/>
        <v>0</v>
      </c>
      <c r="BF309" s="3">
        <f t="shared" si="76"/>
        <v>0</v>
      </c>
      <c r="BG309" s="3">
        <f t="shared" si="77"/>
        <v>0</v>
      </c>
      <c r="BH309" s="3">
        <f t="shared" si="78"/>
        <v>0</v>
      </c>
      <c r="BI309" s="3">
        <f t="shared" si="79"/>
        <v>2</v>
      </c>
    </row>
    <row r="310" spans="1:62" x14ac:dyDescent="0.25">
      <c r="A310" s="29">
        <v>311</v>
      </c>
      <c r="B310" s="3" t="s">
        <v>1265</v>
      </c>
      <c r="C310" s="13" t="s">
        <v>1067</v>
      </c>
      <c r="D310" s="13" t="s">
        <v>825</v>
      </c>
      <c r="E310" s="13" t="s">
        <v>1266</v>
      </c>
      <c r="F310" s="18" t="s">
        <v>1522</v>
      </c>
      <c r="G310" s="18">
        <v>45978</v>
      </c>
      <c r="H310" s="18">
        <v>46081</v>
      </c>
      <c r="I310" s="13" t="s">
        <v>23</v>
      </c>
      <c r="J310" s="13" t="s">
        <v>24</v>
      </c>
      <c r="K310" s="13" t="s">
        <v>36</v>
      </c>
      <c r="L310" s="13" t="s">
        <v>292</v>
      </c>
      <c r="M310" s="13" t="s">
        <v>1621</v>
      </c>
      <c r="N310" s="4">
        <v>993337210</v>
      </c>
      <c r="O310" s="4" t="s">
        <v>28</v>
      </c>
      <c r="P310" s="1" t="s">
        <v>5</v>
      </c>
      <c r="Q310" s="1" t="s">
        <v>29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3">
        <f t="shared" si="64"/>
        <v>0</v>
      </c>
      <c r="AU310" s="3">
        <f t="shared" si="65"/>
        <v>1</v>
      </c>
      <c r="AV310" s="3">
        <f t="shared" si="66"/>
        <v>0</v>
      </c>
      <c r="AW310" s="3">
        <f t="shared" si="67"/>
        <v>0</v>
      </c>
      <c r="AX310" s="3">
        <f t="shared" si="68"/>
        <v>0</v>
      </c>
      <c r="AY310" s="3">
        <f t="shared" si="69"/>
        <v>1</v>
      </c>
      <c r="AZ310" s="3">
        <f t="shared" si="70"/>
        <v>0</v>
      </c>
      <c r="BA310" s="3">
        <f t="shared" si="71"/>
        <v>0</v>
      </c>
      <c r="BB310" s="3">
        <f t="shared" si="72"/>
        <v>0</v>
      </c>
      <c r="BC310" s="3">
        <f t="shared" si="73"/>
        <v>0</v>
      </c>
      <c r="BD310" s="3">
        <f t="shared" si="74"/>
        <v>0</v>
      </c>
      <c r="BE310" s="3">
        <f t="shared" si="75"/>
        <v>0</v>
      </c>
      <c r="BF310" s="3">
        <f t="shared" si="76"/>
        <v>0</v>
      </c>
      <c r="BG310" s="3">
        <f t="shared" si="77"/>
        <v>0</v>
      </c>
      <c r="BH310" s="3">
        <f t="shared" si="78"/>
        <v>0</v>
      </c>
      <c r="BI310" s="3">
        <f t="shared" si="79"/>
        <v>2</v>
      </c>
    </row>
    <row r="311" spans="1:62" x14ac:dyDescent="0.25">
      <c r="A311" s="29">
        <v>312</v>
      </c>
      <c r="B311" s="3" t="s">
        <v>1270</v>
      </c>
      <c r="C311" s="13" t="s">
        <v>593</v>
      </c>
      <c r="D311" s="13" t="s">
        <v>498</v>
      </c>
      <c r="E311" s="13" t="s">
        <v>334</v>
      </c>
      <c r="F311" s="18" t="s">
        <v>1521</v>
      </c>
      <c r="G311" s="18">
        <v>45978</v>
      </c>
      <c r="H311" s="18">
        <v>46081</v>
      </c>
      <c r="I311" s="13" t="s">
        <v>23</v>
      </c>
      <c r="J311" s="13" t="s">
        <v>24</v>
      </c>
      <c r="K311" s="13" t="s">
        <v>36</v>
      </c>
      <c r="L311" s="13" t="s">
        <v>68</v>
      </c>
      <c r="M311" s="13" t="s">
        <v>1621</v>
      </c>
      <c r="N311" s="4">
        <v>988552325</v>
      </c>
      <c r="O311" s="4" t="s">
        <v>28</v>
      </c>
      <c r="P311" s="1" t="s">
        <v>5</v>
      </c>
      <c r="Q311" s="1" t="s">
        <v>29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3">
        <f t="shared" si="64"/>
        <v>0</v>
      </c>
      <c r="AU311" s="3">
        <f t="shared" si="65"/>
        <v>1</v>
      </c>
      <c r="AV311" s="3">
        <f t="shared" si="66"/>
        <v>0</v>
      </c>
      <c r="AW311" s="3">
        <f t="shared" si="67"/>
        <v>0</v>
      </c>
      <c r="AX311" s="3">
        <f t="shared" si="68"/>
        <v>0</v>
      </c>
      <c r="AY311" s="3">
        <f t="shared" si="69"/>
        <v>1</v>
      </c>
      <c r="AZ311" s="3">
        <f t="shared" si="70"/>
        <v>0</v>
      </c>
      <c r="BA311" s="3">
        <f t="shared" si="71"/>
        <v>0</v>
      </c>
      <c r="BB311" s="3">
        <f t="shared" si="72"/>
        <v>0</v>
      </c>
      <c r="BC311" s="3">
        <f t="shared" si="73"/>
        <v>0</v>
      </c>
      <c r="BD311" s="3">
        <f t="shared" si="74"/>
        <v>0</v>
      </c>
      <c r="BE311" s="3">
        <f t="shared" si="75"/>
        <v>0</v>
      </c>
      <c r="BF311" s="3">
        <f t="shared" si="76"/>
        <v>0</v>
      </c>
      <c r="BG311" s="3">
        <f t="shared" si="77"/>
        <v>0</v>
      </c>
      <c r="BH311" s="3">
        <f t="shared" si="78"/>
        <v>0</v>
      </c>
      <c r="BI311" s="3">
        <f t="shared" si="79"/>
        <v>2</v>
      </c>
    </row>
    <row r="312" spans="1:62" x14ac:dyDescent="0.25">
      <c r="A312" s="29">
        <v>313</v>
      </c>
      <c r="B312" s="3" t="s">
        <v>1273</v>
      </c>
      <c r="C312" s="13" t="s">
        <v>135</v>
      </c>
      <c r="D312" s="13" t="s">
        <v>1274</v>
      </c>
      <c r="E312" s="13" t="s">
        <v>246</v>
      </c>
      <c r="F312" s="18" t="s">
        <v>149</v>
      </c>
      <c r="G312" s="18">
        <v>45978</v>
      </c>
      <c r="H312" s="18">
        <v>46081</v>
      </c>
      <c r="I312" s="13" t="s">
        <v>23</v>
      </c>
      <c r="J312" s="13" t="s">
        <v>24</v>
      </c>
      <c r="K312" s="13" t="s">
        <v>36</v>
      </c>
      <c r="L312" s="13" t="s">
        <v>150</v>
      </c>
      <c r="M312" s="13" t="s">
        <v>1621</v>
      </c>
      <c r="N312" s="4">
        <v>944072623</v>
      </c>
      <c r="O312" s="4" t="s">
        <v>28</v>
      </c>
      <c r="P312" s="1" t="s">
        <v>5</v>
      </c>
      <c r="Q312" s="1" t="s">
        <v>29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3">
        <f t="shared" si="64"/>
        <v>0</v>
      </c>
      <c r="AU312" s="3">
        <f t="shared" si="65"/>
        <v>1</v>
      </c>
      <c r="AV312" s="3">
        <f t="shared" si="66"/>
        <v>0</v>
      </c>
      <c r="AW312" s="3">
        <f t="shared" si="67"/>
        <v>0</v>
      </c>
      <c r="AX312" s="3">
        <f t="shared" si="68"/>
        <v>0</v>
      </c>
      <c r="AY312" s="3">
        <f t="shared" si="69"/>
        <v>1</v>
      </c>
      <c r="AZ312" s="3">
        <f t="shared" si="70"/>
        <v>0</v>
      </c>
      <c r="BA312" s="3">
        <f t="shared" si="71"/>
        <v>0</v>
      </c>
      <c r="BB312" s="3">
        <f t="shared" si="72"/>
        <v>0</v>
      </c>
      <c r="BC312" s="3">
        <f t="shared" si="73"/>
        <v>0</v>
      </c>
      <c r="BD312" s="3">
        <f t="shared" si="74"/>
        <v>0</v>
      </c>
      <c r="BE312" s="3">
        <f t="shared" si="75"/>
        <v>0</v>
      </c>
      <c r="BF312" s="3">
        <f t="shared" si="76"/>
        <v>0</v>
      </c>
      <c r="BG312" s="3">
        <f t="shared" si="77"/>
        <v>0</v>
      </c>
      <c r="BH312" s="3">
        <f t="shared" si="78"/>
        <v>0</v>
      </c>
      <c r="BI312" s="3">
        <f t="shared" si="79"/>
        <v>2</v>
      </c>
    </row>
    <row r="313" spans="1:62" x14ac:dyDescent="0.25">
      <c r="A313" s="29">
        <v>315</v>
      </c>
      <c r="B313" s="3" t="s">
        <v>1277</v>
      </c>
      <c r="C313" s="13" t="s">
        <v>323</v>
      </c>
      <c r="D313" s="13" t="s">
        <v>1278</v>
      </c>
      <c r="E313" s="13" t="s">
        <v>1279</v>
      </c>
      <c r="F313" s="18" t="s">
        <v>1535</v>
      </c>
      <c r="G313" s="18">
        <v>45978</v>
      </c>
      <c r="H313" s="18">
        <v>46081</v>
      </c>
      <c r="I313" s="13" t="s">
        <v>23</v>
      </c>
      <c r="J313" s="13" t="s">
        <v>24</v>
      </c>
      <c r="K313" s="13" t="s">
        <v>36</v>
      </c>
      <c r="L313" s="13" t="s">
        <v>1373</v>
      </c>
      <c r="M313" s="13" t="s">
        <v>1621</v>
      </c>
      <c r="N313" s="4">
        <v>979032799</v>
      </c>
      <c r="O313" s="4" t="s">
        <v>28</v>
      </c>
      <c r="P313" s="1" t="s">
        <v>5</v>
      </c>
      <c r="Q313" s="1" t="s">
        <v>29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3">
        <f t="shared" si="64"/>
        <v>0</v>
      </c>
      <c r="AU313" s="3">
        <f t="shared" si="65"/>
        <v>1</v>
      </c>
      <c r="AV313" s="3">
        <f t="shared" si="66"/>
        <v>0</v>
      </c>
      <c r="AW313" s="3">
        <f t="shared" si="67"/>
        <v>0</v>
      </c>
      <c r="AX313" s="3">
        <f t="shared" si="68"/>
        <v>0</v>
      </c>
      <c r="AY313" s="3">
        <f t="shared" si="69"/>
        <v>1</v>
      </c>
      <c r="AZ313" s="3">
        <f t="shared" si="70"/>
        <v>0</v>
      </c>
      <c r="BA313" s="3">
        <f t="shared" si="71"/>
        <v>0</v>
      </c>
      <c r="BB313" s="3">
        <f t="shared" si="72"/>
        <v>0</v>
      </c>
      <c r="BC313" s="3">
        <f t="shared" si="73"/>
        <v>0</v>
      </c>
      <c r="BD313" s="3">
        <f t="shared" si="74"/>
        <v>0</v>
      </c>
      <c r="BE313" s="3">
        <f t="shared" si="75"/>
        <v>0</v>
      </c>
      <c r="BF313" s="3">
        <f t="shared" si="76"/>
        <v>0</v>
      </c>
      <c r="BG313" s="3">
        <f t="shared" si="77"/>
        <v>0</v>
      </c>
      <c r="BH313" s="3">
        <f t="shared" si="78"/>
        <v>0</v>
      </c>
      <c r="BI313" s="3">
        <f t="shared" si="79"/>
        <v>2</v>
      </c>
    </row>
    <row r="314" spans="1:62" x14ac:dyDescent="0.25">
      <c r="A314" s="29">
        <v>316</v>
      </c>
      <c r="B314" s="3" t="s">
        <v>1267</v>
      </c>
      <c r="C314" s="13" t="s">
        <v>1268</v>
      </c>
      <c r="D314" s="13" t="s">
        <v>286</v>
      </c>
      <c r="E314" s="13" t="s">
        <v>1269</v>
      </c>
      <c r="F314" s="18" t="s">
        <v>1522</v>
      </c>
      <c r="G314" s="18">
        <v>45978</v>
      </c>
      <c r="H314" s="18">
        <v>46081</v>
      </c>
      <c r="I314" s="13" t="s">
        <v>23</v>
      </c>
      <c r="J314" s="13" t="s">
        <v>24</v>
      </c>
      <c r="K314" s="13" t="s">
        <v>56</v>
      </c>
      <c r="L314" s="13" t="s">
        <v>216</v>
      </c>
      <c r="M314" s="13" t="s">
        <v>1621</v>
      </c>
      <c r="N314" s="4">
        <v>968491904</v>
      </c>
      <c r="O314" s="4" t="s">
        <v>28</v>
      </c>
      <c r="P314" s="1" t="s">
        <v>39</v>
      </c>
      <c r="Q314" s="1" t="s">
        <v>5</v>
      </c>
      <c r="R314" s="1" t="s">
        <v>5</v>
      </c>
      <c r="S314" s="1" t="s">
        <v>5</v>
      </c>
      <c r="T314" s="1" t="s">
        <v>5</v>
      </c>
      <c r="U314" s="1" t="s">
        <v>5</v>
      </c>
      <c r="V314" s="1" t="s">
        <v>5</v>
      </c>
      <c r="W314" s="1" t="s">
        <v>5</v>
      </c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3">
        <f t="shared" si="64"/>
        <v>1</v>
      </c>
      <c r="AU314" s="3">
        <f t="shared" si="65"/>
        <v>0</v>
      </c>
      <c r="AV314" s="3">
        <f t="shared" si="66"/>
        <v>0</v>
      </c>
      <c r="AW314" s="3">
        <f t="shared" si="67"/>
        <v>0</v>
      </c>
      <c r="AX314" s="3">
        <f t="shared" si="68"/>
        <v>0</v>
      </c>
      <c r="AY314" s="3">
        <f t="shared" si="69"/>
        <v>7</v>
      </c>
      <c r="AZ314" s="3">
        <f t="shared" si="70"/>
        <v>0</v>
      </c>
      <c r="BA314" s="3">
        <f t="shared" si="71"/>
        <v>0</v>
      </c>
      <c r="BB314" s="3">
        <f t="shared" si="72"/>
        <v>0</v>
      </c>
      <c r="BC314" s="3">
        <f t="shared" si="73"/>
        <v>0</v>
      </c>
      <c r="BD314" s="3">
        <f t="shared" si="74"/>
        <v>0</v>
      </c>
      <c r="BE314" s="3">
        <f t="shared" si="75"/>
        <v>0</v>
      </c>
      <c r="BF314" s="3">
        <f t="shared" si="76"/>
        <v>0</v>
      </c>
      <c r="BG314" s="3">
        <f t="shared" si="77"/>
        <v>0</v>
      </c>
      <c r="BH314" s="3">
        <f t="shared" si="78"/>
        <v>0</v>
      </c>
      <c r="BI314" s="3">
        <f t="shared" si="79"/>
        <v>8</v>
      </c>
    </row>
    <row r="315" spans="1:62" x14ac:dyDescent="0.25">
      <c r="A315" s="29">
        <v>317</v>
      </c>
      <c r="B315" s="3" t="s">
        <v>368</v>
      </c>
      <c r="C315" s="13" t="s">
        <v>369</v>
      </c>
      <c r="D315" s="13" t="s">
        <v>135</v>
      </c>
      <c r="E315" s="13" t="s">
        <v>370</v>
      </c>
      <c r="F315" s="18" t="s">
        <v>371</v>
      </c>
      <c r="G315" s="18">
        <v>45978</v>
      </c>
      <c r="H315" s="18">
        <v>46081</v>
      </c>
      <c r="I315" s="13" t="s">
        <v>23</v>
      </c>
      <c r="J315" s="13" t="s">
        <v>24</v>
      </c>
      <c r="K315" s="13" t="s">
        <v>56</v>
      </c>
      <c r="L315" s="13" t="s">
        <v>446</v>
      </c>
      <c r="M315" s="13" t="s">
        <v>1621</v>
      </c>
      <c r="N315" s="4">
        <v>984646269</v>
      </c>
      <c r="O315" s="4" t="s">
        <v>28</v>
      </c>
      <c r="P315" s="1" t="s">
        <v>39</v>
      </c>
      <c r="Q315" s="1" t="s">
        <v>5</v>
      </c>
      <c r="R315" s="1" t="s">
        <v>5</v>
      </c>
      <c r="S315" s="1" t="s">
        <v>5</v>
      </c>
      <c r="T315" s="1" t="s">
        <v>5</v>
      </c>
      <c r="U315" s="1" t="s">
        <v>5</v>
      </c>
      <c r="V315" s="1" t="s">
        <v>5</v>
      </c>
      <c r="W315" s="1" t="s">
        <v>5</v>
      </c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3">
        <f t="shared" si="64"/>
        <v>1</v>
      </c>
      <c r="AU315" s="3">
        <f t="shared" si="65"/>
        <v>0</v>
      </c>
      <c r="AV315" s="3">
        <f t="shared" si="66"/>
        <v>0</v>
      </c>
      <c r="AW315" s="3">
        <f t="shared" si="67"/>
        <v>0</v>
      </c>
      <c r="AX315" s="3">
        <f t="shared" si="68"/>
        <v>0</v>
      </c>
      <c r="AY315" s="3">
        <f t="shared" si="69"/>
        <v>7</v>
      </c>
      <c r="AZ315" s="3">
        <f t="shared" si="70"/>
        <v>0</v>
      </c>
      <c r="BA315" s="3">
        <f t="shared" si="71"/>
        <v>0</v>
      </c>
      <c r="BB315" s="3">
        <f t="shared" si="72"/>
        <v>0</v>
      </c>
      <c r="BC315" s="3">
        <f t="shared" si="73"/>
        <v>0</v>
      </c>
      <c r="BD315" s="3">
        <f t="shared" si="74"/>
        <v>0</v>
      </c>
      <c r="BE315" s="3">
        <f t="shared" si="75"/>
        <v>0</v>
      </c>
      <c r="BF315" s="3">
        <f t="shared" si="76"/>
        <v>0</v>
      </c>
      <c r="BG315" s="3">
        <f t="shared" si="77"/>
        <v>0</v>
      </c>
      <c r="BH315" s="3">
        <f t="shared" si="78"/>
        <v>0</v>
      </c>
      <c r="BI315" s="3">
        <f t="shared" si="79"/>
        <v>8</v>
      </c>
    </row>
    <row r="316" spans="1:62" x14ac:dyDescent="0.25">
      <c r="A316" s="29">
        <v>318</v>
      </c>
      <c r="B316" s="3" t="s">
        <v>1275</v>
      </c>
      <c r="C316" s="13" t="s">
        <v>171</v>
      </c>
      <c r="D316" s="13" t="s">
        <v>356</v>
      </c>
      <c r="E316" s="13" t="s">
        <v>1276</v>
      </c>
      <c r="F316" s="18" t="s">
        <v>1545</v>
      </c>
      <c r="G316" s="18">
        <v>45978</v>
      </c>
      <c r="H316" s="18">
        <v>46081</v>
      </c>
      <c r="I316" s="13" t="s">
        <v>23</v>
      </c>
      <c r="J316" s="13" t="s">
        <v>24</v>
      </c>
      <c r="K316" s="13" t="s">
        <v>43</v>
      </c>
      <c r="L316" s="13" t="s">
        <v>68</v>
      </c>
      <c r="M316" s="13" t="s">
        <v>1621</v>
      </c>
      <c r="N316" s="4">
        <v>957636768</v>
      </c>
      <c r="O316" s="4" t="s">
        <v>28</v>
      </c>
      <c r="P316" s="1" t="s">
        <v>29</v>
      </c>
      <c r="Q316" s="1" t="s">
        <v>5</v>
      </c>
      <c r="R316" s="1" t="s">
        <v>5</v>
      </c>
      <c r="S316" s="1" t="s">
        <v>5</v>
      </c>
      <c r="T316" s="1" t="s">
        <v>5</v>
      </c>
      <c r="U316" s="1" t="s">
        <v>5</v>
      </c>
      <c r="V316" s="1" t="s">
        <v>5</v>
      </c>
      <c r="W316" s="1" t="s">
        <v>5</v>
      </c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3">
        <f t="shared" si="64"/>
        <v>0</v>
      </c>
      <c r="AU316" s="3">
        <f t="shared" si="65"/>
        <v>1</v>
      </c>
      <c r="AV316" s="3">
        <f t="shared" si="66"/>
        <v>0</v>
      </c>
      <c r="AW316" s="3">
        <f t="shared" si="67"/>
        <v>0</v>
      </c>
      <c r="AX316" s="3">
        <f t="shared" si="68"/>
        <v>0</v>
      </c>
      <c r="AY316" s="3">
        <f t="shared" si="69"/>
        <v>7</v>
      </c>
      <c r="AZ316" s="3">
        <f t="shared" si="70"/>
        <v>0</v>
      </c>
      <c r="BA316" s="3">
        <f t="shared" si="71"/>
        <v>0</v>
      </c>
      <c r="BB316" s="3">
        <f t="shared" si="72"/>
        <v>0</v>
      </c>
      <c r="BC316" s="3">
        <f t="shared" si="73"/>
        <v>0</v>
      </c>
      <c r="BD316" s="3">
        <f t="shared" si="74"/>
        <v>0</v>
      </c>
      <c r="BE316" s="3">
        <f t="shared" si="75"/>
        <v>0</v>
      </c>
      <c r="BF316" s="3">
        <f t="shared" si="76"/>
        <v>0</v>
      </c>
      <c r="BG316" s="3">
        <f t="shared" si="77"/>
        <v>0</v>
      </c>
      <c r="BH316" s="3">
        <f t="shared" si="78"/>
        <v>0</v>
      </c>
      <c r="BI316" s="3">
        <f t="shared" si="79"/>
        <v>8</v>
      </c>
    </row>
    <row r="317" spans="1:62" x14ac:dyDescent="0.25">
      <c r="A317" s="29">
        <v>314</v>
      </c>
      <c r="B317" s="3" t="s">
        <v>1280</v>
      </c>
      <c r="C317" s="13" t="s">
        <v>877</v>
      </c>
      <c r="D317" s="13" t="s">
        <v>135</v>
      </c>
      <c r="E317" s="13" t="s">
        <v>1281</v>
      </c>
      <c r="F317" s="18" t="s">
        <v>34</v>
      </c>
      <c r="G317" s="18">
        <v>45978</v>
      </c>
      <c r="H317" s="18">
        <v>46081</v>
      </c>
      <c r="I317" s="13" t="s">
        <v>23</v>
      </c>
      <c r="J317" s="13" t="s">
        <v>24</v>
      </c>
      <c r="K317" s="13" t="s">
        <v>25</v>
      </c>
      <c r="L317" s="13" t="s">
        <v>292</v>
      </c>
      <c r="M317" s="13" t="s">
        <v>1621</v>
      </c>
      <c r="N317" s="4">
        <v>934060843</v>
      </c>
      <c r="O317" s="4" t="s">
        <v>28</v>
      </c>
      <c r="P317" s="1" t="s">
        <v>5</v>
      </c>
      <c r="Q317" s="1" t="s">
        <v>39</v>
      </c>
      <c r="R317" s="1" t="s">
        <v>39</v>
      </c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3">
        <f t="shared" si="64"/>
        <v>2</v>
      </c>
      <c r="AU317" s="3">
        <f t="shared" si="65"/>
        <v>0</v>
      </c>
      <c r="AV317" s="3">
        <f t="shared" si="66"/>
        <v>0</v>
      </c>
      <c r="AW317" s="3">
        <f t="shared" si="67"/>
        <v>0</v>
      </c>
      <c r="AX317" s="3">
        <f t="shared" si="68"/>
        <v>0</v>
      </c>
      <c r="AY317" s="3">
        <f t="shared" si="69"/>
        <v>1</v>
      </c>
      <c r="AZ317" s="3">
        <f t="shared" si="70"/>
        <v>0</v>
      </c>
      <c r="BA317" s="3">
        <f t="shared" si="71"/>
        <v>0</v>
      </c>
      <c r="BB317" s="3">
        <f t="shared" si="72"/>
        <v>0</v>
      </c>
      <c r="BC317" s="3">
        <f t="shared" si="73"/>
        <v>0</v>
      </c>
      <c r="BD317" s="3">
        <f t="shared" si="74"/>
        <v>0</v>
      </c>
      <c r="BE317" s="3">
        <f t="shared" si="75"/>
        <v>0</v>
      </c>
      <c r="BF317" s="3">
        <f t="shared" si="76"/>
        <v>0</v>
      </c>
      <c r="BG317" s="3">
        <f t="shared" si="77"/>
        <v>0</v>
      </c>
      <c r="BH317" s="3">
        <f t="shared" si="78"/>
        <v>0</v>
      </c>
      <c r="BI317" s="3">
        <f t="shared" si="79"/>
        <v>3</v>
      </c>
    </row>
    <row r="318" spans="1:62" x14ac:dyDescent="0.25">
      <c r="A318" s="29">
        <v>319</v>
      </c>
      <c r="B318" s="3" t="s">
        <v>928</v>
      </c>
      <c r="C318" s="13" t="s">
        <v>680</v>
      </c>
      <c r="D318" s="13" t="s">
        <v>531</v>
      </c>
      <c r="E318" s="13" t="s">
        <v>929</v>
      </c>
      <c r="F318" s="22" t="s">
        <v>67</v>
      </c>
      <c r="G318" s="25">
        <v>45978</v>
      </c>
      <c r="H318" s="25">
        <v>46081</v>
      </c>
      <c r="I318" s="22" t="s">
        <v>23</v>
      </c>
      <c r="J318" s="22" t="s">
        <v>24</v>
      </c>
      <c r="K318" s="13" t="s">
        <v>56</v>
      </c>
      <c r="L318" s="13" t="s">
        <v>1517</v>
      </c>
      <c r="M318" s="13" t="s">
        <v>1621</v>
      </c>
      <c r="N318" s="4">
        <v>940491659</v>
      </c>
      <c r="O318" s="4" t="s">
        <v>994</v>
      </c>
      <c r="P318" s="1" t="s">
        <v>39</v>
      </c>
      <c r="Q318" s="1" t="s">
        <v>5</v>
      </c>
      <c r="R318" s="1" t="s">
        <v>5</v>
      </c>
      <c r="S318" s="1" t="s">
        <v>5</v>
      </c>
      <c r="T318" s="1" t="s">
        <v>5</v>
      </c>
      <c r="U318" s="1" t="s">
        <v>5</v>
      </c>
      <c r="V318" s="1" t="s">
        <v>5</v>
      </c>
      <c r="W318" s="1" t="s">
        <v>5</v>
      </c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3">
        <f t="shared" si="64"/>
        <v>1</v>
      </c>
      <c r="AU318" s="3">
        <f t="shared" si="65"/>
        <v>0</v>
      </c>
      <c r="AV318" s="3">
        <f t="shared" si="66"/>
        <v>0</v>
      </c>
      <c r="AW318" s="3">
        <f t="shared" si="67"/>
        <v>0</v>
      </c>
      <c r="AX318" s="3">
        <f t="shared" si="68"/>
        <v>0</v>
      </c>
      <c r="AY318" s="3">
        <f t="shared" si="69"/>
        <v>7</v>
      </c>
      <c r="AZ318" s="3">
        <f t="shared" si="70"/>
        <v>0</v>
      </c>
      <c r="BA318" s="3">
        <f t="shared" si="71"/>
        <v>0</v>
      </c>
      <c r="BB318" s="3">
        <f t="shared" si="72"/>
        <v>0</v>
      </c>
      <c r="BC318" s="3">
        <f t="shared" si="73"/>
        <v>0</v>
      </c>
      <c r="BD318" s="3">
        <f t="shared" si="74"/>
        <v>0</v>
      </c>
      <c r="BE318" s="3">
        <f t="shared" si="75"/>
        <v>0</v>
      </c>
      <c r="BF318" s="3">
        <f t="shared" si="76"/>
        <v>0</v>
      </c>
      <c r="BG318" s="3">
        <f t="shared" si="77"/>
        <v>0</v>
      </c>
      <c r="BH318" s="3">
        <f t="shared" si="78"/>
        <v>0</v>
      </c>
      <c r="BI318" s="3">
        <f t="shared" si="79"/>
        <v>8</v>
      </c>
    </row>
    <row r="319" spans="1:62" x14ac:dyDescent="0.25">
      <c r="A319" s="29">
        <v>320</v>
      </c>
      <c r="B319" s="3" t="s">
        <v>1290</v>
      </c>
      <c r="C319" s="13" t="s">
        <v>658</v>
      </c>
      <c r="D319" s="13" t="s">
        <v>65</v>
      </c>
      <c r="E319" s="13" t="s">
        <v>1291</v>
      </c>
      <c r="F319" s="18" t="s">
        <v>138</v>
      </c>
      <c r="G319" s="18">
        <v>45985</v>
      </c>
      <c r="H319" s="18">
        <v>46081</v>
      </c>
      <c r="I319" s="13" t="s">
        <v>23</v>
      </c>
      <c r="J319" s="13" t="s">
        <v>24</v>
      </c>
      <c r="K319" s="13" t="s">
        <v>36</v>
      </c>
      <c r="L319" s="13" t="s">
        <v>292</v>
      </c>
      <c r="M319" s="13" t="s">
        <v>1621</v>
      </c>
      <c r="N319" s="4">
        <v>973385575</v>
      </c>
      <c r="O319" s="4" t="s">
        <v>28</v>
      </c>
      <c r="P319" s="1" t="s">
        <v>5</v>
      </c>
      <c r="Q319" s="1" t="s">
        <v>29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3">
        <f t="shared" si="64"/>
        <v>0</v>
      </c>
      <c r="AU319" s="3">
        <f t="shared" si="65"/>
        <v>1</v>
      </c>
      <c r="AV319" s="3">
        <f t="shared" si="66"/>
        <v>0</v>
      </c>
      <c r="AW319" s="3">
        <f t="shared" si="67"/>
        <v>0</v>
      </c>
      <c r="AX319" s="3">
        <f t="shared" si="68"/>
        <v>0</v>
      </c>
      <c r="AY319" s="3">
        <f t="shared" si="69"/>
        <v>1</v>
      </c>
      <c r="AZ319" s="3">
        <f t="shared" si="70"/>
        <v>0</v>
      </c>
      <c r="BA319" s="3">
        <f t="shared" si="71"/>
        <v>0</v>
      </c>
      <c r="BB319" s="3">
        <f t="shared" si="72"/>
        <v>0</v>
      </c>
      <c r="BC319" s="3">
        <f t="shared" si="73"/>
        <v>0</v>
      </c>
      <c r="BD319" s="3">
        <f t="shared" si="74"/>
        <v>0</v>
      </c>
      <c r="BE319" s="3">
        <f t="shared" si="75"/>
        <v>0</v>
      </c>
      <c r="BF319" s="3">
        <f t="shared" si="76"/>
        <v>0</v>
      </c>
      <c r="BG319" s="3">
        <f t="shared" si="77"/>
        <v>0</v>
      </c>
      <c r="BH319" s="3">
        <f t="shared" si="78"/>
        <v>0</v>
      </c>
      <c r="BI319" s="3">
        <f t="shared" si="79"/>
        <v>2</v>
      </c>
    </row>
    <row r="320" spans="1:62" x14ac:dyDescent="0.25">
      <c r="A320" s="29">
        <v>321</v>
      </c>
      <c r="B320" s="3" t="s">
        <v>1292</v>
      </c>
      <c r="C320" s="13" t="s">
        <v>94</v>
      </c>
      <c r="D320" s="13" t="s">
        <v>1249</v>
      </c>
      <c r="E320" s="13" t="s">
        <v>537</v>
      </c>
      <c r="F320" s="18" t="s">
        <v>1522</v>
      </c>
      <c r="G320" s="18">
        <v>45985</v>
      </c>
      <c r="H320" s="18">
        <v>46081</v>
      </c>
      <c r="I320" s="13" t="s">
        <v>23</v>
      </c>
      <c r="J320" s="13" t="s">
        <v>24</v>
      </c>
      <c r="K320" s="13" t="s">
        <v>36</v>
      </c>
      <c r="L320" s="13" t="s">
        <v>292</v>
      </c>
      <c r="M320" s="13" t="s">
        <v>1621</v>
      </c>
      <c r="N320" s="4">
        <v>956165108</v>
      </c>
      <c r="O320" s="4" t="s">
        <v>28</v>
      </c>
      <c r="P320" s="1" t="s">
        <v>5</v>
      </c>
      <c r="Q320" s="1" t="s">
        <v>29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3">
        <f t="shared" si="64"/>
        <v>0</v>
      </c>
      <c r="AU320" s="3">
        <f t="shared" si="65"/>
        <v>1</v>
      </c>
      <c r="AV320" s="3">
        <f t="shared" si="66"/>
        <v>0</v>
      </c>
      <c r="AW320" s="3">
        <f t="shared" si="67"/>
        <v>0</v>
      </c>
      <c r="AX320" s="3">
        <f t="shared" si="68"/>
        <v>0</v>
      </c>
      <c r="AY320" s="3">
        <f t="shared" si="69"/>
        <v>1</v>
      </c>
      <c r="AZ320" s="3">
        <f t="shared" si="70"/>
        <v>0</v>
      </c>
      <c r="BA320" s="3">
        <f t="shared" si="71"/>
        <v>0</v>
      </c>
      <c r="BB320" s="3">
        <f t="shared" si="72"/>
        <v>0</v>
      </c>
      <c r="BC320" s="3">
        <f t="shared" si="73"/>
        <v>0</v>
      </c>
      <c r="BD320" s="3">
        <f t="shared" si="74"/>
        <v>0</v>
      </c>
      <c r="BE320" s="3">
        <f t="shared" si="75"/>
        <v>0</v>
      </c>
      <c r="BF320" s="3">
        <f t="shared" si="76"/>
        <v>0</v>
      </c>
      <c r="BG320" s="3">
        <f t="shared" si="77"/>
        <v>0</v>
      </c>
      <c r="BH320" s="3">
        <f t="shared" si="78"/>
        <v>0</v>
      </c>
      <c r="BI320" s="3">
        <f t="shared" si="79"/>
        <v>2</v>
      </c>
    </row>
    <row r="321" spans="1:126" s="17" customFormat="1" x14ac:dyDescent="0.25">
      <c r="A321" s="29">
        <v>323</v>
      </c>
      <c r="B321" s="3" t="s">
        <v>1285</v>
      </c>
      <c r="C321" s="13" t="s">
        <v>593</v>
      </c>
      <c r="D321" s="13" t="s">
        <v>1286</v>
      </c>
      <c r="E321" s="13" t="s">
        <v>1287</v>
      </c>
      <c r="F321" s="18" t="s">
        <v>1522</v>
      </c>
      <c r="G321" s="18">
        <v>45985</v>
      </c>
      <c r="H321" s="18">
        <v>46081</v>
      </c>
      <c r="I321" s="13" t="s">
        <v>23</v>
      </c>
      <c r="J321" s="13" t="s">
        <v>24</v>
      </c>
      <c r="K321" s="13" t="s">
        <v>43</v>
      </c>
      <c r="L321" s="13" t="s">
        <v>216</v>
      </c>
      <c r="M321" s="13" t="s">
        <v>1621</v>
      </c>
      <c r="N321" s="4">
        <v>946295326</v>
      </c>
      <c r="O321" s="4" t="s">
        <v>28</v>
      </c>
      <c r="P321" s="1" t="s">
        <v>29</v>
      </c>
      <c r="Q321" s="1" t="s">
        <v>5</v>
      </c>
      <c r="R321" s="1" t="s">
        <v>5</v>
      </c>
      <c r="S321" s="1" t="s">
        <v>5</v>
      </c>
      <c r="T321" s="1" t="s">
        <v>5</v>
      </c>
      <c r="U321" s="1" t="s">
        <v>5</v>
      </c>
      <c r="V321" s="1" t="s">
        <v>5</v>
      </c>
      <c r="W321" s="1" t="s">
        <v>5</v>
      </c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3"/>
      <c r="AQ321" s="3"/>
      <c r="AR321" s="3"/>
      <c r="AS321" s="3"/>
      <c r="AT321" s="3">
        <f t="shared" si="64"/>
        <v>0</v>
      </c>
      <c r="AU321" s="3">
        <f t="shared" si="65"/>
        <v>1</v>
      </c>
      <c r="AV321" s="3">
        <f t="shared" si="66"/>
        <v>0</v>
      </c>
      <c r="AW321" s="3">
        <f t="shared" si="67"/>
        <v>0</v>
      </c>
      <c r="AX321" s="3">
        <f t="shared" si="68"/>
        <v>0</v>
      </c>
      <c r="AY321" s="3">
        <f t="shared" si="69"/>
        <v>7</v>
      </c>
      <c r="AZ321" s="3">
        <f t="shared" si="70"/>
        <v>0</v>
      </c>
      <c r="BA321" s="3">
        <f t="shared" si="71"/>
        <v>0</v>
      </c>
      <c r="BB321" s="3">
        <f t="shared" si="72"/>
        <v>0</v>
      </c>
      <c r="BC321" s="3">
        <f t="shared" si="73"/>
        <v>0</v>
      </c>
      <c r="BD321" s="3">
        <f t="shared" si="74"/>
        <v>0</v>
      </c>
      <c r="BE321" s="3">
        <f t="shared" si="75"/>
        <v>0</v>
      </c>
      <c r="BF321" s="3">
        <f t="shared" si="76"/>
        <v>0</v>
      </c>
      <c r="BG321" s="3">
        <f t="shared" si="77"/>
        <v>0</v>
      </c>
      <c r="BH321" s="3">
        <f t="shared" si="78"/>
        <v>0</v>
      </c>
      <c r="BI321" s="3">
        <f t="shared" si="79"/>
        <v>8</v>
      </c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</row>
    <row r="322" spans="1:126" x14ac:dyDescent="0.25">
      <c r="A322" s="29">
        <v>324</v>
      </c>
      <c r="B322" s="3" t="s">
        <v>1288</v>
      </c>
      <c r="C322" s="13" t="s">
        <v>135</v>
      </c>
      <c r="D322" s="13" t="s">
        <v>1289</v>
      </c>
      <c r="E322" s="13" t="s">
        <v>649</v>
      </c>
      <c r="F322" s="18" t="s">
        <v>1522</v>
      </c>
      <c r="G322" s="18">
        <v>45985</v>
      </c>
      <c r="H322" s="18">
        <v>46081</v>
      </c>
      <c r="I322" s="13" t="s">
        <v>23</v>
      </c>
      <c r="J322" s="13" t="s">
        <v>24</v>
      </c>
      <c r="K322" s="13" t="s">
        <v>43</v>
      </c>
      <c r="L322" s="13" t="s">
        <v>216</v>
      </c>
      <c r="M322" s="13" t="s">
        <v>1621</v>
      </c>
      <c r="N322" s="4">
        <v>987861903</v>
      </c>
      <c r="O322" s="4" t="s">
        <v>28</v>
      </c>
      <c r="P322" s="1" t="s">
        <v>29</v>
      </c>
      <c r="Q322" s="1" t="s">
        <v>5</v>
      </c>
      <c r="R322" s="1" t="s">
        <v>5</v>
      </c>
      <c r="S322" s="1" t="s">
        <v>5</v>
      </c>
      <c r="T322" s="1" t="s">
        <v>5</v>
      </c>
      <c r="U322" s="1" t="s">
        <v>5</v>
      </c>
      <c r="V322" s="1" t="s">
        <v>5</v>
      </c>
      <c r="W322" s="1" t="s">
        <v>5</v>
      </c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3">
        <f t="shared" si="64"/>
        <v>0</v>
      </c>
      <c r="AU322" s="3">
        <f t="shared" si="65"/>
        <v>1</v>
      </c>
      <c r="AV322" s="3">
        <f t="shared" si="66"/>
        <v>0</v>
      </c>
      <c r="AW322" s="3">
        <f t="shared" si="67"/>
        <v>0</v>
      </c>
      <c r="AX322" s="3">
        <f t="shared" si="68"/>
        <v>0</v>
      </c>
      <c r="AY322" s="3">
        <f t="shared" si="69"/>
        <v>7</v>
      </c>
      <c r="AZ322" s="3">
        <f t="shared" si="70"/>
        <v>0</v>
      </c>
      <c r="BA322" s="3">
        <f t="shared" si="71"/>
        <v>0</v>
      </c>
      <c r="BB322" s="3">
        <f t="shared" si="72"/>
        <v>0</v>
      </c>
      <c r="BC322" s="3">
        <f t="shared" si="73"/>
        <v>0</v>
      </c>
      <c r="BD322" s="3">
        <f t="shared" si="74"/>
        <v>0</v>
      </c>
      <c r="BE322" s="3">
        <f t="shared" si="75"/>
        <v>0</v>
      </c>
      <c r="BF322" s="3">
        <f t="shared" si="76"/>
        <v>0</v>
      </c>
      <c r="BG322" s="3">
        <f t="shared" si="77"/>
        <v>0</v>
      </c>
      <c r="BH322" s="3">
        <f t="shared" si="78"/>
        <v>0</v>
      </c>
      <c r="BI322" s="3">
        <f t="shared" si="79"/>
        <v>8</v>
      </c>
    </row>
    <row r="323" spans="1:126" x14ac:dyDescent="0.25">
      <c r="A323" s="29">
        <v>325</v>
      </c>
      <c r="B323" s="3" t="s">
        <v>1293</v>
      </c>
      <c r="C323" s="13" t="s">
        <v>94</v>
      </c>
      <c r="D323" s="13" t="s">
        <v>287</v>
      </c>
      <c r="E323" s="13" t="s">
        <v>450</v>
      </c>
      <c r="F323" s="18" t="s">
        <v>1535</v>
      </c>
      <c r="G323" s="18">
        <v>45985</v>
      </c>
      <c r="H323" s="18">
        <v>46081</v>
      </c>
      <c r="I323" s="13" t="s">
        <v>23</v>
      </c>
      <c r="J323" s="13" t="s">
        <v>24</v>
      </c>
      <c r="K323" s="13" t="s">
        <v>56</v>
      </c>
      <c r="L323" s="13" t="s">
        <v>292</v>
      </c>
      <c r="M323" s="13" t="s">
        <v>1621</v>
      </c>
      <c r="N323" s="4">
        <v>963089871</v>
      </c>
      <c r="O323" s="4" t="s">
        <v>28</v>
      </c>
      <c r="P323" s="1" t="s">
        <v>39</v>
      </c>
      <c r="Q323" s="1" t="s">
        <v>5</v>
      </c>
      <c r="R323" s="1" t="s">
        <v>5</v>
      </c>
      <c r="S323" s="1" t="s">
        <v>5</v>
      </c>
      <c r="T323" s="1" t="s">
        <v>5</v>
      </c>
      <c r="U323" s="1" t="s">
        <v>5</v>
      </c>
      <c r="V323" s="1" t="s">
        <v>5</v>
      </c>
      <c r="W323" s="1" t="s">
        <v>5</v>
      </c>
      <c r="X323" s="1"/>
      <c r="Y323" s="1"/>
      <c r="Z323" s="1"/>
      <c r="AA323" s="1"/>
      <c r="AB323" s="1"/>
      <c r="AC323" s="1"/>
      <c r="AD323" s="1"/>
      <c r="AE323" s="1"/>
      <c r="AF323" s="1"/>
      <c r="AG323" s="3"/>
      <c r="AH323" s="1"/>
      <c r="AI323" s="1"/>
      <c r="AJ323" s="1"/>
      <c r="AK323" s="1"/>
      <c r="AL323" s="1"/>
      <c r="AM323" s="1"/>
      <c r="AN323" s="1"/>
      <c r="AO323" s="1"/>
      <c r="AP323" s="1"/>
      <c r="AQ323" s="3"/>
      <c r="AR323" s="1"/>
      <c r="AS323" s="1"/>
      <c r="AT323" s="3">
        <f t="shared" si="64"/>
        <v>1</v>
      </c>
      <c r="AU323" s="3">
        <f t="shared" si="65"/>
        <v>0</v>
      </c>
      <c r="AV323" s="3">
        <f t="shared" si="66"/>
        <v>0</v>
      </c>
      <c r="AW323" s="3">
        <f t="shared" si="67"/>
        <v>0</v>
      </c>
      <c r="AX323" s="3">
        <f t="shared" si="68"/>
        <v>0</v>
      </c>
      <c r="AY323" s="3">
        <f t="shared" si="69"/>
        <v>7</v>
      </c>
      <c r="AZ323" s="3">
        <f t="shared" si="70"/>
        <v>0</v>
      </c>
      <c r="BA323" s="3">
        <f t="shared" si="71"/>
        <v>0</v>
      </c>
      <c r="BB323" s="3">
        <f t="shared" si="72"/>
        <v>0</v>
      </c>
      <c r="BC323" s="3">
        <f t="shared" si="73"/>
        <v>0</v>
      </c>
      <c r="BD323" s="3">
        <f t="shared" si="74"/>
        <v>0</v>
      </c>
      <c r="BE323" s="3">
        <f t="shared" si="75"/>
        <v>0</v>
      </c>
      <c r="BF323" s="3">
        <f t="shared" si="76"/>
        <v>0</v>
      </c>
      <c r="BG323" s="3">
        <f t="shared" si="77"/>
        <v>0</v>
      </c>
      <c r="BH323" s="3">
        <f t="shared" si="78"/>
        <v>0</v>
      </c>
      <c r="BI323" s="3">
        <f t="shared" si="79"/>
        <v>8</v>
      </c>
    </row>
    <row r="324" spans="1:126" x14ac:dyDescent="0.25">
      <c r="A324" s="29">
        <v>327</v>
      </c>
      <c r="B324" s="3" t="s">
        <v>1294</v>
      </c>
      <c r="C324" s="13" t="s">
        <v>420</v>
      </c>
      <c r="D324" s="13" t="s">
        <v>1295</v>
      </c>
      <c r="E324" s="13" t="s">
        <v>1296</v>
      </c>
      <c r="F324" s="18" t="s">
        <v>1522</v>
      </c>
      <c r="G324" s="18">
        <v>45985</v>
      </c>
      <c r="H324" s="18">
        <v>46081</v>
      </c>
      <c r="I324" s="13" t="s">
        <v>23</v>
      </c>
      <c r="J324" s="13" t="s">
        <v>24</v>
      </c>
      <c r="K324" s="13" t="s">
        <v>43</v>
      </c>
      <c r="L324" s="13" t="s">
        <v>216</v>
      </c>
      <c r="M324" s="13" t="s">
        <v>1621</v>
      </c>
      <c r="N324" s="4">
        <v>976025778</v>
      </c>
      <c r="O324" s="4" t="s">
        <v>28</v>
      </c>
      <c r="P324" s="1" t="s">
        <v>29</v>
      </c>
      <c r="Q324" s="1" t="s">
        <v>5</v>
      </c>
      <c r="R324" s="1" t="s">
        <v>5</v>
      </c>
      <c r="S324" s="1" t="s">
        <v>5</v>
      </c>
      <c r="T324" s="1" t="s">
        <v>5</v>
      </c>
      <c r="U324" s="1" t="s">
        <v>5</v>
      </c>
      <c r="V324" s="1" t="s">
        <v>5</v>
      </c>
      <c r="W324" s="1" t="s">
        <v>5</v>
      </c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3">
        <f t="shared" si="64"/>
        <v>0</v>
      </c>
      <c r="AU324" s="3">
        <f t="shared" si="65"/>
        <v>1</v>
      </c>
      <c r="AV324" s="3">
        <f t="shared" si="66"/>
        <v>0</v>
      </c>
      <c r="AW324" s="3">
        <f t="shared" si="67"/>
        <v>0</v>
      </c>
      <c r="AX324" s="3">
        <f t="shared" si="68"/>
        <v>0</v>
      </c>
      <c r="AY324" s="3">
        <f t="shared" si="69"/>
        <v>7</v>
      </c>
      <c r="AZ324" s="3">
        <f t="shared" si="70"/>
        <v>0</v>
      </c>
      <c r="BA324" s="3">
        <f t="shared" si="71"/>
        <v>0</v>
      </c>
      <c r="BB324" s="3">
        <f t="shared" si="72"/>
        <v>0</v>
      </c>
      <c r="BC324" s="3">
        <f t="shared" si="73"/>
        <v>0</v>
      </c>
      <c r="BD324" s="3">
        <f t="shared" si="74"/>
        <v>0</v>
      </c>
      <c r="BE324" s="3">
        <f t="shared" si="75"/>
        <v>0</v>
      </c>
      <c r="BF324" s="3">
        <f t="shared" si="76"/>
        <v>0</v>
      </c>
      <c r="BG324" s="3">
        <f t="shared" si="77"/>
        <v>0</v>
      </c>
      <c r="BH324" s="3">
        <f t="shared" si="78"/>
        <v>0</v>
      </c>
      <c r="BI324" s="3">
        <f t="shared" si="79"/>
        <v>8</v>
      </c>
    </row>
    <row r="325" spans="1:126" x14ac:dyDescent="0.25">
      <c r="A325" s="29">
        <v>322</v>
      </c>
      <c r="B325" s="3" t="s">
        <v>1297</v>
      </c>
      <c r="C325" s="13" t="s">
        <v>176</v>
      </c>
      <c r="D325" s="13" t="s">
        <v>177</v>
      </c>
      <c r="E325" s="13" t="s">
        <v>1298</v>
      </c>
      <c r="F325" s="18" t="s">
        <v>1522</v>
      </c>
      <c r="G325" s="18">
        <v>45985</v>
      </c>
      <c r="H325" s="18">
        <v>46081</v>
      </c>
      <c r="I325" s="13" t="s">
        <v>23</v>
      </c>
      <c r="J325" s="13" t="s">
        <v>24</v>
      </c>
      <c r="K325" s="13" t="s">
        <v>25</v>
      </c>
      <c r="L325" s="13" t="s">
        <v>292</v>
      </c>
      <c r="M325" s="13" t="s">
        <v>1621</v>
      </c>
      <c r="N325" s="4">
        <v>934668854</v>
      </c>
      <c r="O325" s="4" t="s">
        <v>28</v>
      </c>
      <c r="P325" s="1" t="s">
        <v>5</v>
      </c>
      <c r="Q325" s="1" t="s">
        <v>39</v>
      </c>
      <c r="R325" s="1" t="s">
        <v>39</v>
      </c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3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3">
        <f t="shared" si="64"/>
        <v>2</v>
      </c>
      <c r="AU325" s="3">
        <f t="shared" si="65"/>
        <v>0</v>
      </c>
      <c r="AV325" s="3">
        <f t="shared" si="66"/>
        <v>0</v>
      </c>
      <c r="AW325" s="3">
        <f t="shared" si="67"/>
        <v>0</v>
      </c>
      <c r="AX325" s="3">
        <f t="shared" si="68"/>
        <v>0</v>
      </c>
      <c r="AY325" s="3">
        <f t="shared" si="69"/>
        <v>1</v>
      </c>
      <c r="AZ325" s="3">
        <f t="shared" si="70"/>
        <v>0</v>
      </c>
      <c r="BA325" s="3">
        <f t="shared" si="71"/>
        <v>0</v>
      </c>
      <c r="BB325" s="3">
        <f t="shared" si="72"/>
        <v>0</v>
      </c>
      <c r="BC325" s="3">
        <f t="shared" si="73"/>
        <v>0</v>
      </c>
      <c r="BD325" s="3">
        <f t="shared" si="74"/>
        <v>0</v>
      </c>
      <c r="BE325" s="3">
        <f t="shared" si="75"/>
        <v>0</v>
      </c>
      <c r="BF325" s="3">
        <f t="shared" si="76"/>
        <v>0</v>
      </c>
      <c r="BG325" s="3">
        <f t="shared" si="77"/>
        <v>0</v>
      </c>
      <c r="BH325" s="3">
        <f t="shared" si="78"/>
        <v>0</v>
      </c>
      <c r="BI325" s="3">
        <f t="shared" si="79"/>
        <v>3</v>
      </c>
    </row>
    <row r="326" spans="1:126" x14ac:dyDescent="0.25">
      <c r="A326" s="29">
        <v>326</v>
      </c>
      <c r="B326" s="3" t="s">
        <v>1299</v>
      </c>
      <c r="C326" s="13" t="s">
        <v>1300</v>
      </c>
      <c r="D326" s="13" t="s">
        <v>365</v>
      </c>
      <c r="E326" s="13" t="s">
        <v>1301</v>
      </c>
      <c r="F326" s="18" t="s">
        <v>1522</v>
      </c>
      <c r="G326" s="18">
        <v>45985</v>
      </c>
      <c r="H326" s="18">
        <v>46081</v>
      </c>
      <c r="I326" s="13" t="s">
        <v>23</v>
      </c>
      <c r="J326" s="13" t="s">
        <v>24</v>
      </c>
      <c r="K326" s="13" t="s">
        <v>36</v>
      </c>
      <c r="L326" s="13" t="s">
        <v>292</v>
      </c>
      <c r="M326" s="13" t="s">
        <v>1621</v>
      </c>
      <c r="N326" s="4">
        <v>975140765</v>
      </c>
      <c r="O326" s="4" t="s">
        <v>28</v>
      </c>
      <c r="P326" s="1" t="s">
        <v>5</v>
      </c>
      <c r="Q326" s="1" t="s">
        <v>29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3">
        <f t="shared" si="64"/>
        <v>0</v>
      </c>
      <c r="AU326" s="3">
        <f t="shared" si="65"/>
        <v>1</v>
      </c>
      <c r="AV326" s="3">
        <f t="shared" si="66"/>
        <v>0</v>
      </c>
      <c r="AW326" s="3">
        <f t="shared" si="67"/>
        <v>0</v>
      </c>
      <c r="AX326" s="3">
        <f t="shared" si="68"/>
        <v>0</v>
      </c>
      <c r="AY326" s="3">
        <f t="shared" si="69"/>
        <v>1</v>
      </c>
      <c r="AZ326" s="3">
        <f t="shared" si="70"/>
        <v>0</v>
      </c>
      <c r="BA326" s="3">
        <f t="shared" si="71"/>
        <v>0</v>
      </c>
      <c r="BB326" s="3">
        <f t="shared" si="72"/>
        <v>0</v>
      </c>
      <c r="BC326" s="3">
        <f t="shared" si="73"/>
        <v>0</v>
      </c>
      <c r="BD326" s="3">
        <f t="shared" si="74"/>
        <v>0</v>
      </c>
      <c r="BE326" s="3">
        <f t="shared" si="75"/>
        <v>0</v>
      </c>
      <c r="BF326" s="3">
        <f t="shared" si="76"/>
        <v>0</v>
      </c>
      <c r="BG326" s="3">
        <f t="shared" si="77"/>
        <v>0</v>
      </c>
      <c r="BH326" s="3">
        <f t="shared" si="78"/>
        <v>0</v>
      </c>
      <c r="BI326" s="3">
        <f t="shared" si="79"/>
        <v>2</v>
      </c>
    </row>
    <row r="327" spans="1:126" x14ac:dyDescent="0.25">
      <c r="A327" s="29">
        <v>329</v>
      </c>
      <c r="B327" s="3" t="s">
        <v>1518</v>
      </c>
      <c r="C327" s="13" t="s">
        <v>1302</v>
      </c>
      <c r="D327" s="13" t="s">
        <v>494</v>
      </c>
      <c r="E327" s="13" t="s">
        <v>1303</v>
      </c>
      <c r="F327" s="18" t="s">
        <v>1522</v>
      </c>
      <c r="G327" s="18">
        <v>45992</v>
      </c>
      <c r="H327" s="18">
        <v>46081</v>
      </c>
      <c r="I327" s="13" t="s">
        <v>23</v>
      </c>
      <c r="J327" s="13" t="s">
        <v>24</v>
      </c>
      <c r="K327" s="13" t="s">
        <v>43</v>
      </c>
      <c r="L327" s="13" t="s">
        <v>216</v>
      </c>
      <c r="M327" s="13" t="s">
        <v>1621</v>
      </c>
      <c r="N327" s="4">
        <v>941349246</v>
      </c>
      <c r="O327" s="4" t="s">
        <v>28</v>
      </c>
      <c r="P327" s="1" t="s">
        <v>29</v>
      </c>
      <c r="Q327" s="1" t="s">
        <v>5</v>
      </c>
      <c r="R327" s="1" t="s">
        <v>5</v>
      </c>
      <c r="S327" s="1" t="s">
        <v>5</v>
      </c>
      <c r="T327" s="1" t="s">
        <v>5</v>
      </c>
      <c r="U327" s="1" t="s">
        <v>5</v>
      </c>
      <c r="V327" s="1" t="s">
        <v>5</v>
      </c>
      <c r="W327" s="1" t="s">
        <v>5</v>
      </c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3">
        <f t="shared" ref="AT327:AT390" si="80">+COUNTIF(P327:AS327,"A")</f>
        <v>0</v>
      </c>
      <c r="AU327" s="3">
        <f t="shared" ref="AU327:AU390" si="81">+COUNTIF(P327:AS327,"B")</f>
        <v>1</v>
      </c>
      <c r="AV327" s="3">
        <f t="shared" ref="AV327:AV390" si="82">+COUNTIF(P327:AS327,"ES")</f>
        <v>0</v>
      </c>
      <c r="AW327" s="3">
        <f t="shared" ref="AW327:AW390" si="83">+COUNTIF(P327:AS327,"T")</f>
        <v>0</v>
      </c>
      <c r="AX327" s="3">
        <f t="shared" ref="AX327:AX390" si="84">+COUNTIF(P327:AS327,"EC")</f>
        <v>0</v>
      </c>
      <c r="AY327" s="3">
        <f t="shared" ref="AY327:AY390" si="85">+COUNTIF(P327:AS327,"D")</f>
        <v>7</v>
      </c>
      <c r="AZ327" s="3">
        <f t="shared" ref="AZ327:AZ390" si="86">+COUNTIF(P327:AS327,"F")</f>
        <v>0</v>
      </c>
      <c r="BA327" s="3">
        <f t="shared" ref="BA327:BA390" si="87">+COUNTIF(P327:AS327,"LM")</f>
        <v>0</v>
      </c>
      <c r="BB327" s="3">
        <f t="shared" ref="BB327:BB390" si="88">+COUNTIF(P327:AS327,"PSG")</f>
        <v>0</v>
      </c>
      <c r="BC327" s="3">
        <f t="shared" ref="BC327:BC390" si="89">+COUNTIF(P327:AS327,"PS")</f>
        <v>0</v>
      </c>
      <c r="BD327" s="3">
        <f t="shared" ref="BD327:BD390" si="90">+COUNTIF(P327:AS327,"AD")</f>
        <v>0</v>
      </c>
      <c r="BE327" s="3">
        <f t="shared" ref="BE327:BE390" si="91">+COUNTIF(P327:AS327,"V")</f>
        <v>0</v>
      </c>
      <c r="BF327" s="3">
        <f t="shared" ref="BF327:BF390" si="92">+COUNTIF(P327:AS327,"IMM")</f>
        <v>0</v>
      </c>
      <c r="BG327" s="3">
        <f t="shared" ref="BG327:BG390" si="93">+COUNTIF(P327:AS327,"PCG")</f>
        <v>0</v>
      </c>
      <c r="BH327" s="3">
        <f t="shared" ref="BH327:BH390" si="94">+COUNTIF(P327:AS327,"AC")</f>
        <v>0</v>
      </c>
      <c r="BI327" s="3">
        <f t="shared" ref="BI327:BI390" si="95">AT327+AU327+AV327+AW327+AX327+AY327+BC327+BD327+BE327+BF327+BG327+BH327</f>
        <v>8</v>
      </c>
    </row>
    <row r="328" spans="1:126" x14ac:dyDescent="0.25">
      <c r="A328" s="29">
        <v>328</v>
      </c>
      <c r="B328" s="3" t="s">
        <v>1306</v>
      </c>
      <c r="C328" s="13" t="s">
        <v>1307</v>
      </c>
      <c r="D328" s="13" t="s">
        <v>419</v>
      </c>
      <c r="E328" s="13" t="s">
        <v>1505</v>
      </c>
      <c r="F328" s="22" t="s">
        <v>1543</v>
      </c>
      <c r="G328" s="25">
        <v>45992</v>
      </c>
      <c r="H328" s="25">
        <v>46081</v>
      </c>
      <c r="I328" s="22" t="s">
        <v>23</v>
      </c>
      <c r="J328" s="22" t="s">
        <v>24</v>
      </c>
      <c r="K328" s="13" t="s">
        <v>84</v>
      </c>
      <c r="L328" s="13" t="s">
        <v>372</v>
      </c>
      <c r="M328" s="13" t="s">
        <v>1621</v>
      </c>
      <c r="N328" s="4">
        <v>995713243</v>
      </c>
      <c r="O328" s="4" t="s">
        <v>84</v>
      </c>
      <c r="P328" s="1" t="s">
        <v>39</v>
      </c>
      <c r="Q328" s="1" t="s">
        <v>39</v>
      </c>
      <c r="R328" s="1" t="s">
        <v>5</v>
      </c>
      <c r="S328" s="1" t="s">
        <v>5</v>
      </c>
      <c r="T328" s="1" t="s">
        <v>5</v>
      </c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3">
        <f t="shared" si="80"/>
        <v>2</v>
      </c>
      <c r="AU328" s="3">
        <f t="shared" si="81"/>
        <v>0</v>
      </c>
      <c r="AV328" s="3">
        <f t="shared" si="82"/>
        <v>0</v>
      </c>
      <c r="AW328" s="3">
        <f t="shared" si="83"/>
        <v>0</v>
      </c>
      <c r="AX328" s="3">
        <f t="shared" si="84"/>
        <v>0</v>
      </c>
      <c r="AY328" s="3">
        <f t="shared" si="85"/>
        <v>3</v>
      </c>
      <c r="AZ328" s="3">
        <f t="shared" si="86"/>
        <v>0</v>
      </c>
      <c r="BA328" s="3">
        <f t="shared" si="87"/>
        <v>0</v>
      </c>
      <c r="BB328" s="3">
        <f t="shared" si="88"/>
        <v>0</v>
      </c>
      <c r="BC328" s="3">
        <f t="shared" si="89"/>
        <v>0</v>
      </c>
      <c r="BD328" s="3">
        <f t="shared" si="90"/>
        <v>0</v>
      </c>
      <c r="BE328" s="3">
        <f t="shared" si="91"/>
        <v>0</v>
      </c>
      <c r="BF328" s="3">
        <f t="shared" si="92"/>
        <v>0</v>
      </c>
      <c r="BG328" s="3">
        <f t="shared" si="93"/>
        <v>0</v>
      </c>
      <c r="BH328" s="3">
        <f t="shared" si="94"/>
        <v>0</v>
      </c>
      <c r="BI328" s="3">
        <f t="shared" si="95"/>
        <v>5</v>
      </c>
    </row>
    <row r="329" spans="1:126" x14ac:dyDescent="0.25">
      <c r="A329" s="29">
        <v>330</v>
      </c>
      <c r="B329" s="3" t="s">
        <v>1304</v>
      </c>
      <c r="C329" s="13" t="s">
        <v>88</v>
      </c>
      <c r="D329" s="13" t="s">
        <v>110</v>
      </c>
      <c r="E329" s="13" t="s">
        <v>1305</v>
      </c>
      <c r="F329" s="18" t="s">
        <v>215</v>
      </c>
      <c r="G329" s="18">
        <v>45992</v>
      </c>
      <c r="H329" s="18">
        <v>46081</v>
      </c>
      <c r="I329" s="13" t="s">
        <v>23</v>
      </c>
      <c r="J329" s="13" t="s">
        <v>24</v>
      </c>
      <c r="K329" s="13" t="s">
        <v>56</v>
      </c>
      <c r="L329" s="13" t="s">
        <v>216</v>
      </c>
      <c r="M329" s="13" t="s">
        <v>1621</v>
      </c>
      <c r="N329" s="4">
        <v>942149173</v>
      </c>
      <c r="O329" s="4" t="s">
        <v>28</v>
      </c>
      <c r="P329" s="1" t="s">
        <v>39</v>
      </c>
      <c r="Q329" s="1" t="s">
        <v>5</v>
      </c>
      <c r="R329" s="1" t="s">
        <v>5</v>
      </c>
      <c r="S329" s="1" t="s">
        <v>5</v>
      </c>
      <c r="T329" s="1" t="s">
        <v>5</v>
      </c>
      <c r="U329" s="1" t="s">
        <v>5</v>
      </c>
      <c r="V329" s="1" t="s">
        <v>5</v>
      </c>
      <c r="W329" s="1" t="s">
        <v>5</v>
      </c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3">
        <f t="shared" si="80"/>
        <v>1</v>
      </c>
      <c r="AU329" s="3">
        <f t="shared" si="81"/>
        <v>0</v>
      </c>
      <c r="AV329" s="3">
        <f t="shared" si="82"/>
        <v>0</v>
      </c>
      <c r="AW329" s="3">
        <f t="shared" si="83"/>
        <v>0</v>
      </c>
      <c r="AX329" s="3">
        <f t="shared" si="84"/>
        <v>0</v>
      </c>
      <c r="AY329" s="3">
        <f t="shared" si="85"/>
        <v>7</v>
      </c>
      <c r="AZ329" s="3">
        <f t="shared" si="86"/>
        <v>0</v>
      </c>
      <c r="BA329" s="3">
        <f t="shared" si="87"/>
        <v>0</v>
      </c>
      <c r="BB329" s="3">
        <f t="shared" si="88"/>
        <v>0</v>
      </c>
      <c r="BC329" s="3">
        <f t="shared" si="89"/>
        <v>0</v>
      </c>
      <c r="BD329" s="3">
        <f t="shared" si="90"/>
        <v>0</v>
      </c>
      <c r="BE329" s="3">
        <f t="shared" si="91"/>
        <v>0</v>
      </c>
      <c r="BF329" s="3">
        <f t="shared" si="92"/>
        <v>0</v>
      </c>
      <c r="BG329" s="3">
        <f t="shared" si="93"/>
        <v>0</v>
      </c>
      <c r="BH329" s="3">
        <f t="shared" si="94"/>
        <v>0</v>
      </c>
      <c r="BI329" s="3">
        <f t="shared" si="95"/>
        <v>8</v>
      </c>
    </row>
    <row r="330" spans="1:126" x14ac:dyDescent="0.25">
      <c r="A330" s="29">
        <v>331</v>
      </c>
      <c r="B330" s="3" t="s">
        <v>1308</v>
      </c>
      <c r="C330" s="13" t="s">
        <v>330</v>
      </c>
      <c r="D330" s="13" t="s">
        <v>81</v>
      </c>
      <c r="E330" s="13" t="s">
        <v>1309</v>
      </c>
      <c r="F330" s="18" t="s">
        <v>149</v>
      </c>
      <c r="G330" s="18">
        <v>45992</v>
      </c>
      <c r="H330" s="18">
        <v>46081</v>
      </c>
      <c r="I330" s="13" t="s">
        <v>23</v>
      </c>
      <c r="J330" s="13" t="s">
        <v>24</v>
      </c>
      <c r="K330" s="13" t="s">
        <v>56</v>
      </c>
      <c r="L330" s="13" t="s">
        <v>150</v>
      </c>
      <c r="M330" s="13" t="s">
        <v>1621</v>
      </c>
      <c r="N330" s="4">
        <v>995967651</v>
      </c>
      <c r="O330" s="4" t="s">
        <v>28</v>
      </c>
      <c r="P330" s="1" t="s">
        <v>39</v>
      </c>
      <c r="Q330" s="1" t="s">
        <v>5</v>
      </c>
      <c r="R330" s="1" t="s">
        <v>5</v>
      </c>
      <c r="S330" s="1" t="s">
        <v>5</v>
      </c>
      <c r="T330" s="1" t="s">
        <v>5</v>
      </c>
      <c r="U330" s="1" t="s">
        <v>5</v>
      </c>
      <c r="V330" s="1" t="s">
        <v>5</v>
      </c>
      <c r="W330" s="1" t="s">
        <v>5</v>
      </c>
      <c r="X330" s="1"/>
      <c r="Y330" s="1"/>
      <c r="Z330" s="1"/>
      <c r="AA330" s="1"/>
      <c r="AB330" s="1"/>
      <c r="AC330" s="1"/>
      <c r="AD330" s="1"/>
      <c r="AE330" s="1"/>
      <c r="AF330" s="1"/>
      <c r="AG330" s="3"/>
      <c r="AH330" s="1"/>
      <c r="AI330" s="1"/>
      <c r="AJ330" s="1"/>
      <c r="AK330" s="1"/>
      <c r="AL330" s="1"/>
      <c r="AM330" s="1"/>
      <c r="AN330" s="1"/>
      <c r="AO330" s="1"/>
      <c r="AP330" s="1"/>
      <c r="AQ330" s="3"/>
      <c r="AR330" s="1"/>
      <c r="AS330" s="1"/>
      <c r="AT330" s="3">
        <f t="shared" si="80"/>
        <v>1</v>
      </c>
      <c r="AU330" s="3">
        <f t="shared" si="81"/>
        <v>0</v>
      </c>
      <c r="AV330" s="3">
        <f t="shared" si="82"/>
        <v>0</v>
      </c>
      <c r="AW330" s="3">
        <f t="shared" si="83"/>
        <v>0</v>
      </c>
      <c r="AX330" s="3">
        <f t="shared" si="84"/>
        <v>0</v>
      </c>
      <c r="AY330" s="3">
        <f t="shared" si="85"/>
        <v>7</v>
      </c>
      <c r="AZ330" s="3">
        <f t="shared" si="86"/>
        <v>0</v>
      </c>
      <c r="BA330" s="3">
        <f t="shared" si="87"/>
        <v>0</v>
      </c>
      <c r="BB330" s="3">
        <f t="shared" si="88"/>
        <v>0</v>
      </c>
      <c r="BC330" s="3">
        <f t="shared" si="89"/>
        <v>0</v>
      </c>
      <c r="BD330" s="3">
        <f t="shared" si="90"/>
        <v>0</v>
      </c>
      <c r="BE330" s="3">
        <f t="shared" si="91"/>
        <v>0</v>
      </c>
      <c r="BF330" s="3">
        <f t="shared" si="92"/>
        <v>0</v>
      </c>
      <c r="BG330" s="3">
        <f t="shared" si="93"/>
        <v>0</v>
      </c>
      <c r="BH330" s="3">
        <f t="shared" si="94"/>
        <v>0</v>
      </c>
      <c r="BI330" s="3">
        <f t="shared" si="95"/>
        <v>8</v>
      </c>
    </row>
    <row r="331" spans="1:126" x14ac:dyDescent="0.25">
      <c r="A331" s="29">
        <v>332</v>
      </c>
      <c r="B331" s="3" t="s">
        <v>1310</v>
      </c>
      <c r="C331" s="13" t="s">
        <v>280</v>
      </c>
      <c r="D331" s="13" t="s">
        <v>1311</v>
      </c>
      <c r="E331" s="13" t="s">
        <v>599</v>
      </c>
      <c r="F331" s="18" t="s">
        <v>73</v>
      </c>
      <c r="G331" s="18">
        <v>45992</v>
      </c>
      <c r="H331" s="18">
        <v>46081</v>
      </c>
      <c r="I331" s="13" t="s">
        <v>23</v>
      </c>
      <c r="J331" s="13" t="s">
        <v>24</v>
      </c>
      <c r="K331" s="13" t="s">
        <v>43</v>
      </c>
      <c r="L331" s="13" t="s">
        <v>216</v>
      </c>
      <c r="M331" s="13" t="s">
        <v>1621</v>
      </c>
      <c r="N331" s="4">
        <v>974282828</v>
      </c>
      <c r="O331" s="4" t="s">
        <v>28</v>
      </c>
      <c r="P331" s="1" t="s">
        <v>29</v>
      </c>
      <c r="Q331" s="1" t="s">
        <v>5</v>
      </c>
      <c r="R331" s="1" t="s">
        <v>5</v>
      </c>
      <c r="S331" s="1" t="s">
        <v>5</v>
      </c>
      <c r="T331" s="1" t="s">
        <v>5</v>
      </c>
      <c r="U331" s="1" t="s">
        <v>5</v>
      </c>
      <c r="V331" s="1" t="s">
        <v>5</v>
      </c>
      <c r="W331" s="1" t="s">
        <v>5</v>
      </c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3">
        <f t="shared" si="80"/>
        <v>0</v>
      </c>
      <c r="AU331" s="3">
        <f t="shared" si="81"/>
        <v>1</v>
      </c>
      <c r="AV331" s="3">
        <f t="shared" si="82"/>
        <v>0</v>
      </c>
      <c r="AW331" s="3">
        <f t="shared" si="83"/>
        <v>0</v>
      </c>
      <c r="AX331" s="3">
        <f t="shared" si="84"/>
        <v>0</v>
      </c>
      <c r="AY331" s="3">
        <f t="shared" si="85"/>
        <v>7</v>
      </c>
      <c r="AZ331" s="3">
        <f t="shared" si="86"/>
        <v>0</v>
      </c>
      <c r="BA331" s="3">
        <f t="shared" si="87"/>
        <v>0</v>
      </c>
      <c r="BB331" s="3">
        <f t="shared" si="88"/>
        <v>0</v>
      </c>
      <c r="BC331" s="3">
        <f t="shared" si="89"/>
        <v>0</v>
      </c>
      <c r="BD331" s="3">
        <f t="shared" si="90"/>
        <v>0</v>
      </c>
      <c r="BE331" s="3">
        <f t="shared" si="91"/>
        <v>0</v>
      </c>
      <c r="BF331" s="3">
        <f t="shared" si="92"/>
        <v>0</v>
      </c>
      <c r="BG331" s="3">
        <f t="shared" si="93"/>
        <v>0</v>
      </c>
      <c r="BH331" s="3">
        <f t="shared" si="94"/>
        <v>0</v>
      </c>
      <c r="BI331" s="3">
        <f t="shared" si="95"/>
        <v>8</v>
      </c>
    </row>
    <row r="332" spans="1:126" x14ac:dyDescent="0.25">
      <c r="A332" s="29">
        <v>333</v>
      </c>
      <c r="B332" s="3" t="s">
        <v>1312</v>
      </c>
      <c r="C332" s="13" t="s">
        <v>1313</v>
      </c>
      <c r="D332" s="13" t="s">
        <v>419</v>
      </c>
      <c r="E332" s="13" t="s">
        <v>1585</v>
      </c>
      <c r="F332" s="22" t="s">
        <v>1314</v>
      </c>
      <c r="G332" s="25">
        <v>45992</v>
      </c>
      <c r="H332" s="25">
        <v>46081</v>
      </c>
      <c r="I332" s="22" t="s">
        <v>23</v>
      </c>
      <c r="J332" s="22" t="s">
        <v>24</v>
      </c>
      <c r="K332" s="13" t="s">
        <v>84</v>
      </c>
      <c r="L332" s="13" t="s">
        <v>372</v>
      </c>
      <c r="M332" s="13" t="s">
        <v>1</v>
      </c>
      <c r="N332" s="4">
        <v>959491144</v>
      </c>
      <c r="O332" s="4" t="s">
        <v>84</v>
      </c>
      <c r="P332" s="1" t="s">
        <v>39</v>
      </c>
      <c r="Q332" s="1" t="s">
        <v>39</v>
      </c>
      <c r="R332" s="1" t="s">
        <v>5</v>
      </c>
      <c r="S332" s="1" t="s">
        <v>5</v>
      </c>
      <c r="T332" s="1" t="s">
        <v>5</v>
      </c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3">
        <f t="shared" si="80"/>
        <v>2</v>
      </c>
      <c r="AU332" s="3">
        <f t="shared" si="81"/>
        <v>0</v>
      </c>
      <c r="AV332" s="3">
        <f t="shared" si="82"/>
        <v>0</v>
      </c>
      <c r="AW332" s="3">
        <f t="shared" si="83"/>
        <v>0</v>
      </c>
      <c r="AX332" s="3">
        <f t="shared" si="84"/>
        <v>0</v>
      </c>
      <c r="AY332" s="3">
        <f t="shared" si="85"/>
        <v>3</v>
      </c>
      <c r="AZ332" s="3">
        <f t="shared" si="86"/>
        <v>0</v>
      </c>
      <c r="BA332" s="3">
        <f t="shared" si="87"/>
        <v>0</v>
      </c>
      <c r="BB332" s="3">
        <f t="shared" si="88"/>
        <v>0</v>
      </c>
      <c r="BC332" s="3">
        <f t="shared" si="89"/>
        <v>0</v>
      </c>
      <c r="BD332" s="3">
        <f t="shared" si="90"/>
        <v>0</v>
      </c>
      <c r="BE332" s="3">
        <f t="shared" si="91"/>
        <v>0</v>
      </c>
      <c r="BF332" s="3">
        <f t="shared" si="92"/>
        <v>0</v>
      </c>
      <c r="BG332" s="3">
        <f t="shared" si="93"/>
        <v>0</v>
      </c>
      <c r="BH332" s="3">
        <f t="shared" si="94"/>
        <v>0</v>
      </c>
      <c r="BI332" s="3">
        <f t="shared" si="95"/>
        <v>5</v>
      </c>
    </row>
    <row r="333" spans="1:126" x14ac:dyDescent="0.25">
      <c r="A333" s="29">
        <v>336</v>
      </c>
      <c r="B333" s="3" t="s">
        <v>1334</v>
      </c>
      <c r="C333" s="13" t="s">
        <v>440</v>
      </c>
      <c r="D333" s="13" t="s">
        <v>1335</v>
      </c>
      <c r="E333" s="13" t="s">
        <v>1336</v>
      </c>
      <c r="F333" s="18" t="s">
        <v>1522</v>
      </c>
      <c r="G333" s="18">
        <v>45993</v>
      </c>
      <c r="H333" s="18">
        <v>46081</v>
      </c>
      <c r="I333" s="13" t="s">
        <v>23</v>
      </c>
      <c r="J333" s="13" t="s">
        <v>24</v>
      </c>
      <c r="K333" s="13" t="s">
        <v>36</v>
      </c>
      <c r="L333" s="13" t="s">
        <v>292</v>
      </c>
      <c r="M333" s="13" t="s">
        <v>1621</v>
      </c>
      <c r="N333" s="4">
        <v>954613684</v>
      </c>
      <c r="O333" s="4" t="s">
        <v>28</v>
      </c>
      <c r="P333" s="1" t="s">
        <v>5</v>
      </c>
      <c r="Q333" s="1" t="s">
        <v>29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3">
        <f t="shared" si="80"/>
        <v>0</v>
      </c>
      <c r="AU333" s="3">
        <f t="shared" si="81"/>
        <v>1</v>
      </c>
      <c r="AV333" s="3">
        <f t="shared" si="82"/>
        <v>0</v>
      </c>
      <c r="AW333" s="3">
        <f t="shared" si="83"/>
        <v>0</v>
      </c>
      <c r="AX333" s="3">
        <f t="shared" si="84"/>
        <v>0</v>
      </c>
      <c r="AY333" s="3">
        <f t="shared" si="85"/>
        <v>1</v>
      </c>
      <c r="AZ333" s="3">
        <f t="shared" si="86"/>
        <v>0</v>
      </c>
      <c r="BA333" s="3">
        <f t="shared" si="87"/>
        <v>0</v>
      </c>
      <c r="BB333" s="3">
        <f t="shared" si="88"/>
        <v>0</v>
      </c>
      <c r="BC333" s="3">
        <f t="shared" si="89"/>
        <v>0</v>
      </c>
      <c r="BD333" s="3">
        <f t="shared" si="90"/>
        <v>0</v>
      </c>
      <c r="BE333" s="3">
        <f t="shared" si="91"/>
        <v>0</v>
      </c>
      <c r="BF333" s="3">
        <f t="shared" si="92"/>
        <v>0</v>
      </c>
      <c r="BG333" s="3">
        <f t="shared" si="93"/>
        <v>0</v>
      </c>
      <c r="BH333" s="3">
        <f t="shared" si="94"/>
        <v>0</v>
      </c>
      <c r="BI333" s="3">
        <f t="shared" si="95"/>
        <v>2</v>
      </c>
    </row>
    <row r="334" spans="1:126" x14ac:dyDescent="0.25">
      <c r="A334" s="29">
        <v>334</v>
      </c>
      <c r="B334" s="3" t="s">
        <v>1315</v>
      </c>
      <c r="C334" s="13" t="s">
        <v>1413</v>
      </c>
      <c r="D334" s="13" t="s">
        <v>1316</v>
      </c>
      <c r="E334" s="13" t="s">
        <v>1317</v>
      </c>
      <c r="F334" s="18" t="s">
        <v>1527</v>
      </c>
      <c r="G334" s="18">
        <v>45993</v>
      </c>
      <c r="H334" s="18">
        <v>46081</v>
      </c>
      <c r="I334" s="13" t="s">
        <v>23</v>
      </c>
      <c r="J334" s="13" t="s">
        <v>24</v>
      </c>
      <c r="K334" s="13" t="s">
        <v>25</v>
      </c>
      <c r="L334" s="13" t="s">
        <v>26</v>
      </c>
      <c r="M334" s="13" t="s">
        <v>1621</v>
      </c>
      <c r="N334" s="4">
        <v>977724283</v>
      </c>
      <c r="O334" s="4" t="s">
        <v>28</v>
      </c>
      <c r="P334" s="1" t="s">
        <v>5</v>
      </c>
      <c r="Q334" s="1" t="s">
        <v>39</v>
      </c>
      <c r="R334" s="1" t="s">
        <v>39</v>
      </c>
      <c r="S334" s="1"/>
      <c r="T334" s="1"/>
      <c r="U334" s="1"/>
      <c r="V334" s="1"/>
      <c r="W334" s="1"/>
      <c r="X334" s="1"/>
      <c r="Y334" s="1"/>
      <c r="Z334" s="1"/>
      <c r="AA334" s="1"/>
      <c r="AB334" s="14"/>
      <c r="AC334" s="14"/>
      <c r="AD334" s="1"/>
      <c r="AE334" s="3"/>
      <c r="AF334" s="3"/>
      <c r="AG334" s="3"/>
      <c r="AH334" s="3"/>
      <c r="AI334" s="3"/>
      <c r="AJ334" s="3"/>
      <c r="AK334" s="3"/>
      <c r="AL334" s="3"/>
      <c r="AM334" s="3"/>
      <c r="AN334" s="1"/>
      <c r="AO334" s="1"/>
      <c r="AP334" s="1"/>
      <c r="AQ334" s="1"/>
      <c r="AR334" s="1"/>
      <c r="AS334" s="1"/>
      <c r="AT334" s="3">
        <f t="shared" si="80"/>
        <v>2</v>
      </c>
      <c r="AU334" s="3">
        <f t="shared" si="81"/>
        <v>0</v>
      </c>
      <c r="AV334" s="3">
        <f t="shared" si="82"/>
        <v>0</v>
      </c>
      <c r="AW334" s="3">
        <f t="shared" si="83"/>
        <v>0</v>
      </c>
      <c r="AX334" s="3">
        <f t="shared" si="84"/>
        <v>0</v>
      </c>
      <c r="AY334" s="3">
        <f t="shared" si="85"/>
        <v>1</v>
      </c>
      <c r="AZ334" s="3">
        <f t="shared" si="86"/>
        <v>0</v>
      </c>
      <c r="BA334" s="3">
        <f t="shared" si="87"/>
        <v>0</v>
      </c>
      <c r="BB334" s="3">
        <f t="shared" si="88"/>
        <v>0</v>
      </c>
      <c r="BC334" s="3">
        <f t="shared" si="89"/>
        <v>0</v>
      </c>
      <c r="BD334" s="3">
        <f t="shared" si="90"/>
        <v>0</v>
      </c>
      <c r="BE334" s="3">
        <f t="shared" si="91"/>
        <v>0</v>
      </c>
      <c r="BF334" s="3">
        <f t="shared" si="92"/>
        <v>0</v>
      </c>
      <c r="BG334" s="3">
        <f t="shared" si="93"/>
        <v>0</v>
      </c>
      <c r="BH334" s="3">
        <f t="shared" si="94"/>
        <v>0</v>
      </c>
      <c r="BI334" s="3">
        <f t="shared" si="95"/>
        <v>3</v>
      </c>
    </row>
    <row r="335" spans="1:126" x14ac:dyDescent="0.25">
      <c r="A335" s="29">
        <v>335</v>
      </c>
      <c r="B335" s="3" t="s">
        <v>1318</v>
      </c>
      <c r="C335" s="13" t="s">
        <v>1319</v>
      </c>
      <c r="D335" s="13" t="s">
        <v>135</v>
      </c>
      <c r="E335" s="13" t="s">
        <v>1320</v>
      </c>
      <c r="F335" s="18" t="s">
        <v>1522</v>
      </c>
      <c r="G335" s="18">
        <v>45993</v>
      </c>
      <c r="H335" s="18">
        <v>46081</v>
      </c>
      <c r="I335" s="13" t="s">
        <v>23</v>
      </c>
      <c r="J335" s="13" t="s">
        <v>24</v>
      </c>
      <c r="K335" s="13" t="s">
        <v>25</v>
      </c>
      <c r="L335" s="13" t="s">
        <v>292</v>
      </c>
      <c r="M335" s="13" t="s">
        <v>1621</v>
      </c>
      <c r="N335" s="4">
        <v>966891118</v>
      </c>
      <c r="O335" s="4" t="s">
        <v>28</v>
      </c>
      <c r="P335" s="1" t="s">
        <v>5</v>
      </c>
      <c r="Q335" s="1" t="s">
        <v>39</v>
      </c>
      <c r="R335" s="1" t="s">
        <v>39</v>
      </c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3">
        <f t="shared" si="80"/>
        <v>2</v>
      </c>
      <c r="AU335" s="3">
        <f t="shared" si="81"/>
        <v>0</v>
      </c>
      <c r="AV335" s="3">
        <f t="shared" si="82"/>
        <v>0</v>
      </c>
      <c r="AW335" s="3">
        <f t="shared" si="83"/>
        <v>0</v>
      </c>
      <c r="AX335" s="3">
        <f t="shared" si="84"/>
        <v>0</v>
      </c>
      <c r="AY335" s="3">
        <f t="shared" si="85"/>
        <v>1</v>
      </c>
      <c r="AZ335" s="3">
        <f t="shared" si="86"/>
        <v>0</v>
      </c>
      <c r="BA335" s="3">
        <f t="shared" si="87"/>
        <v>0</v>
      </c>
      <c r="BB335" s="3">
        <f t="shared" si="88"/>
        <v>0</v>
      </c>
      <c r="BC335" s="3">
        <f t="shared" si="89"/>
        <v>0</v>
      </c>
      <c r="BD335" s="3">
        <f t="shared" si="90"/>
        <v>0</v>
      </c>
      <c r="BE335" s="3">
        <f t="shared" si="91"/>
        <v>0</v>
      </c>
      <c r="BF335" s="3">
        <f t="shared" si="92"/>
        <v>0</v>
      </c>
      <c r="BG335" s="3">
        <f t="shared" si="93"/>
        <v>0</v>
      </c>
      <c r="BH335" s="3">
        <f t="shared" si="94"/>
        <v>0</v>
      </c>
      <c r="BI335" s="3">
        <f t="shared" si="95"/>
        <v>3</v>
      </c>
    </row>
    <row r="336" spans="1:126" x14ac:dyDescent="0.25">
      <c r="A336" s="29">
        <v>338</v>
      </c>
      <c r="B336" s="3" t="s">
        <v>1324</v>
      </c>
      <c r="C336" s="13" t="s">
        <v>1061</v>
      </c>
      <c r="D336" s="13" t="s">
        <v>771</v>
      </c>
      <c r="E336" s="13" t="s">
        <v>1325</v>
      </c>
      <c r="F336" s="18" t="s">
        <v>138</v>
      </c>
      <c r="G336" s="18">
        <v>45993</v>
      </c>
      <c r="H336" s="18">
        <v>46081</v>
      </c>
      <c r="I336" s="13" t="s">
        <v>23</v>
      </c>
      <c r="J336" s="13" t="s">
        <v>24</v>
      </c>
      <c r="K336" s="13" t="s">
        <v>56</v>
      </c>
      <c r="L336" s="13" t="s">
        <v>216</v>
      </c>
      <c r="M336" s="13" t="s">
        <v>1621</v>
      </c>
      <c r="N336" s="4">
        <v>999135897</v>
      </c>
      <c r="O336" s="4" t="s">
        <v>28</v>
      </c>
      <c r="P336" s="1" t="s">
        <v>39</v>
      </c>
      <c r="Q336" s="1" t="s">
        <v>5</v>
      </c>
      <c r="R336" s="1" t="s">
        <v>5</v>
      </c>
      <c r="S336" s="1" t="s">
        <v>5</v>
      </c>
      <c r="T336" s="1" t="s">
        <v>5</v>
      </c>
      <c r="U336" s="1" t="s">
        <v>5</v>
      </c>
      <c r="V336" s="1" t="s">
        <v>5</v>
      </c>
      <c r="W336" s="1" t="s">
        <v>5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3">
        <f t="shared" si="80"/>
        <v>1</v>
      </c>
      <c r="AU336" s="3">
        <f t="shared" si="81"/>
        <v>0</v>
      </c>
      <c r="AV336" s="3">
        <f t="shared" si="82"/>
        <v>0</v>
      </c>
      <c r="AW336" s="3">
        <f t="shared" si="83"/>
        <v>0</v>
      </c>
      <c r="AX336" s="3">
        <f t="shared" si="84"/>
        <v>0</v>
      </c>
      <c r="AY336" s="3">
        <f t="shared" si="85"/>
        <v>7</v>
      </c>
      <c r="AZ336" s="3">
        <f t="shared" si="86"/>
        <v>0</v>
      </c>
      <c r="BA336" s="3">
        <f t="shared" si="87"/>
        <v>0</v>
      </c>
      <c r="BB336" s="3">
        <f t="shared" si="88"/>
        <v>0</v>
      </c>
      <c r="BC336" s="3">
        <f t="shared" si="89"/>
        <v>0</v>
      </c>
      <c r="BD336" s="3">
        <f t="shared" si="90"/>
        <v>0</v>
      </c>
      <c r="BE336" s="3">
        <f t="shared" si="91"/>
        <v>0</v>
      </c>
      <c r="BF336" s="3">
        <f t="shared" si="92"/>
        <v>0</v>
      </c>
      <c r="BG336" s="3">
        <f t="shared" si="93"/>
        <v>0</v>
      </c>
      <c r="BH336" s="3">
        <f t="shared" si="94"/>
        <v>0</v>
      </c>
      <c r="BI336" s="3">
        <f t="shared" si="95"/>
        <v>8</v>
      </c>
    </row>
    <row r="337" spans="1:126" x14ac:dyDescent="0.25">
      <c r="A337" s="29">
        <v>339</v>
      </c>
      <c r="B337" s="3" t="s">
        <v>1329</v>
      </c>
      <c r="C337" s="13" t="s">
        <v>1169</v>
      </c>
      <c r="D337" s="13" t="s">
        <v>918</v>
      </c>
      <c r="E337" s="13" t="s">
        <v>1012</v>
      </c>
      <c r="F337" s="18" t="s">
        <v>1534</v>
      </c>
      <c r="G337" s="18">
        <v>45993</v>
      </c>
      <c r="H337" s="18">
        <v>46081</v>
      </c>
      <c r="I337" s="13" t="s">
        <v>23</v>
      </c>
      <c r="J337" s="13" t="s">
        <v>24</v>
      </c>
      <c r="K337" s="13" t="s">
        <v>56</v>
      </c>
      <c r="L337" s="13" t="s">
        <v>216</v>
      </c>
      <c r="M337" s="13" t="s">
        <v>1621</v>
      </c>
      <c r="N337" s="4">
        <v>966490077</v>
      </c>
      <c r="O337" s="4" t="s">
        <v>28</v>
      </c>
      <c r="P337" s="1" t="s">
        <v>39</v>
      </c>
      <c r="Q337" s="1" t="s">
        <v>5</v>
      </c>
      <c r="R337" s="1" t="s">
        <v>5</v>
      </c>
      <c r="S337" s="1" t="s">
        <v>5</v>
      </c>
      <c r="T337" s="1" t="s">
        <v>5</v>
      </c>
      <c r="U337" s="1" t="s">
        <v>5</v>
      </c>
      <c r="V337" s="1" t="s">
        <v>5</v>
      </c>
      <c r="W337" s="1" t="s">
        <v>5</v>
      </c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3">
        <f t="shared" si="80"/>
        <v>1</v>
      </c>
      <c r="AU337" s="3">
        <f t="shared" si="81"/>
        <v>0</v>
      </c>
      <c r="AV337" s="3">
        <f t="shared" si="82"/>
        <v>0</v>
      </c>
      <c r="AW337" s="3">
        <f t="shared" si="83"/>
        <v>0</v>
      </c>
      <c r="AX337" s="3">
        <f t="shared" si="84"/>
        <v>0</v>
      </c>
      <c r="AY337" s="3">
        <f t="shared" si="85"/>
        <v>7</v>
      </c>
      <c r="AZ337" s="3">
        <f t="shared" si="86"/>
        <v>0</v>
      </c>
      <c r="BA337" s="3">
        <f t="shared" si="87"/>
        <v>0</v>
      </c>
      <c r="BB337" s="3">
        <f t="shared" si="88"/>
        <v>0</v>
      </c>
      <c r="BC337" s="3">
        <f t="shared" si="89"/>
        <v>0</v>
      </c>
      <c r="BD337" s="3">
        <f t="shared" si="90"/>
        <v>0</v>
      </c>
      <c r="BE337" s="3">
        <f t="shared" si="91"/>
        <v>0</v>
      </c>
      <c r="BF337" s="3">
        <f t="shared" si="92"/>
        <v>0</v>
      </c>
      <c r="BG337" s="3">
        <f t="shared" si="93"/>
        <v>0</v>
      </c>
      <c r="BH337" s="3">
        <f t="shared" si="94"/>
        <v>0</v>
      </c>
      <c r="BI337" s="3">
        <f t="shared" si="95"/>
        <v>8</v>
      </c>
    </row>
    <row r="338" spans="1:126" x14ac:dyDescent="0.25">
      <c r="A338" s="29">
        <v>340</v>
      </c>
      <c r="B338" s="3" t="s">
        <v>1330</v>
      </c>
      <c r="C338" s="13" t="s">
        <v>551</v>
      </c>
      <c r="D338" s="13" t="s">
        <v>287</v>
      </c>
      <c r="E338" s="13" t="s">
        <v>1139</v>
      </c>
      <c r="F338" s="18" t="s">
        <v>371</v>
      </c>
      <c r="G338" s="18">
        <v>45993</v>
      </c>
      <c r="H338" s="18">
        <v>46081</v>
      </c>
      <c r="I338" s="13" t="s">
        <v>23</v>
      </c>
      <c r="J338" s="13" t="s">
        <v>24</v>
      </c>
      <c r="K338" s="13" t="s">
        <v>43</v>
      </c>
      <c r="L338" s="13" t="s">
        <v>446</v>
      </c>
      <c r="M338" s="13" t="s">
        <v>1621</v>
      </c>
      <c r="N338" s="4">
        <v>967894978</v>
      </c>
      <c r="O338" s="4" t="s">
        <v>28</v>
      </c>
      <c r="P338" s="1" t="s">
        <v>29</v>
      </c>
      <c r="Q338" s="1" t="s">
        <v>5</v>
      </c>
      <c r="R338" s="1" t="s">
        <v>5</v>
      </c>
      <c r="S338" s="1" t="s">
        <v>5</v>
      </c>
      <c r="T338" s="1" t="s">
        <v>5</v>
      </c>
      <c r="U338" s="1" t="s">
        <v>5</v>
      </c>
      <c r="V338" s="1" t="s">
        <v>5</v>
      </c>
      <c r="W338" s="1" t="s">
        <v>5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3">
        <f t="shared" si="80"/>
        <v>0</v>
      </c>
      <c r="AU338" s="3">
        <f t="shared" si="81"/>
        <v>1</v>
      </c>
      <c r="AV338" s="3">
        <f t="shared" si="82"/>
        <v>0</v>
      </c>
      <c r="AW338" s="3">
        <f t="shared" si="83"/>
        <v>0</v>
      </c>
      <c r="AX338" s="3">
        <f t="shared" si="84"/>
        <v>0</v>
      </c>
      <c r="AY338" s="3">
        <f t="shared" si="85"/>
        <v>7</v>
      </c>
      <c r="AZ338" s="3">
        <f t="shared" si="86"/>
        <v>0</v>
      </c>
      <c r="BA338" s="3">
        <f t="shared" si="87"/>
        <v>0</v>
      </c>
      <c r="BB338" s="3">
        <f t="shared" si="88"/>
        <v>0</v>
      </c>
      <c r="BC338" s="3">
        <f t="shared" si="89"/>
        <v>0</v>
      </c>
      <c r="BD338" s="3">
        <f t="shared" si="90"/>
        <v>0</v>
      </c>
      <c r="BE338" s="3">
        <f t="shared" si="91"/>
        <v>0</v>
      </c>
      <c r="BF338" s="3">
        <f t="shared" si="92"/>
        <v>0</v>
      </c>
      <c r="BG338" s="3">
        <f t="shared" si="93"/>
        <v>0</v>
      </c>
      <c r="BH338" s="3">
        <f t="shared" si="94"/>
        <v>0</v>
      </c>
      <c r="BI338" s="3">
        <f t="shared" si="95"/>
        <v>8</v>
      </c>
    </row>
    <row r="339" spans="1:126" x14ac:dyDescent="0.25">
      <c r="A339" s="29">
        <v>341</v>
      </c>
      <c r="B339" s="3" t="s">
        <v>1331</v>
      </c>
      <c r="C339" s="13" t="s">
        <v>1332</v>
      </c>
      <c r="D339" s="13" t="s">
        <v>1274</v>
      </c>
      <c r="E339" s="13" t="s">
        <v>1333</v>
      </c>
      <c r="F339" s="18" t="s">
        <v>138</v>
      </c>
      <c r="G339" s="18">
        <v>45993</v>
      </c>
      <c r="H339" s="18">
        <v>46081</v>
      </c>
      <c r="I339" s="13" t="s">
        <v>23</v>
      </c>
      <c r="J339" s="13" t="s">
        <v>24</v>
      </c>
      <c r="K339" s="13" t="s">
        <v>43</v>
      </c>
      <c r="L339" s="13" t="s">
        <v>216</v>
      </c>
      <c r="M339" s="13" t="s">
        <v>1621</v>
      </c>
      <c r="N339" s="4">
        <v>985724535</v>
      </c>
      <c r="O339" s="4" t="s">
        <v>28</v>
      </c>
      <c r="P339" s="1" t="s">
        <v>29</v>
      </c>
      <c r="Q339" s="1" t="s">
        <v>5</v>
      </c>
      <c r="R339" s="1" t="s">
        <v>5</v>
      </c>
      <c r="S339" s="1" t="s">
        <v>5</v>
      </c>
      <c r="T339" s="1" t="s">
        <v>5</v>
      </c>
      <c r="U339" s="1" t="s">
        <v>5</v>
      </c>
      <c r="V339" s="1" t="s">
        <v>5</v>
      </c>
      <c r="W339" s="1" t="s">
        <v>5</v>
      </c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3">
        <f t="shared" si="80"/>
        <v>0</v>
      </c>
      <c r="AU339" s="3">
        <f t="shared" si="81"/>
        <v>1</v>
      </c>
      <c r="AV339" s="3">
        <f t="shared" si="82"/>
        <v>0</v>
      </c>
      <c r="AW339" s="3">
        <f t="shared" si="83"/>
        <v>0</v>
      </c>
      <c r="AX339" s="3">
        <f t="shared" si="84"/>
        <v>0</v>
      </c>
      <c r="AY339" s="3">
        <f t="shared" si="85"/>
        <v>7</v>
      </c>
      <c r="AZ339" s="3">
        <f t="shared" si="86"/>
        <v>0</v>
      </c>
      <c r="BA339" s="3">
        <f t="shared" si="87"/>
        <v>0</v>
      </c>
      <c r="BB339" s="3">
        <f t="shared" si="88"/>
        <v>0</v>
      </c>
      <c r="BC339" s="3">
        <f t="shared" si="89"/>
        <v>0</v>
      </c>
      <c r="BD339" s="3">
        <f t="shared" si="90"/>
        <v>0</v>
      </c>
      <c r="BE339" s="3">
        <f t="shared" si="91"/>
        <v>0</v>
      </c>
      <c r="BF339" s="3">
        <f t="shared" si="92"/>
        <v>0</v>
      </c>
      <c r="BG339" s="3">
        <f t="shared" si="93"/>
        <v>0</v>
      </c>
      <c r="BH339" s="3">
        <f t="shared" si="94"/>
        <v>0</v>
      </c>
      <c r="BI339" s="3">
        <f t="shared" si="95"/>
        <v>8</v>
      </c>
    </row>
    <row r="340" spans="1:126" x14ac:dyDescent="0.25">
      <c r="A340" s="29">
        <v>337</v>
      </c>
      <c r="B340" s="3" t="s">
        <v>1321</v>
      </c>
      <c r="C340" s="13" t="s">
        <v>1322</v>
      </c>
      <c r="D340" s="13" t="s">
        <v>643</v>
      </c>
      <c r="E340" s="13" t="s">
        <v>1323</v>
      </c>
      <c r="F340" s="18" t="s">
        <v>55</v>
      </c>
      <c r="G340" s="18">
        <v>45993</v>
      </c>
      <c r="H340" s="18">
        <v>46081</v>
      </c>
      <c r="I340" s="13" t="s">
        <v>23</v>
      </c>
      <c r="J340" s="13" t="s">
        <v>24</v>
      </c>
      <c r="K340" s="13" t="s">
        <v>377</v>
      </c>
      <c r="L340" s="13" t="s">
        <v>216</v>
      </c>
      <c r="M340" s="13" t="s">
        <v>1621</v>
      </c>
      <c r="N340" s="4">
        <v>987629931</v>
      </c>
      <c r="O340" s="4" t="s">
        <v>28</v>
      </c>
      <c r="P340" s="1" t="s">
        <v>39</v>
      </c>
      <c r="Q340" s="1" t="s">
        <v>5</v>
      </c>
      <c r="R340" s="1" t="s">
        <v>5</v>
      </c>
      <c r="S340" s="1" t="s">
        <v>5</v>
      </c>
      <c r="T340" s="1" t="s">
        <v>5</v>
      </c>
      <c r="U340" s="1" t="s">
        <v>5</v>
      </c>
      <c r="V340" s="1" t="s">
        <v>5</v>
      </c>
      <c r="W340" s="1" t="s">
        <v>5</v>
      </c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3">
        <f t="shared" si="80"/>
        <v>1</v>
      </c>
      <c r="AU340" s="3">
        <f t="shared" si="81"/>
        <v>0</v>
      </c>
      <c r="AV340" s="3">
        <f t="shared" si="82"/>
        <v>0</v>
      </c>
      <c r="AW340" s="3">
        <f t="shared" si="83"/>
        <v>0</v>
      </c>
      <c r="AX340" s="3">
        <f t="shared" si="84"/>
        <v>0</v>
      </c>
      <c r="AY340" s="3">
        <f t="shared" si="85"/>
        <v>7</v>
      </c>
      <c r="AZ340" s="3">
        <f t="shared" si="86"/>
        <v>0</v>
      </c>
      <c r="BA340" s="3">
        <f t="shared" si="87"/>
        <v>0</v>
      </c>
      <c r="BB340" s="3">
        <f t="shared" si="88"/>
        <v>0</v>
      </c>
      <c r="BC340" s="3">
        <f t="shared" si="89"/>
        <v>0</v>
      </c>
      <c r="BD340" s="3">
        <f t="shared" si="90"/>
        <v>0</v>
      </c>
      <c r="BE340" s="3">
        <f t="shared" si="91"/>
        <v>0</v>
      </c>
      <c r="BF340" s="3">
        <f t="shared" si="92"/>
        <v>0</v>
      </c>
      <c r="BG340" s="3">
        <f t="shared" si="93"/>
        <v>0</v>
      </c>
      <c r="BH340" s="3">
        <f t="shared" si="94"/>
        <v>0</v>
      </c>
      <c r="BI340" s="3">
        <f t="shared" si="95"/>
        <v>8</v>
      </c>
    </row>
    <row r="341" spans="1:126" x14ac:dyDescent="0.25">
      <c r="A341" s="29">
        <v>342</v>
      </c>
      <c r="B341" s="3" t="s">
        <v>1337</v>
      </c>
      <c r="C341" s="13" t="s">
        <v>245</v>
      </c>
      <c r="D341" s="13" t="s">
        <v>1338</v>
      </c>
      <c r="E341" s="13" t="s">
        <v>1339</v>
      </c>
      <c r="F341" s="18" t="s">
        <v>67</v>
      </c>
      <c r="G341" s="18">
        <v>45993</v>
      </c>
      <c r="H341" s="18">
        <v>46081</v>
      </c>
      <c r="I341" s="13" t="s">
        <v>23</v>
      </c>
      <c r="J341" s="13" t="s">
        <v>24</v>
      </c>
      <c r="K341" s="13" t="s">
        <v>56</v>
      </c>
      <c r="L341" s="13" t="s">
        <v>216</v>
      </c>
      <c r="M341" s="13" t="s">
        <v>1621</v>
      </c>
      <c r="N341" s="4">
        <v>962012041</v>
      </c>
      <c r="O341" s="4" t="s">
        <v>28</v>
      </c>
      <c r="P341" s="1" t="s">
        <v>39</v>
      </c>
      <c r="Q341" s="3" t="s">
        <v>5</v>
      </c>
      <c r="R341" s="3" t="s">
        <v>5</v>
      </c>
      <c r="S341" s="3" t="s">
        <v>5</v>
      </c>
      <c r="T341" s="3" t="s">
        <v>5</v>
      </c>
      <c r="U341" s="3" t="s">
        <v>5</v>
      </c>
      <c r="V341" s="3" t="s">
        <v>5</v>
      </c>
      <c r="W341" s="3" t="s">
        <v>5</v>
      </c>
      <c r="X341" s="1"/>
      <c r="Y341" s="1"/>
      <c r="Z341" s="1"/>
      <c r="AA341" s="1"/>
      <c r="AB341" s="3"/>
      <c r="AC341" s="3"/>
      <c r="AD341" s="3"/>
      <c r="AE341" s="3"/>
      <c r="AF341" s="3"/>
      <c r="AG341" s="3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3">
        <f t="shared" si="80"/>
        <v>1</v>
      </c>
      <c r="AU341" s="3">
        <f t="shared" si="81"/>
        <v>0</v>
      </c>
      <c r="AV341" s="3">
        <f t="shared" si="82"/>
        <v>0</v>
      </c>
      <c r="AW341" s="3">
        <f t="shared" si="83"/>
        <v>0</v>
      </c>
      <c r="AX341" s="3">
        <f t="shared" si="84"/>
        <v>0</v>
      </c>
      <c r="AY341" s="3">
        <f t="shared" si="85"/>
        <v>7</v>
      </c>
      <c r="AZ341" s="3">
        <f t="shared" si="86"/>
        <v>0</v>
      </c>
      <c r="BA341" s="3">
        <f t="shared" si="87"/>
        <v>0</v>
      </c>
      <c r="BB341" s="3">
        <f t="shared" si="88"/>
        <v>0</v>
      </c>
      <c r="BC341" s="3">
        <f t="shared" si="89"/>
        <v>0</v>
      </c>
      <c r="BD341" s="3">
        <f t="shared" si="90"/>
        <v>0</v>
      </c>
      <c r="BE341" s="3">
        <f t="shared" si="91"/>
        <v>0</v>
      </c>
      <c r="BF341" s="3">
        <f t="shared" si="92"/>
        <v>0</v>
      </c>
      <c r="BG341" s="3">
        <f t="shared" si="93"/>
        <v>0</v>
      </c>
      <c r="BH341" s="3">
        <f t="shared" si="94"/>
        <v>0</v>
      </c>
      <c r="BI341" s="3">
        <f t="shared" si="95"/>
        <v>8</v>
      </c>
    </row>
    <row r="342" spans="1:126" x14ac:dyDescent="0.25">
      <c r="A342" s="29">
        <v>343</v>
      </c>
      <c r="B342" s="3" t="s">
        <v>1326</v>
      </c>
      <c r="C342" s="13" t="s">
        <v>291</v>
      </c>
      <c r="D342" s="13" t="s">
        <v>53</v>
      </c>
      <c r="E342" s="13" t="s">
        <v>1327</v>
      </c>
      <c r="F342" s="18" t="s">
        <v>1328</v>
      </c>
      <c r="G342" s="18">
        <v>45995</v>
      </c>
      <c r="H342" s="18">
        <v>46081</v>
      </c>
      <c r="I342" s="13" t="s">
        <v>23</v>
      </c>
      <c r="J342" s="13" t="s">
        <v>24</v>
      </c>
      <c r="K342" s="13" t="s">
        <v>377</v>
      </c>
      <c r="L342" s="13" t="s">
        <v>85</v>
      </c>
      <c r="M342" s="13" t="s">
        <v>1621</v>
      </c>
      <c r="N342" s="4">
        <v>993176713</v>
      </c>
      <c r="O342" s="4" t="s">
        <v>28</v>
      </c>
      <c r="P342" s="1" t="s">
        <v>39</v>
      </c>
      <c r="Q342" s="1" t="s">
        <v>5</v>
      </c>
      <c r="R342" s="1" t="s">
        <v>5</v>
      </c>
      <c r="S342" s="1" t="s">
        <v>5</v>
      </c>
      <c r="T342" s="1" t="s">
        <v>5</v>
      </c>
      <c r="U342" s="1" t="s">
        <v>5</v>
      </c>
      <c r="V342" s="1" t="s">
        <v>5</v>
      </c>
      <c r="W342" s="1" t="s">
        <v>5</v>
      </c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3">
        <f t="shared" si="80"/>
        <v>1</v>
      </c>
      <c r="AU342" s="3">
        <f t="shared" si="81"/>
        <v>0</v>
      </c>
      <c r="AV342" s="3">
        <f t="shared" si="82"/>
        <v>0</v>
      </c>
      <c r="AW342" s="3">
        <f t="shared" si="83"/>
        <v>0</v>
      </c>
      <c r="AX342" s="3">
        <f t="shared" si="84"/>
        <v>0</v>
      </c>
      <c r="AY342" s="3">
        <f t="shared" si="85"/>
        <v>7</v>
      </c>
      <c r="AZ342" s="3">
        <f t="shared" si="86"/>
        <v>0</v>
      </c>
      <c r="BA342" s="3">
        <f t="shared" si="87"/>
        <v>0</v>
      </c>
      <c r="BB342" s="3">
        <f t="shared" si="88"/>
        <v>0</v>
      </c>
      <c r="BC342" s="3">
        <f t="shared" si="89"/>
        <v>0</v>
      </c>
      <c r="BD342" s="3">
        <f t="shared" si="90"/>
        <v>0</v>
      </c>
      <c r="BE342" s="3">
        <f t="shared" si="91"/>
        <v>0</v>
      </c>
      <c r="BF342" s="3">
        <f t="shared" si="92"/>
        <v>0</v>
      </c>
      <c r="BG342" s="3">
        <f t="shared" si="93"/>
        <v>0</v>
      </c>
      <c r="BH342" s="3">
        <f t="shared" si="94"/>
        <v>0</v>
      </c>
      <c r="BI342" s="3">
        <f t="shared" si="95"/>
        <v>8</v>
      </c>
    </row>
    <row r="343" spans="1:126" x14ac:dyDescent="0.25">
      <c r="A343" s="29">
        <v>344</v>
      </c>
      <c r="B343" s="3" t="s">
        <v>1347</v>
      </c>
      <c r="C343" s="13" t="s">
        <v>135</v>
      </c>
      <c r="D343" s="13" t="s">
        <v>337</v>
      </c>
      <c r="E343" s="13" t="s">
        <v>1348</v>
      </c>
      <c r="F343" s="18" t="s">
        <v>138</v>
      </c>
      <c r="G343" s="18">
        <v>45996</v>
      </c>
      <c r="H343" s="18">
        <v>46081</v>
      </c>
      <c r="I343" s="13" t="s">
        <v>23</v>
      </c>
      <c r="J343" s="13" t="s">
        <v>24</v>
      </c>
      <c r="K343" s="13" t="s">
        <v>36</v>
      </c>
      <c r="L343" s="13" t="s">
        <v>292</v>
      </c>
      <c r="M343" s="13" t="s">
        <v>1621</v>
      </c>
      <c r="N343" s="4">
        <v>934475835</v>
      </c>
      <c r="O343" s="4" t="s">
        <v>28</v>
      </c>
      <c r="P343" s="1" t="s">
        <v>5</v>
      </c>
      <c r="Q343" s="1" t="s">
        <v>29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3">
        <f t="shared" si="80"/>
        <v>0</v>
      </c>
      <c r="AU343" s="3">
        <f t="shared" si="81"/>
        <v>1</v>
      </c>
      <c r="AV343" s="3">
        <f t="shared" si="82"/>
        <v>0</v>
      </c>
      <c r="AW343" s="3">
        <f t="shared" si="83"/>
        <v>0</v>
      </c>
      <c r="AX343" s="3">
        <f t="shared" si="84"/>
        <v>0</v>
      </c>
      <c r="AY343" s="3">
        <f t="shared" si="85"/>
        <v>1</v>
      </c>
      <c r="AZ343" s="3">
        <f t="shared" si="86"/>
        <v>0</v>
      </c>
      <c r="BA343" s="3">
        <f t="shared" si="87"/>
        <v>0</v>
      </c>
      <c r="BB343" s="3">
        <f t="shared" si="88"/>
        <v>0</v>
      </c>
      <c r="BC343" s="3">
        <f t="shared" si="89"/>
        <v>0</v>
      </c>
      <c r="BD343" s="3">
        <f t="shared" si="90"/>
        <v>0</v>
      </c>
      <c r="BE343" s="3">
        <f t="shared" si="91"/>
        <v>0</v>
      </c>
      <c r="BF343" s="3">
        <f t="shared" si="92"/>
        <v>0</v>
      </c>
      <c r="BG343" s="3">
        <f t="shared" si="93"/>
        <v>0</v>
      </c>
      <c r="BH343" s="3">
        <f t="shared" si="94"/>
        <v>0</v>
      </c>
      <c r="BI343" s="3">
        <f t="shared" si="95"/>
        <v>2</v>
      </c>
    </row>
    <row r="344" spans="1:126" x14ac:dyDescent="0.25">
      <c r="A344" s="29">
        <v>345</v>
      </c>
      <c r="B344" s="3" t="s">
        <v>1342</v>
      </c>
      <c r="C344" s="13" t="s">
        <v>1343</v>
      </c>
      <c r="D344" s="13" t="s">
        <v>572</v>
      </c>
      <c r="E344" s="13" t="s">
        <v>1344</v>
      </c>
      <c r="F344" s="18" t="s">
        <v>1522</v>
      </c>
      <c r="G344" s="18">
        <v>45996</v>
      </c>
      <c r="H344" s="18">
        <v>46081</v>
      </c>
      <c r="I344" s="13" t="s">
        <v>23</v>
      </c>
      <c r="J344" s="13" t="s">
        <v>24</v>
      </c>
      <c r="K344" s="13" t="s">
        <v>36</v>
      </c>
      <c r="L344" s="13" t="s">
        <v>292</v>
      </c>
      <c r="M344" s="13" t="s">
        <v>1621</v>
      </c>
      <c r="N344" s="4">
        <v>985570189</v>
      </c>
      <c r="O344" s="4" t="s">
        <v>28</v>
      </c>
      <c r="P344" s="1" t="s">
        <v>5</v>
      </c>
      <c r="Q344" s="1" t="s">
        <v>29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3">
        <f t="shared" si="80"/>
        <v>0</v>
      </c>
      <c r="AU344" s="3">
        <f t="shared" si="81"/>
        <v>1</v>
      </c>
      <c r="AV344" s="3">
        <f t="shared" si="82"/>
        <v>0</v>
      </c>
      <c r="AW344" s="3">
        <f t="shared" si="83"/>
        <v>0</v>
      </c>
      <c r="AX344" s="3">
        <f t="shared" si="84"/>
        <v>0</v>
      </c>
      <c r="AY344" s="3">
        <f t="shared" si="85"/>
        <v>1</v>
      </c>
      <c r="AZ344" s="3">
        <f t="shared" si="86"/>
        <v>0</v>
      </c>
      <c r="BA344" s="3">
        <f t="shared" si="87"/>
        <v>0</v>
      </c>
      <c r="BB344" s="3">
        <f t="shared" si="88"/>
        <v>0</v>
      </c>
      <c r="BC344" s="3">
        <f t="shared" si="89"/>
        <v>0</v>
      </c>
      <c r="BD344" s="3">
        <f t="shared" si="90"/>
        <v>0</v>
      </c>
      <c r="BE344" s="3">
        <f t="shared" si="91"/>
        <v>0</v>
      </c>
      <c r="BF344" s="3">
        <f t="shared" si="92"/>
        <v>0</v>
      </c>
      <c r="BG344" s="3">
        <f t="shared" si="93"/>
        <v>0</v>
      </c>
      <c r="BH344" s="3">
        <f t="shared" si="94"/>
        <v>0</v>
      </c>
      <c r="BI344" s="3">
        <f t="shared" si="95"/>
        <v>2</v>
      </c>
    </row>
    <row r="345" spans="1:126" x14ac:dyDescent="0.25">
      <c r="A345" s="29">
        <v>347</v>
      </c>
      <c r="B345" s="3" t="s">
        <v>1349</v>
      </c>
      <c r="C345" s="13" t="s">
        <v>1350</v>
      </c>
      <c r="D345" s="13" t="s">
        <v>249</v>
      </c>
      <c r="E345" s="13" t="s">
        <v>1351</v>
      </c>
      <c r="F345" s="18" t="s">
        <v>1524</v>
      </c>
      <c r="G345" s="18">
        <v>45996</v>
      </c>
      <c r="H345" s="18">
        <v>46081</v>
      </c>
      <c r="I345" s="13" t="s">
        <v>23</v>
      </c>
      <c r="J345" s="13" t="s">
        <v>24</v>
      </c>
      <c r="K345" s="13" t="s">
        <v>36</v>
      </c>
      <c r="L345" s="13" t="s">
        <v>150</v>
      </c>
      <c r="M345" s="13" t="s">
        <v>1621</v>
      </c>
      <c r="N345" s="4">
        <v>997218245</v>
      </c>
      <c r="O345" s="4" t="s">
        <v>28</v>
      </c>
      <c r="P345" s="1" t="s">
        <v>5</v>
      </c>
      <c r="Q345" s="1" t="s">
        <v>29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3">
        <f t="shared" si="80"/>
        <v>0</v>
      </c>
      <c r="AU345" s="3">
        <f t="shared" si="81"/>
        <v>1</v>
      </c>
      <c r="AV345" s="3">
        <f t="shared" si="82"/>
        <v>0</v>
      </c>
      <c r="AW345" s="3">
        <f t="shared" si="83"/>
        <v>0</v>
      </c>
      <c r="AX345" s="3">
        <f t="shared" si="84"/>
        <v>0</v>
      </c>
      <c r="AY345" s="3">
        <f t="shared" si="85"/>
        <v>1</v>
      </c>
      <c r="AZ345" s="3">
        <f t="shared" si="86"/>
        <v>0</v>
      </c>
      <c r="BA345" s="3">
        <f t="shared" si="87"/>
        <v>0</v>
      </c>
      <c r="BB345" s="3">
        <f t="shared" si="88"/>
        <v>0</v>
      </c>
      <c r="BC345" s="3">
        <f t="shared" si="89"/>
        <v>0</v>
      </c>
      <c r="BD345" s="3">
        <f t="shared" si="90"/>
        <v>0</v>
      </c>
      <c r="BE345" s="3">
        <f t="shared" si="91"/>
        <v>0</v>
      </c>
      <c r="BF345" s="3">
        <f t="shared" si="92"/>
        <v>0</v>
      </c>
      <c r="BG345" s="3">
        <f t="shared" si="93"/>
        <v>0</v>
      </c>
      <c r="BH345" s="3">
        <f t="shared" si="94"/>
        <v>0</v>
      </c>
      <c r="BI345" s="3">
        <f t="shared" si="95"/>
        <v>2</v>
      </c>
    </row>
    <row r="346" spans="1:126" x14ac:dyDescent="0.25">
      <c r="A346" s="29">
        <v>348</v>
      </c>
      <c r="B346" s="3" t="s">
        <v>1345</v>
      </c>
      <c r="C346" s="13" t="s">
        <v>1346</v>
      </c>
      <c r="D346" s="13" t="s">
        <v>830</v>
      </c>
      <c r="E346" s="13" t="s">
        <v>1569</v>
      </c>
      <c r="F346" s="18" t="s">
        <v>138</v>
      </c>
      <c r="G346" s="18">
        <v>45996</v>
      </c>
      <c r="H346" s="18">
        <v>46081</v>
      </c>
      <c r="I346" s="13" t="s">
        <v>23</v>
      </c>
      <c r="J346" s="13" t="s">
        <v>24</v>
      </c>
      <c r="K346" s="13" t="s">
        <v>56</v>
      </c>
      <c r="L346" s="13" t="s">
        <v>216</v>
      </c>
      <c r="M346" s="13" t="s">
        <v>1621</v>
      </c>
      <c r="N346" s="4">
        <v>722259363</v>
      </c>
      <c r="O346" s="4" t="s">
        <v>28</v>
      </c>
      <c r="P346" s="1" t="s">
        <v>39</v>
      </c>
      <c r="Q346" s="1" t="s">
        <v>5</v>
      </c>
      <c r="R346" s="1" t="s">
        <v>5</v>
      </c>
      <c r="S346" s="1" t="s">
        <v>5</v>
      </c>
      <c r="T346" s="1" t="s">
        <v>5</v>
      </c>
      <c r="U346" s="1" t="s">
        <v>5</v>
      </c>
      <c r="V346" s="1" t="s">
        <v>5</v>
      </c>
      <c r="W346" s="1" t="s">
        <v>5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3">
        <f t="shared" si="80"/>
        <v>1</v>
      </c>
      <c r="AU346" s="3">
        <f t="shared" si="81"/>
        <v>0</v>
      </c>
      <c r="AV346" s="3">
        <f t="shared" si="82"/>
        <v>0</v>
      </c>
      <c r="AW346" s="3">
        <f t="shared" si="83"/>
        <v>0</v>
      </c>
      <c r="AX346" s="3">
        <f t="shared" si="84"/>
        <v>0</v>
      </c>
      <c r="AY346" s="3">
        <f t="shared" si="85"/>
        <v>7</v>
      </c>
      <c r="AZ346" s="3">
        <f t="shared" si="86"/>
        <v>0</v>
      </c>
      <c r="BA346" s="3">
        <f t="shared" si="87"/>
        <v>0</v>
      </c>
      <c r="BB346" s="3">
        <f t="shared" si="88"/>
        <v>0</v>
      </c>
      <c r="BC346" s="3">
        <f t="shared" si="89"/>
        <v>0</v>
      </c>
      <c r="BD346" s="3">
        <f t="shared" si="90"/>
        <v>0</v>
      </c>
      <c r="BE346" s="3">
        <f t="shared" si="91"/>
        <v>0</v>
      </c>
      <c r="BF346" s="3">
        <f t="shared" si="92"/>
        <v>0</v>
      </c>
      <c r="BG346" s="3">
        <f t="shared" si="93"/>
        <v>0</v>
      </c>
      <c r="BH346" s="3">
        <f t="shared" si="94"/>
        <v>0</v>
      </c>
      <c r="BI346" s="3">
        <f t="shared" si="95"/>
        <v>8</v>
      </c>
    </row>
    <row r="347" spans="1:126" x14ac:dyDescent="0.25">
      <c r="A347" s="29">
        <v>346</v>
      </c>
      <c r="B347" s="3" t="s">
        <v>1340</v>
      </c>
      <c r="C347" s="13" t="s">
        <v>1093</v>
      </c>
      <c r="D347" s="13" t="s">
        <v>507</v>
      </c>
      <c r="E347" s="13" t="s">
        <v>1341</v>
      </c>
      <c r="F347" s="18" t="s">
        <v>1522</v>
      </c>
      <c r="G347" s="18">
        <v>45996</v>
      </c>
      <c r="H347" s="18">
        <v>46081</v>
      </c>
      <c r="I347" s="13" t="s">
        <v>23</v>
      </c>
      <c r="J347" s="13" t="s">
        <v>24</v>
      </c>
      <c r="K347" s="13" t="s">
        <v>25</v>
      </c>
      <c r="L347" s="13" t="s">
        <v>292</v>
      </c>
      <c r="M347" s="13" t="s">
        <v>1621</v>
      </c>
      <c r="N347" s="4">
        <v>986439901</v>
      </c>
      <c r="O347" s="4" t="s">
        <v>28</v>
      </c>
      <c r="P347" s="1" t="s">
        <v>5</v>
      </c>
      <c r="Q347" s="1" t="s">
        <v>39</v>
      </c>
      <c r="R347" s="1" t="s">
        <v>39</v>
      </c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3">
        <f t="shared" si="80"/>
        <v>2</v>
      </c>
      <c r="AU347" s="3">
        <f t="shared" si="81"/>
        <v>0</v>
      </c>
      <c r="AV347" s="3">
        <f t="shared" si="82"/>
        <v>0</v>
      </c>
      <c r="AW347" s="3">
        <f t="shared" si="83"/>
        <v>0</v>
      </c>
      <c r="AX347" s="3">
        <f t="shared" si="84"/>
        <v>0</v>
      </c>
      <c r="AY347" s="3">
        <f t="shared" si="85"/>
        <v>1</v>
      </c>
      <c r="AZ347" s="3">
        <f t="shared" si="86"/>
        <v>0</v>
      </c>
      <c r="BA347" s="3">
        <f t="shared" si="87"/>
        <v>0</v>
      </c>
      <c r="BB347" s="3">
        <f t="shared" si="88"/>
        <v>0</v>
      </c>
      <c r="BC347" s="3">
        <f t="shared" si="89"/>
        <v>0</v>
      </c>
      <c r="BD347" s="3">
        <f t="shared" si="90"/>
        <v>0</v>
      </c>
      <c r="BE347" s="3">
        <f t="shared" si="91"/>
        <v>0</v>
      </c>
      <c r="BF347" s="3">
        <f t="shared" si="92"/>
        <v>0</v>
      </c>
      <c r="BG347" s="3">
        <f t="shared" si="93"/>
        <v>0</v>
      </c>
      <c r="BH347" s="3">
        <f t="shared" si="94"/>
        <v>0</v>
      </c>
      <c r="BI347" s="3">
        <f t="shared" si="95"/>
        <v>3</v>
      </c>
    </row>
    <row r="348" spans="1:126" x14ac:dyDescent="0.25">
      <c r="A348" s="29">
        <v>349</v>
      </c>
      <c r="B348" s="3" t="s">
        <v>1354</v>
      </c>
      <c r="C348" s="13" t="s">
        <v>1224</v>
      </c>
      <c r="D348" s="13" t="s">
        <v>1414</v>
      </c>
      <c r="E348" s="13" t="s">
        <v>1355</v>
      </c>
      <c r="F348" s="18" t="s">
        <v>1522</v>
      </c>
      <c r="G348" s="18">
        <v>46000</v>
      </c>
      <c r="H348" s="18">
        <v>46081</v>
      </c>
      <c r="I348" s="13" t="s">
        <v>23</v>
      </c>
      <c r="J348" s="13" t="s">
        <v>24</v>
      </c>
      <c r="K348" s="13" t="s">
        <v>25</v>
      </c>
      <c r="L348" s="13" t="s">
        <v>292</v>
      </c>
      <c r="M348" s="13" t="s">
        <v>1621</v>
      </c>
      <c r="N348" s="4">
        <v>931183010</v>
      </c>
      <c r="O348" s="4" t="s">
        <v>28</v>
      </c>
      <c r="P348" s="1" t="s">
        <v>5</v>
      </c>
      <c r="Q348" s="1" t="s">
        <v>39</v>
      </c>
      <c r="R348" s="1" t="s">
        <v>39</v>
      </c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3">
        <f t="shared" si="80"/>
        <v>2</v>
      </c>
      <c r="AU348" s="3">
        <f t="shared" si="81"/>
        <v>0</v>
      </c>
      <c r="AV348" s="3">
        <f t="shared" si="82"/>
        <v>0</v>
      </c>
      <c r="AW348" s="3">
        <f t="shared" si="83"/>
        <v>0</v>
      </c>
      <c r="AX348" s="3">
        <f t="shared" si="84"/>
        <v>0</v>
      </c>
      <c r="AY348" s="3">
        <f t="shared" si="85"/>
        <v>1</v>
      </c>
      <c r="AZ348" s="3">
        <f t="shared" si="86"/>
        <v>0</v>
      </c>
      <c r="BA348" s="3">
        <f t="shared" si="87"/>
        <v>0</v>
      </c>
      <c r="BB348" s="3">
        <f t="shared" si="88"/>
        <v>0</v>
      </c>
      <c r="BC348" s="3">
        <f t="shared" si="89"/>
        <v>0</v>
      </c>
      <c r="BD348" s="3">
        <f t="shared" si="90"/>
        <v>0</v>
      </c>
      <c r="BE348" s="3">
        <f t="shared" si="91"/>
        <v>0</v>
      </c>
      <c r="BF348" s="3">
        <f t="shared" si="92"/>
        <v>0</v>
      </c>
      <c r="BG348" s="3">
        <f t="shared" si="93"/>
        <v>0</v>
      </c>
      <c r="BH348" s="3">
        <f t="shared" si="94"/>
        <v>0</v>
      </c>
      <c r="BI348" s="3">
        <f t="shared" si="95"/>
        <v>3</v>
      </c>
    </row>
    <row r="349" spans="1:126" x14ac:dyDescent="0.25">
      <c r="A349" s="29">
        <v>350</v>
      </c>
      <c r="B349" s="3" t="s">
        <v>1352</v>
      </c>
      <c r="C349" s="13" t="s">
        <v>360</v>
      </c>
      <c r="D349" s="13" t="s">
        <v>1353</v>
      </c>
      <c r="E349" s="13" t="s">
        <v>987</v>
      </c>
      <c r="F349" s="18" t="s">
        <v>149</v>
      </c>
      <c r="G349" s="18">
        <v>46000</v>
      </c>
      <c r="H349" s="18">
        <v>46081</v>
      </c>
      <c r="I349" s="13" t="s">
        <v>23</v>
      </c>
      <c r="J349" s="13" t="s">
        <v>24</v>
      </c>
      <c r="K349" s="13" t="s">
        <v>43</v>
      </c>
      <c r="L349" s="13" t="s">
        <v>150</v>
      </c>
      <c r="M349" s="13" t="s">
        <v>1621</v>
      </c>
      <c r="N349" s="4">
        <v>945276610</v>
      </c>
      <c r="O349" s="4" t="s">
        <v>28</v>
      </c>
      <c r="P349" s="1" t="s">
        <v>29</v>
      </c>
      <c r="Q349" s="1" t="s">
        <v>5</v>
      </c>
      <c r="R349" s="1" t="s">
        <v>5</v>
      </c>
      <c r="S349" s="1" t="s">
        <v>5</v>
      </c>
      <c r="T349" s="1" t="s">
        <v>5</v>
      </c>
      <c r="U349" s="1" t="s">
        <v>5</v>
      </c>
      <c r="V349" s="1" t="s">
        <v>5</v>
      </c>
      <c r="W349" s="1" t="s">
        <v>5</v>
      </c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3">
        <f t="shared" si="80"/>
        <v>0</v>
      </c>
      <c r="AU349" s="3">
        <f t="shared" si="81"/>
        <v>1</v>
      </c>
      <c r="AV349" s="3">
        <f t="shared" si="82"/>
        <v>0</v>
      </c>
      <c r="AW349" s="3">
        <f t="shared" si="83"/>
        <v>0</v>
      </c>
      <c r="AX349" s="3">
        <f t="shared" si="84"/>
        <v>0</v>
      </c>
      <c r="AY349" s="3">
        <f t="shared" si="85"/>
        <v>7</v>
      </c>
      <c r="AZ349" s="3">
        <f t="shared" si="86"/>
        <v>0</v>
      </c>
      <c r="BA349" s="3">
        <f t="shared" si="87"/>
        <v>0</v>
      </c>
      <c r="BB349" s="3">
        <f t="shared" si="88"/>
        <v>0</v>
      </c>
      <c r="BC349" s="3">
        <f t="shared" si="89"/>
        <v>0</v>
      </c>
      <c r="BD349" s="3">
        <f t="shared" si="90"/>
        <v>0</v>
      </c>
      <c r="BE349" s="3">
        <f t="shared" si="91"/>
        <v>0</v>
      </c>
      <c r="BF349" s="3">
        <f t="shared" si="92"/>
        <v>0</v>
      </c>
      <c r="BG349" s="3">
        <f t="shared" si="93"/>
        <v>0</v>
      </c>
      <c r="BH349" s="3">
        <f t="shared" si="94"/>
        <v>0</v>
      </c>
      <c r="BI349" s="3">
        <f t="shared" si="95"/>
        <v>8</v>
      </c>
    </row>
    <row r="350" spans="1:126" s="17" customFormat="1" x14ac:dyDescent="0.25">
      <c r="A350" s="29">
        <v>353</v>
      </c>
      <c r="B350" s="3" t="s">
        <v>1388</v>
      </c>
      <c r="C350" s="13" t="s">
        <v>1389</v>
      </c>
      <c r="D350" s="13"/>
      <c r="E350" s="13" t="s">
        <v>1234</v>
      </c>
      <c r="F350" s="18" t="s">
        <v>34</v>
      </c>
      <c r="G350" s="18">
        <v>46003</v>
      </c>
      <c r="H350" s="18">
        <v>46081</v>
      </c>
      <c r="I350" s="13" t="s">
        <v>23</v>
      </c>
      <c r="J350" s="13" t="s">
        <v>24</v>
      </c>
      <c r="K350" s="13" t="s">
        <v>36</v>
      </c>
      <c r="L350" s="13" t="s">
        <v>292</v>
      </c>
      <c r="M350" s="13" t="s">
        <v>1621</v>
      </c>
      <c r="N350" s="4">
        <v>957809826</v>
      </c>
      <c r="O350" s="4" t="s">
        <v>28</v>
      </c>
      <c r="P350" s="1" t="s">
        <v>5</v>
      </c>
      <c r="Q350" s="1" t="s">
        <v>29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3">
        <f t="shared" si="80"/>
        <v>0</v>
      </c>
      <c r="AU350" s="3">
        <f t="shared" si="81"/>
        <v>1</v>
      </c>
      <c r="AV350" s="3">
        <f t="shared" si="82"/>
        <v>0</v>
      </c>
      <c r="AW350" s="3">
        <f t="shared" si="83"/>
        <v>0</v>
      </c>
      <c r="AX350" s="3">
        <f t="shared" si="84"/>
        <v>0</v>
      </c>
      <c r="AY350" s="3">
        <f t="shared" si="85"/>
        <v>1</v>
      </c>
      <c r="AZ350" s="3">
        <f t="shared" si="86"/>
        <v>0</v>
      </c>
      <c r="BA350" s="3">
        <f t="shared" si="87"/>
        <v>0</v>
      </c>
      <c r="BB350" s="3">
        <f t="shared" si="88"/>
        <v>0</v>
      </c>
      <c r="BC350" s="3">
        <f t="shared" si="89"/>
        <v>0</v>
      </c>
      <c r="BD350" s="3">
        <f t="shared" si="90"/>
        <v>0</v>
      </c>
      <c r="BE350" s="3">
        <f t="shared" si="91"/>
        <v>0</v>
      </c>
      <c r="BF350" s="3">
        <f t="shared" si="92"/>
        <v>0</v>
      </c>
      <c r="BG350" s="3">
        <f t="shared" si="93"/>
        <v>0</v>
      </c>
      <c r="BH350" s="3">
        <f t="shared" si="94"/>
        <v>0</v>
      </c>
      <c r="BI350" s="3">
        <f t="shared" si="95"/>
        <v>2</v>
      </c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</row>
    <row r="351" spans="1:126" x14ac:dyDescent="0.25">
      <c r="A351" s="29">
        <v>356</v>
      </c>
      <c r="B351" s="3" t="s">
        <v>1399</v>
      </c>
      <c r="C351" s="13" t="s">
        <v>432</v>
      </c>
      <c r="D351" s="13" t="s">
        <v>1400</v>
      </c>
      <c r="E351" s="13" t="s">
        <v>952</v>
      </c>
      <c r="F351" s="18" t="s">
        <v>1522</v>
      </c>
      <c r="G351" s="18">
        <v>46003</v>
      </c>
      <c r="H351" s="18">
        <v>46081</v>
      </c>
      <c r="I351" s="13" t="s">
        <v>23</v>
      </c>
      <c r="J351" s="13" t="s">
        <v>24</v>
      </c>
      <c r="K351" s="13" t="s">
        <v>36</v>
      </c>
      <c r="L351" s="13" t="s">
        <v>292</v>
      </c>
      <c r="M351" s="13" t="s">
        <v>1621</v>
      </c>
      <c r="N351" s="4">
        <v>995049240</v>
      </c>
      <c r="O351" s="4" t="s">
        <v>28</v>
      </c>
      <c r="P351" s="1" t="s">
        <v>5</v>
      </c>
      <c r="Q351" s="1" t="s">
        <v>29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3">
        <f t="shared" si="80"/>
        <v>0</v>
      </c>
      <c r="AU351" s="3">
        <f t="shared" si="81"/>
        <v>1</v>
      </c>
      <c r="AV351" s="3">
        <f t="shared" si="82"/>
        <v>0</v>
      </c>
      <c r="AW351" s="3">
        <f t="shared" si="83"/>
        <v>0</v>
      </c>
      <c r="AX351" s="3">
        <f t="shared" si="84"/>
        <v>0</v>
      </c>
      <c r="AY351" s="3">
        <f t="shared" si="85"/>
        <v>1</v>
      </c>
      <c r="AZ351" s="3">
        <f t="shared" si="86"/>
        <v>0</v>
      </c>
      <c r="BA351" s="3">
        <f t="shared" si="87"/>
        <v>0</v>
      </c>
      <c r="BB351" s="3">
        <f t="shared" si="88"/>
        <v>0</v>
      </c>
      <c r="BC351" s="3">
        <f t="shared" si="89"/>
        <v>0</v>
      </c>
      <c r="BD351" s="3">
        <f t="shared" si="90"/>
        <v>0</v>
      </c>
      <c r="BE351" s="3">
        <f t="shared" si="91"/>
        <v>0</v>
      </c>
      <c r="BF351" s="3">
        <f t="shared" si="92"/>
        <v>0</v>
      </c>
      <c r="BG351" s="3">
        <f t="shared" si="93"/>
        <v>0</v>
      </c>
      <c r="BH351" s="3">
        <f t="shared" si="94"/>
        <v>0</v>
      </c>
      <c r="BI351" s="3">
        <f t="shared" si="95"/>
        <v>2</v>
      </c>
    </row>
    <row r="352" spans="1:126" x14ac:dyDescent="0.25">
      <c r="A352" s="29">
        <v>357</v>
      </c>
      <c r="B352" s="3" t="s">
        <v>1403</v>
      </c>
      <c r="C352" s="13" t="s">
        <v>1404</v>
      </c>
      <c r="D352" s="13" t="s">
        <v>1405</v>
      </c>
      <c r="E352" s="13" t="s">
        <v>1406</v>
      </c>
      <c r="F352" s="18" t="s">
        <v>1522</v>
      </c>
      <c r="G352" s="18">
        <v>46003</v>
      </c>
      <c r="H352" s="18">
        <v>46081</v>
      </c>
      <c r="I352" s="13" t="s">
        <v>23</v>
      </c>
      <c r="J352" s="13" t="s">
        <v>24</v>
      </c>
      <c r="K352" s="13" t="s">
        <v>36</v>
      </c>
      <c r="L352" s="13" t="s">
        <v>292</v>
      </c>
      <c r="M352" s="13" t="s">
        <v>1621</v>
      </c>
      <c r="N352" s="3">
        <v>986536252</v>
      </c>
      <c r="O352" s="3" t="s">
        <v>28</v>
      </c>
      <c r="P352" s="1" t="s">
        <v>5</v>
      </c>
      <c r="Q352" s="1" t="s">
        <v>29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3">
        <f t="shared" si="80"/>
        <v>0</v>
      </c>
      <c r="AU352" s="3">
        <f t="shared" si="81"/>
        <v>1</v>
      </c>
      <c r="AV352" s="3">
        <f t="shared" si="82"/>
        <v>0</v>
      </c>
      <c r="AW352" s="3">
        <f t="shared" si="83"/>
        <v>0</v>
      </c>
      <c r="AX352" s="3">
        <f t="shared" si="84"/>
        <v>0</v>
      </c>
      <c r="AY352" s="3">
        <f t="shared" si="85"/>
        <v>1</v>
      </c>
      <c r="AZ352" s="3">
        <f t="shared" si="86"/>
        <v>0</v>
      </c>
      <c r="BA352" s="3">
        <f t="shared" si="87"/>
        <v>0</v>
      </c>
      <c r="BB352" s="3">
        <f t="shared" si="88"/>
        <v>0</v>
      </c>
      <c r="BC352" s="3">
        <f t="shared" si="89"/>
        <v>0</v>
      </c>
      <c r="BD352" s="3">
        <f t="shared" si="90"/>
        <v>0</v>
      </c>
      <c r="BE352" s="3">
        <f t="shared" si="91"/>
        <v>0</v>
      </c>
      <c r="BF352" s="3">
        <f t="shared" si="92"/>
        <v>0</v>
      </c>
      <c r="BG352" s="3">
        <f t="shared" si="93"/>
        <v>0</v>
      </c>
      <c r="BH352" s="3">
        <f t="shared" si="94"/>
        <v>0</v>
      </c>
      <c r="BI352" s="3">
        <f t="shared" si="95"/>
        <v>2</v>
      </c>
    </row>
    <row r="353" spans="1:126" x14ac:dyDescent="0.25">
      <c r="A353" s="29">
        <v>351</v>
      </c>
      <c r="B353" s="3" t="s">
        <v>1375</v>
      </c>
      <c r="C353" s="13" t="s">
        <v>1376</v>
      </c>
      <c r="D353" s="13" t="s">
        <v>31</v>
      </c>
      <c r="E353" s="13" t="s">
        <v>1377</v>
      </c>
      <c r="F353" s="18" t="s">
        <v>1522</v>
      </c>
      <c r="G353" s="18">
        <v>46003</v>
      </c>
      <c r="H353" s="18">
        <v>46081</v>
      </c>
      <c r="I353" s="13" t="s">
        <v>23</v>
      </c>
      <c r="J353" s="13" t="s">
        <v>24</v>
      </c>
      <c r="K353" s="13" t="s">
        <v>25</v>
      </c>
      <c r="L353" s="13" t="s">
        <v>292</v>
      </c>
      <c r="M353" s="13" t="s">
        <v>1621</v>
      </c>
      <c r="N353" s="4">
        <v>962781422</v>
      </c>
      <c r="O353" s="4" t="s">
        <v>28</v>
      </c>
      <c r="P353" s="1" t="s">
        <v>5</v>
      </c>
      <c r="Q353" s="1" t="s">
        <v>39</v>
      </c>
      <c r="R353" s="1" t="s">
        <v>39</v>
      </c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3"/>
      <c r="AI353" s="3"/>
      <c r="AJ353" s="3"/>
      <c r="AK353" s="3"/>
      <c r="AL353" s="3"/>
      <c r="AM353" s="3"/>
      <c r="AN353" s="1"/>
      <c r="AO353" s="1"/>
      <c r="AP353" s="1"/>
      <c r="AQ353" s="1"/>
      <c r="AR353" s="1"/>
      <c r="AS353" s="1"/>
      <c r="AT353" s="3">
        <f t="shared" si="80"/>
        <v>2</v>
      </c>
      <c r="AU353" s="3">
        <f t="shared" si="81"/>
        <v>0</v>
      </c>
      <c r="AV353" s="3">
        <f t="shared" si="82"/>
        <v>0</v>
      </c>
      <c r="AW353" s="3">
        <f t="shared" si="83"/>
        <v>0</v>
      </c>
      <c r="AX353" s="3">
        <f t="shared" si="84"/>
        <v>0</v>
      </c>
      <c r="AY353" s="3">
        <f t="shared" si="85"/>
        <v>1</v>
      </c>
      <c r="AZ353" s="3">
        <f t="shared" si="86"/>
        <v>0</v>
      </c>
      <c r="BA353" s="3">
        <f t="shared" si="87"/>
        <v>0</v>
      </c>
      <c r="BB353" s="3">
        <f t="shared" si="88"/>
        <v>0</v>
      </c>
      <c r="BC353" s="3">
        <f t="shared" si="89"/>
        <v>0</v>
      </c>
      <c r="BD353" s="3">
        <f t="shared" si="90"/>
        <v>0</v>
      </c>
      <c r="BE353" s="3">
        <f t="shared" si="91"/>
        <v>0</v>
      </c>
      <c r="BF353" s="3">
        <f t="shared" si="92"/>
        <v>0</v>
      </c>
      <c r="BG353" s="3">
        <f t="shared" si="93"/>
        <v>0</v>
      </c>
      <c r="BH353" s="3">
        <f t="shared" si="94"/>
        <v>0</v>
      </c>
      <c r="BI353" s="3">
        <f t="shared" si="95"/>
        <v>3</v>
      </c>
    </row>
    <row r="354" spans="1:126" x14ac:dyDescent="0.25">
      <c r="A354" s="29">
        <v>352</v>
      </c>
      <c r="B354" s="3" t="s">
        <v>1385</v>
      </c>
      <c r="C354" s="13" t="s">
        <v>1386</v>
      </c>
      <c r="D354" s="13" t="s">
        <v>985</v>
      </c>
      <c r="E354" s="13" t="s">
        <v>1387</v>
      </c>
      <c r="F354" s="18" t="s">
        <v>1529</v>
      </c>
      <c r="G354" s="18">
        <v>46003</v>
      </c>
      <c r="H354" s="18">
        <v>46081</v>
      </c>
      <c r="I354" s="13" t="s">
        <v>23</v>
      </c>
      <c r="J354" s="13" t="s">
        <v>24</v>
      </c>
      <c r="K354" s="13" t="s">
        <v>25</v>
      </c>
      <c r="L354" s="13" t="s">
        <v>292</v>
      </c>
      <c r="M354" s="13" t="s">
        <v>1621</v>
      </c>
      <c r="N354" s="4">
        <v>934127760</v>
      </c>
      <c r="O354" s="4" t="s">
        <v>28</v>
      </c>
      <c r="P354" s="1" t="s">
        <v>5</v>
      </c>
      <c r="Q354" s="1" t="s">
        <v>39</v>
      </c>
      <c r="R354" s="1" t="s">
        <v>39</v>
      </c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3">
        <f t="shared" si="80"/>
        <v>2</v>
      </c>
      <c r="AU354" s="3">
        <f t="shared" si="81"/>
        <v>0</v>
      </c>
      <c r="AV354" s="3">
        <f t="shared" si="82"/>
        <v>0</v>
      </c>
      <c r="AW354" s="3">
        <f t="shared" si="83"/>
        <v>0</v>
      </c>
      <c r="AX354" s="3">
        <f t="shared" si="84"/>
        <v>0</v>
      </c>
      <c r="AY354" s="3">
        <f t="shared" si="85"/>
        <v>1</v>
      </c>
      <c r="AZ354" s="3">
        <f t="shared" si="86"/>
        <v>0</v>
      </c>
      <c r="BA354" s="3">
        <f t="shared" si="87"/>
        <v>0</v>
      </c>
      <c r="BB354" s="3">
        <f t="shared" si="88"/>
        <v>0</v>
      </c>
      <c r="BC354" s="3">
        <f t="shared" si="89"/>
        <v>0</v>
      </c>
      <c r="BD354" s="3">
        <f t="shared" si="90"/>
        <v>0</v>
      </c>
      <c r="BE354" s="3">
        <f t="shared" si="91"/>
        <v>0</v>
      </c>
      <c r="BF354" s="3">
        <f t="shared" si="92"/>
        <v>0</v>
      </c>
      <c r="BG354" s="3">
        <f t="shared" si="93"/>
        <v>0</v>
      </c>
      <c r="BH354" s="3">
        <f t="shared" si="94"/>
        <v>0</v>
      </c>
      <c r="BI354" s="3">
        <f t="shared" si="95"/>
        <v>3</v>
      </c>
    </row>
    <row r="355" spans="1:126" x14ac:dyDescent="0.25">
      <c r="A355" s="29">
        <v>358</v>
      </c>
      <c r="B355" s="3" t="s">
        <v>1378</v>
      </c>
      <c r="C355" s="13" t="s">
        <v>110</v>
      </c>
      <c r="D355" s="13" t="s">
        <v>1346</v>
      </c>
      <c r="E355" s="13" t="s">
        <v>1379</v>
      </c>
      <c r="F355" s="18" t="s">
        <v>55</v>
      </c>
      <c r="G355" s="18">
        <v>46003</v>
      </c>
      <c r="H355" s="18">
        <v>46081</v>
      </c>
      <c r="I355" s="13" t="s">
        <v>23</v>
      </c>
      <c r="J355" s="13" t="s">
        <v>24</v>
      </c>
      <c r="K355" s="13" t="s">
        <v>43</v>
      </c>
      <c r="L355" s="13" t="s">
        <v>216</v>
      </c>
      <c r="M355" s="13" t="s">
        <v>1621</v>
      </c>
      <c r="N355" s="4">
        <v>998853904</v>
      </c>
      <c r="O355" s="4" t="s">
        <v>28</v>
      </c>
      <c r="P355" s="1" t="s">
        <v>29</v>
      </c>
      <c r="Q355" s="1" t="s">
        <v>5</v>
      </c>
      <c r="R355" s="1" t="s">
        <v>5</v>
      </c>
      <c r="S355" s="1" t="s">
        <v>5</v>
      </c>
      <c r="T355" s="1" t="s">
        <v>5</v>
      </c>
      <c r="U355" s="1" t="s">
        <v>5</v>
      </c>
      <c r="V355" s="1" t="s">
        <v>5</v>
      </c>
      <c r="W355" s="1" t="s">
        <v>5</v>
      </c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3"/>
      <c r="AP355" s="3"/>
      <c r="AQ355" s="3"/>
      <c r="AR355" s="3"/>
      <c r="AS355" s="3"/>
      <c r="AT355" s="3">
        <f t="shared" si="80"/>
        <v>0</v>
      </c>
      <c r="AU355" s="3">
        <f t="shared" si="81"/>
        <v>1</v>
      </c>
      <c r="AV355" s="3">
        <f t="shared" si="82"/>
        <v>0</v>
      </c>
      <c r="AW355" s="3">
        <f t="shared" si="83"/>
        <v>0</v>
      </c>
      <c r="AX355" s="3">
        <f t="shared" si="84"/>
        <v>0</v>
      </c>
      <c r="AY355" s="3">
        <f t="shared" si="85"/>
        <v>7</v>
      </c>
      <c r="AZ355" s="3">
        <f t="shared" si="86"/>
        <v>0</v>
      </c>
      <c r="BA355" s="3">
        <f t="shared" si="87"/>
        <v>0</v>
      </c>
      <c r="BB355" s="3">
        <f t="shared" si="88"/>
        <v>0</v>
      </c>
      <c r="BC355" s="3">
        <f t="shared" si="89"/>
        <v>0</v>
      </c>
      <c r="BD355" s="3">
        <f t="shared" si="90"/>
        <v>0</v>
      </c>
      <c r="BE355" s="3">
        <f t="shared" si="91"/>
        <v>0</v>
      </c>
      <c r="BF355" s="3">
        <f t="shared" si="92"/>
        <v>0</v>
      </c>
      <c r="BG355" s="3">
        <f t="shared" si="93"/>
        <v>0</v>
      </c>
      <c r="BH355" s="3">
        <f t="shared" si="94"/>
        <v>0</v>
      </c>
      <c r="BI355" s="3">
        <f t="shared" si="95"/>
        <v>8</v>
      </c>
    </row>
    <row r="356" spans="1:126" x14ac:dyDescent="0.25">
      <c r="A356" s="29">
        <v>359</v>
      </c>
      <c r="B356" s="3" t="s">
        <v>1380</v>
      </c>
      <c r="C356" s="13" t="s">
        <v>1381</v>
      </c>
      <c r="D356" s="13" t="s">
        <v>344</v>
      </c>
      <c r="E356" s="13" t="s">
        <v>1382</v>
      </c>
      <c r="F356" s="18" t="s">
        <v>34</v>
      </c>
      <c r="G356" s="18">
        <v>46003</v>
      </c>
      <c r="H356" s="18">
        <v>46081</v>
      </c>
      <c r="I356" s="13" t="s">
        <v>23</v>
      </c>
      <c r="J356" s="13" t="s">
        <v>24</v>
      </c>
      <c r="K356" s="13" t="s">
        <v>56</v>
      </c>
      <c r="L356" s="13" t="s">
        <v>216</v>
      </c>
      <c r="M356" s="13" t="s">
        <v>1621</v>
      </c>
      <c r="N356" s="3">
        <v>966321298</v>
      </c>
      <c r="O356" s="3" t="s">
        <v>28</v>
      </c>
      <c r="P356" s="1" t="s">
        <v>39</v>
      </c>
      <c r="Q356" s="1" t="s">
        <v>5</v>
      </c>
      <c r="R356" s="1" t="s">
        <v>5</v>
      </c>
      <c r="S356" s="1" t="s">
        <v>5</v>
      </c>
      <c r="T356" s="1" t="s">
        <v>5</v>
      </c>
      <c r="U356" s="1" t="s">
        <v>5</v>
      </c>
      <c r="V356" s="1" t="s">
        <v>5</v>
      </c>
      <c r="W356" s="1" t="s">
        <v>5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3">
        <f t="shared" si="80"/>
        <v>1</v>
      </c>
      <c r="AU356" s="3">
        <f t="shared" si="81"/>
        <v>0</v>
      </c>
      <c r="AV356" s="3">
        <f t="shared" si="82"/>
        <v>0</v>
      </c>
      <c r="AW356" s="3">
        <f t="shared" si="83"/>
        <v>0</v>
      </c>
      <c r="AX356" s="3">
        <f t="shared" si="84"/>
        <v>0</v>
      </c>
      <c r="AY356" s="3">
        <f t="shared" si="85"/>
        <v>7</v>
      </c>
      <c r="AZ356" s="3">
        <f t="shared" si="86"/>
        <v>0</v>
      </c>
      <c r="BA356" s="3">
        <f t="shared" si="87"/>
        <v>0</v>
      </c>
      <c r="BB356" s="3">
        <f t="shared" si="88"/>
        <v>0</v>
      </c>
      <c r="BC356" s="3">
        <f t="shared" si="89"/>
        <v>0</v>
      </c>
      <c r="BD356" s="3">
        <f t="shared" si="90"/>
        <v>0</v>
      </c>
      <c r="BE356" s="3">
        <f t="shared" si="91"/>
        <v>0</v>
      </c>
      <c r="BF356" s="3">
        <f t="shared" si="92"/>
        <v>0</v>
      </c>
      <c r="BG356" s="3">
        <f t="shared" si="93"/>
        <v>0</v>
      </c>
      <c r="BH356" s="3">
        <f t="shared" si="94"/>
        <v>0</v>
      </c>
      <c r="BI356" s="3">
        <f t="shared" si="95"/>
        <v>8</v>
      </c>
    </row>
    <row r="357" spans="1:126" s="17" customFormat="1" x14ac:dyDescent="0.25">
      <c r="A357" s="29">
        <v>360</v>
      </c>
      <c r="B357" s="3" t="s">
        <v>1383</v>
      </c>
      <c r="C357" s="13" t="s">
        <v>647</v>
      </c>
      <c r="D357" s="13" t="s">
        <v>1335</v>
      </c>
      <c r="E357" s="13" t="s">
        <v>1384</v>
      </c>
      <c r="F357" s="18" t="s">
        <v>1522</v>
      </c>
      <c r="G357" s="18">
        <v>46003</v>
      </c>
      <c r="H357" s="18">
        <v>46081</v>
      </c>
      <c r="I357" s="13" t="s">
        <v>23</v>
      </c>
      <c r="J357" s="13" t="s">
        <v>24</v>
      </c>
      <c r="K357" s="13" t="s">
        <v>56</v>
      </c>
      <c r="L357" s="13" t="s">
        <v>216</v>
      </c>
      <c r="M357" s="13" t="s">
        <v>1621</v>
      </c>
      <c r="N357" s="3">
        <v>940436759</v>
      </c>
      <c r="O357" s="3" t="s">
        <v>28</v>
      </c>
      <c r="P357" s="1" t="s">
        <v>39</v>
      </c>
      <c r="Q357" s="1" t="s">
        <v>5</v>
      </c>
      <c r="R357" s="1" t="s">
        <v>5</v>
      </c>
      <c r="S357" s="1" t="s">
        <v>5</v>
      </c>
      <c r="T357" s="1" t="s">
        <v>5</v>
      </c>
      <c r="U357" s="1" t="s">
        <v>5</v>
      </c>
      <c r="V357" s="1" t="s">
        <v>5</v>
      </c>
      <c r="W357" s="1" t="s">
        <v>5</v>
      </c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3">
        <f t="shared" si="80"/>
        <v>1</v>
      </c>
      <c r="AU357" s="3">
        <f t="shared" si="81"/>
        <v>0</v>
      </c>
      <c r="AV357" s="3">
        <f t="shared" si="82"/>
        <v>0</v>
      </c>
      <c r="AW357" s="3">
        <f t="shared" si="83"/>
        <v>0</v>
      </c>
      <c r="AX357" s="3">
        <f t="shared" si="84"/>
        <v>0</v>
      </c>
      <c r="AY357" s="3">
        <f t="shared" si="85"/>
        <v>7</v>
      </c>
      <c r="AZ357" s="3">
        <f t="shared" si="86"/>
        <v>0</v>
      </c>
      <c r="BA357" s="3">
        <f t="shared" si="87"/>
        <v>0</v>
      </c>
      <c r="BB357" s="3">
        <f t="shared" si="88"/>
        <v>0</v>
      </c>
      <c r="BC357" s="3">
        <f t="shared" si="89"/>
        <v>0</v>
      </c>
      <c r="BD357" s="3">
        <f t="shared" si="90"/>
        <v>0</v>
      </c>
      <c r="BE357" s="3">
        <f t="shared" si="91"/>
        <v>0</v>
      </c>
      <c r="BF357" s="3">
        <f t="shared" si="92"/>
        <v>0</v>
      </c>
      <c r="BG357" s="3">
        <f t="shared" si="93"/>
        <v>0</v>
      </c>
      <c r="BH357" s="3">
        <f t="shared" si="94"/>
        <v>0</v>
      </c>
      <c r="BI357" s="3">
        <f t="shared" si="95"/>
        <v>8</v>
      </c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</row>
    <row r="358" spans="1:126" x14ac:dyDescent="0.25">
      <c r="A358" s="29">
        <v>362</v>
      </c>
      <c r="B358" s="3" t="s">
        <v>1392</v>
      </c>
      <c r="C358" s="13" t="s">
        <v>576</v>
      </c>
      <c r="D358" s="13" t="s">
        <v>577</v>
      </c>
      <c r="E358" s="13" t="s">
        <v>1393</v>
      </c>
      <c r="F358" s="18" t="s">
        <v>67</v>
      </c>
      <c r="G358" s="18">
        <v>46003</v>
      </c>
      <c r="H358" s="18">
        <v>46081</v>
      </c>
      <c r="I358" s="13" t="s">
        <v>23</v>
      </c>
      <c r="J358" s="13" t="s">
        <v>24</v>
      </c>
      <c r="K358" s="13" t="s">
        <v>43</v>
      </c>
      <c r="L358" s="13" t="s">
        <v>216</v>
      </c>
      <c r="M358" s="13" t="s">
        <v>1621</v>
      </c>
      <c r="N358" s="4">
        <v>994798080</v>
      </c>
      <c r="O358" s="4" t="s">
        <v>28</v>
      </c>
      <c r="P358" s="1" t="s">
        <v>29</v>
      </c>
      <c r="Q358" s="1" t="s">
        <v>5</v>
      </c>
      <c r="R358" s="1" t="s">
        <v>5</v>
      </c>
      <c r="S358" s="1" t="s">
        <v>5</v>
      </c>
      <c r="T358" s="1" t="s">
        <v>5</v>
      </c>
      <c r="U358" s="1" t="s">
        <v>5</v>
      </c>
      <c r="V358" s="1" t="s">
        <v>5</v>
      </c>
      <c r="W358" s="1" t="s">
        <v>5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3"/>
      <c r="AP358" s="1"/>
      <c r="AQ358" s="1"/>
      <c r="AR358" s="1"/>
      <c r="AS358" s="1"/>
      <c r="AT358" s="3">
        <f t="shared" si="80"/>
        <v>0</v>
      </c>
      <c r="AU358" s="3">
        <f t="shared" si="81"/>
        <v>1</v>
      </c>
      <c r="AV358" s="3">
        <f t="shared" si="82"/>
        <v>0</v>
      </c>
      <c r="AW358" s="3">
        <f t="shared" si="83"/>
        <v>0</v>
      </c>
      <c r="AX358" s="3">
        <f t="shared" si="84"/>
        <v>0</v>
      </c>
      <c r="AY358" s="3">
        <f t="shared" si="85"/>
        <v>7</v>
      </c>
      <c r="AZ358" s="3">
        <f t="shared" si="86"/>
        <v>0</v>
      </c>
      <c r="BA358" s="3">
        <f t="shared" si="87"/>
        <v>0</v>
      </c>
      <c r="BB358" s="3">
        <f t="shared" si="88"/>
        <v>0</v>
      </c>
      <c r="BC358" s="3">
        <f t="shared" si="89"/>
        <v>0</v>
      </c>
      <c r="BD358" s="3">
        <f t="shared" si="90"/>
        <v>0</v>
      </c>
      <c r="BE358" s="3">
        <f t="shared" si="91"/>
        <v>0</v>
      </c>
      <c r="BF358" s="3">
        <f t="shared" si="92"/>
        <v>0</v>
      </c>
      <c r="BG358" s="3">
        <f t="shared" si="93"/>
        <v>0</v>
      </c>
      <c r="BH358" s="3">
        <f t="shared" si="94"/>
        <v>0</v>
      </c>
      <c r="BI358" s="3">
        <f t="shared" si="95"/>
        <v>8</v>
      </c>
    </row>
    <row r="359" spans="1:126" x14ac:dyDescent="0.25">
      <c r="A359" s="29">
        <v>361</v>
      </c>
      <c r="B359" s="3" t="s">
        <v>1390</v>
      </c>
      <c r="C359" s="13" t="s">
        <v>776</v>
      </c>
      <c r="D359" s="13" t="s">
        <v>41</v>
      </c>
      <c r="E359" s="13" t="s">
        <v>1391</v>
      </c>
      <c r="F359" s="18" t="s">
        <v>138</v>
      </c>
      <c r="G359" s="18">
        <v>46003</v>
      </c>
      <c r="H359" s="18">
        <v>46081</v>
      </c>
      <c r="I359" s="13" t="s">
        <v>23</v>
      </c>
      <c r="J359" s="13" t="s">
        <v>24</v>
      </c>
      <c r="K359" s="13" t="s">
        <v>56</v>
      </c>
      <c r="L359" s="13" t="s">
        <v>216</v>
      </c>
      <c r="M359" s="13" t="s">
        <v>1621</v>
      </c>
      <c r="N359" s="4">
        <v>979827340</v>
      </c>
      <c r="O359" s="4" t="s">
        <v>28</v>
      </c>
      <c r="P359" s="1" t="s">
        <v>39</v>
      </c>
      <c r="Q359" s="1" t="s">
        <v>5</v>
      </c>
      <c r="R359" s="1" t="s">
        <v>5</v>
      </c>
      <c r="S359" s="1" t="s">
        <v>5</v>
      </c>
      <c r="T359" s="1" t="s">
        <v>5</v>
      </c>
      <c r="U359" s="1" t="s">
        <v>5</v>
      </c>
      <c r="V359" s="1" t="s">
        <v>5</v>
      </c>
      <c r="W359" s="1" t="s">
        <v>5</v>
      </c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3">
        <f t="shared" si="80"/>
        <v>1</v>
      </c>
      <c r="AU359" s="3">
        <f t="shared" si="81"/>
        <v>0</v>
      </c>
      <c r="AV359" s="3">
        <f t="shared" si="82"/>
        <v>0</v>
      </c>
      <c r="AW359" s="3">
        <f t="shared" si="83"/>
        <v>0</v>
      </c>
      <c r="AX359" s="3">
        <f t="shared" si="84"/>
        <v>0</v>
      </c>
      <c r="AY359" s="3">
        <f t="shared" si="85"/>
        <v>7</v>
      </c>
      <c r="AZ359" s="3">
        <f t="shared" si="86"/>
        <v>0</v>
      </c>
      <c r="BA359" s="3">
        <f t="shared" si="87"/>
        <v>0</v>
      </c>
      <c r="BB359" s="3">
        <f t="shared" si="88"/>
        <v>0</v>
      </c>
      <c r="BC359" s="3">
        <f t="shared" si="89"/>
        <v>0</v>
      </c>
      <c r="BD359" s="3">
        <f t="shared" si="90"/>
        <v>0</v>
      </c>
      <c r="BE359" s="3">
        <f t="shared" si="91"/>
        <v>0</v>
      </c>
      <c r="BF359" s="3">
        <f t="shared" si="92"/>
        <v>0</v>
      </c>
      <c r="BG359" s="3">
        <f t="shared" si="93"/>
        <v>0</v>
      </c>
      <c r="BH359" s="3">
        <f t="shared" si="94"/>
        <v>0</v>
      </c>
      <c r="BI359" s="3">
        <f t="shared" si="95"/>
        <v>8</v>
      </c>
    </row>
    <row r="360" spans="1:126" x14ac:dyDescent="0.25">
      <c r="A360" s="37">
        <v>354</v>
      </c>
      <c r="B360" s="13" t="s">
        <v>1396</v>
      </c>
      <c r="C360" s="13" t="s">
        <v>653</v>
      </c>
      <c r="D360" s="13" t="s">
        <v>161</v>
      </c>
      <c r="E360" s="13" t="s">
        <v>1397</v>
      </c>
      <c r="F360" s="18" t="s">
        <v>1522</v>
      </c>
      <c r="G360" s="18">
        <v>46003</v>
      </c>
      <c r="H360" s="18">
        <v>46081</v>
      </c>
      <c r="I360" s="13" t="s">
        <v>23</v>
      </c>
      <c r="J360" s="13" t="s">
        <v>24</v>
      </c>
      <c r="K360" s="13" t="s">
        <v>25</v>
      </c>
      <c r="L360" s="13" t="s">
        <v>292</v>
      </c>
      <c r="M360" s="13" t="s">
        <v>1621</v>
      </c>
      <c r="N360" s="4">
        <v>951160003</v>
      </c>
      <c r="O360" s="4" t="s">
        <v>28</v>
      </c>
      <c r="P360" s="1" t="s">
        <v>5</v>
      </c>
      <c r="Q360" s="14" t="s">
        <v>39</v>
      </c>
      <c r="R360" s="14" t="s">
        <v>39</v>
      </c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3">
        <f t="shared" si="80"/>
        <v>2</v>
      </c>
      <c r="AU360" s="13">
        <f t="shared" si="81"/>
        <v>0</v>
      </c>
      <c r="AV360" s="13">
        <f t="shared" si="82"/>
        <v>0</v>
      </c>
      <c r="AW360" s="13">
        <f t="shared" si="83"/>
        <v>0</v>
      </c>
      <c r="AX360" s="13">
        <f t="shared" si="84"/>
        <v>0</v>
      </c>
      <c r="AY360" s="13">
        <f t="shared" si="85"/>
        <v>1</v>
      </c>
      <c r="AZ360" s="13">
        <f t="shared" si="86"/>
        <v>0</v>
      </c>
      <c r="BA360" s="13">
        <f t="shared" si="87"/>
        <v>0</v>
      </c>
      <c r="BB360" s="13">
        <f t="shared" si="88"/>
        <v>0</v>
      </c>
      <c r="BC360" s="13">
        <f t="shared" si="89"/>
        <v>0</v>
      </c>
      <c r="BD360" s="13">
        <f t="shared" si="90"/>
        <v>0</v>
      </c>
      <c r="BE360" s="13">
        <f t="shared" si="91"/>
        <v>0</v>
      </c>
      <c r="BF360" s="13">
        <f t="shared" si="92"/>
        <v>0</v>
      </c>
      <c r="BG360" s="13">
        <f t="shared" si="93"/>
        <v>0</v>
      </c>
      <c r="BH360" s="13">
        <f t="shared" si="94"/>
        <v>0</v>
      </c>
      <c r="BI360" s="13">
        <f t="shared" si="95"/>
        <v>3</v>
      </c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  <c r="DU360" s="17"/>
      <c r="DV360" s="17"/>
    </row>
    <row r="361" spans="1:126" x14ac:dyDescent="0.25">
      <c r="A361" s="29">
        <v>363</v>
      </c>
      <c r="B361" s="3" t="s">
        <v>1394</v>
      </c>
      <c r="C361" s="13" t="s">
        <v>20</v>
      </c>
      <c r="D361" s="13" t="s">
        <v>572</v>
      </c>
      <c r="E361" s="13" t="s">
        <v>1395</v>
      </c>
      <c r="F361" s="18" t="s">
        <v>34</v>
      </c>
      <c r="G361" s="18">
        <v>46003</v>
      </c>
      <c r="H361" s="18">
        <v>46081</v>
      </c>
      <c r="I361" s="13" t="s">
        <v>23</v>
      </c>
      <c r="J361" s="13" t="s">
        <v>24</v>
      </c>
      <c r="K361" s="13" t="s">
        <v>43</v>
      </c>
      <c r="L361" s="13" t="s">
        <v>216</v>
      </c>
      <c r="M361" s="13" t="s">
        <v>1621</v>
      </c>
      <c r="N361" s="4" t="s">
        <v>1447</v>
      </c>
      <c r="O361" s="4" t="s">
        <v>28</v>
      </c>
      <c r="P361" s="1" t="s">
        <v>29</v>
      </c>
      <c r="Q361" s="1" t="s">
        <v>5</v>
      </c>
      <c r="R361" s="1" t="s">
        <v>5</v>
      </c>
      <c r="S361" s="1" t="s">
        <v>5</v>
      </c>
      <c r="T361" s="1" t="s">
        <v>5</v>
      </c>
      <c r="U361" s="1" t="s">
        <v>5</v>
      </c>
      <c r="V361" s="1" t="s">
        <v>5</v>
      </c>
      <c r="W361" s="1" t="s">
        <v>5</v>
      </c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3"/>
      <c r="AP361" s="1"/>
      <c r="AQ361" s="1"/>
      <c r="AR361" s="1"/>
      <c r="AS361" s="1"/>
      <c r="AT361" s="3">
        <f t="shared" si="80"/>
        <v>0</v>
      </c>
      <c r="AU361" s="3">
        <f t="shared" si="81"/>
        <v>1</v>
      </c>
      <c r="AV361" s="3">
        <f t="shared" si="82"/>
        <v>0</v>
      </c>
      <c r="AW361" s="3">
        <f t="shared" si="83"/>
        <v>0</v>
      </c>
      <c r="AX361" s="3">
        <f t="shared" si="84"/>
        <v>0</v>
      </c>
      <c r="AY361" s="3">
        <f t="shared" si="85"/>
        <v>7</v>
      </c>
      <c r="AZ361" s="3">
        <f t="shared" si="86"/>
        <v>0</v>
      </c>
      <c r="BA361" s="3">
        <f t="shared" si="87"/>
        <v>0</v>
      </c>
      <c r="BB361" s="3">
        <f t="shared" si="88"/>
        <v>0</v>
      </c>
      <c r="BC361" s="3">
        <f t="shared" si="89"/>
        <v>0</v>
      </c>
      <c r="BD361" s="3">
        <f t="shared" si="90"/>
        <v>0</v>
      </c>
      <c r="BE361" s="3">
        <f t="shared" si="91"/>
        <v>0</v>
      </c>
      <c r="BF361" s="3">
        <f t="shared" si="92"/>
        <v>0</v>
      </c>
      <c r="BG361" s="3">
        <f t="shared" si="93"/>
        <v>0</v>
      </c>
      <c r="BH361" s="3">
        <f t="shared" si="94"/>
        <v>0</v>
      </c>
      <c r="BI361" s="3">
        <f t="shared" si="95"/>
        <v>8</v>
      </c>
    </row>
    <row r="362" spans="1:126" x14ac:dyDescent="0.25">
      <c r="A362" s="29">
        <v>355</v>
      </c>
      <c r="B362" s="3" t="s">
        <v>1398</v>
      </c>
      <c r="C362" s="13" t="s">
        <v>877</v>
      </c>
      <c r="D362" s="13" t="s">
        <v>250</v>
      </c>
      <c r="E362" s="13" t="s">
        <v>827</v>
      </c>
      <c r="F362" s="18" t="s">
        <v>371</v>
      </c>
      <c r="G362" s="18">
        <v>46003</v>
      </c>
      <c r="H362" s="18">
        <v>46081</v>
      </c>
      <c r="I362" s="13" t="s">
        <v>23</v>
      </c>
      <c r="J362" s="13" t="s">
        <v>24</v>
      </c>
      <c r="K362" s="13" t="s">
        <v>25</v>
      </c>
      <c r="L362" s="13" t="s">
        <v>446</v>
      </c>
      <c r="M362" s="13" t="s">
        <v>1621</v>
      </c>
      <c r="N362" s="4">
        <v>988888191</v>
      </c>
      <c r="O362" s="4" t="s">
        <v>28</v>
      </c>
      <c r="P362" s="1" t="s">
        <v>5</v>
      </c>
      <c r="Q362" s="1" t="s">
        <v>39</v>
      </c>
      <c r="R362" s="1" t="s">
        <v>39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3">
        <f t="shared" si="80"/>
        <v>2</v>
      </c>
      <c r="AU362" s="3">
        <f t="shared" si="81"/>
        <v>0</v>
      </c>
      <c r="AV362" s="3">
        <f t="shared" si="82"/>
        <v>0</v>
      </c>
      <c r="AW362" s="3">
        <f t="shared" si="83"/>
        <v>0</v>
      </c>
      <c r="AX362" s="3">
        <f t="shared" si="84"/>
        <v>0</v>
      </c>
      <c r="AY362" s="3">
        <f t="shared" si="85"/>
        <v>1</v>
      </c>
      <c r="AZ362" s="3">
        <f t="shared" si="86"/>
        <v>0</v>
      </c>
      <c r="BA362" s="3">
        <f t="shared" si="87"/>
        <v>0</v>
      </c>
      <c r="BB362" s="3">
        <f t="shared" si="88"/>
        <v>0</v>
      </c>
      <c r="BC362" s="3">
        <f t="shared" si="89"/>
        <v>0</v>
      </c>
      <c r="BD362" s="3">
        <f t="shared" si="90"/>
        <v>0</v>
      </c>
      <c r="BE362" s="3">
        <f t="shared" si="91"/>
        <v>0</v>
      </c>
      <c r="BF362" s="3">
        <f t="shared" si="92"/>
        <v>0</v>
      </c>
      <c r="BG362" s="3">
        <f t="shared" si="93"/>
        <v>0</v>
      </c>
      <c r="BH362" s="3">
        <f t="shared" si="94"/>
        <v>0</v>
      </c>
      <c r="BI362" s="3">
        <f t="shared" si="95"/>
        <v>3</v>
      </c>
    </row>
    <row r="363" spans="1:126" x14ac:dyDescent="0.25">
      <c r="A363" s="29">
        <v>364</v>
      </c>
      <c r="B363" s="3" t="s">
        <v>1401</v>
      </c>
      <c r="C363" s="13" t="s">
        <v>81</v>
      </c>
      <c r="D363" s="13" t="s">
        <v>89</v>
      </c>
      <c r="E363" s="13" t="s">
        <v>1402</v>
      </c>
      <c r="F363" s="18" t="s">
        <v>1522</v>
      </c>
      <c r="G363" s="18">
        <v>46003</v>
      </c>
      <c r="H363" s="18">
        <v>46081</v>
      </c>
      <c r="I363" s="13" t="s">
        <v>23</v>
      </c>
      <c r="J363" s="13" t="s">
        <v>24</v>
      </c>
      <c r="K363" s="13" t="s">
        <v>56</v>
      </c>
      <c r="L363" s="13" t="s">
        <v>216</v>
      </c>
      <c r="M363" s="13" t="s">
        <v>1621</v>
      </c>
      <c r="N363" s="4">
        <v>942036647</v>
      </c>
      <c r="O363" s="4" t="s">
        <v>28</v>
      </c>
      <c r="P363" s="1" t="s">
        <v>39</v>
      </c>
      <c r="Q363" s="3" t="s">
        <v>5</v>
      </c>
      <c r="R363" s="3" t="s">
        <v>5</v>
      </c>
      <c r="S363" s="3" t="s">
        <v>5</v>
      </c>
      <c r="T363" s="3" t="s">
        <v>5</v>
      </c>
      <c r="U363" s="3" t="s">
        <v>5</v>
      </c>
      <c r="V363" s="3" t="s">
        <v>5</v>
      </c>
      <c r="W363" s="3" t="s">
        <v>5</v>
      </c>
      <c r="X363" s="1"/>
      <c r="Y363" s="1"/>
      <c r="Z363" s="1"/>
      <c r="AA363" s="1"/>
      <c r="AB363" s="3"/>
      <c r="AC363" s="3"/>
      <c r="AD363" s="3"/>
      <c r="AE363" s="3"/>
      <c r="AF363" s="3"/>
      <c r="AG363" s="3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3">
        <f t="shared" si="80"/>
        <v>1</v>
      </c>
      <c r="AU363" s="3">
        <f t="shared" si="81"/>
        <v>0</v>
      </c>
      <c r="AV363" s="3">
        <f t="shared" si="82"/>
        <v>0</v>
      </c>
      <c r="AW363" s="3">
        <f t="shared" si="83"/>
        <v>0</v>
      </c>
      <c r="AX363" s="3">
        <f t="shared" si="84"/>
        <v>0</v>
      </c>
      <c r="AY363" s="3">
        <f t="shared" si="85"/>
        <v>7</v>
      </c>
      <c r="AZ363" s="3">
        <f t="shared" si="86"/>
        <v>0</v>
      </c>
      <c r="BA363" s="3">
        <f t="shared" si="87"/>
        <v>0</v>
      </c>
      <c r="BB363" s="3">
        <f t="shared" si="88"/>
        <v>0</v>
      </c>
      <c r="BC363" s="3">
        <f t="shared" si="89"/>
        <v>0</v>
      </c>
      <c r="BD363" s="3">
        <f t="shared" si="90"/>
        <v>0</v>
      </c>
      <c r="BE363" s="3">
        <f t="shared" si="91"/>
        <v>0</v>
      </c>
      <c r="BF363" s="3">
        <f t="shared" si="92"/>
        <v>0</v>
      </c>
      <c r="BG363" s="3">
        <f t="shared" si="93"/>
        <v>0</v>
      </c>
      <c r="BH363" s="3">
        <f t="shared" si="94"/>
        <v>0</v>
      </c>
      <c r="BI363" s="3">
        <f t="shared" si="95"/>
        <v>8</v>
      </c>
    </row>
    <row r="364" spans="1:126" x14ac:dyDescent="0.25">
      <c r="A364" s="29">
        <v>365</v>
      </c>
      <c r="B364" s="3" t="s">
        <v>1407</v>
      </c>
      <c r="C364" s="13" t="s">
        <v>1408</v>
      </c>
      <c r="D364" s="13" t="s">
        <v>1409</v>
      </c>
      <c r="E364" s="13" t="s">
        <v>1410</v>
      </c>
      <c r="F364" s="18" t="s">
        <v>1529</v>
      </c>
      <c r="G364" s="18">
        <v>46003</v>
      </c>
      <c r="H364" s="18">
        <v>46081</v>
      </c>
      <c r="I364" s="13" t="s">
        <v>23</v>
      </c>
      <c r="J364" s="13" t="s">
        <v>24</v>
      </c>
      <c r="K364" s="13" t="s">
        <v>43</v>
      </c>
      <c r="L364" s="13" t="s">
        <v>216</v>
      </c>
      <c r="M364" s="13" t="s">
        <v>1621</v>
      </c>
      <c r="N364" s="3">
        <v>929804035</v>
      </c>
      <c r="O364" s="3" t="s">
        <v>28</v>
      </c>
      <c r="P364" s="1" t="s">
        <v>29</v>
      </c>
      <c r="Q364" s="1" t="s">
        <v>5</v>
      </c>
      <c r="R364" s="1" t="s">
        <v>5</v>
      </c>
      <c r="S364" s="1" t="s">
        <v>5</v>
      </c>
      <c r="T364" s="1" t="s">
        <v>5</v>
      </c>
      <c r="U364" s="1" t="s">
        <v>5</v>
      </c>
      <c r="V364" s="1" t="s">
        <v>5</v>
      </c>
      <c r="W364" s="1" t="s">
        <v>5</v>
      </c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3"/>
      <c r="AP364" s="1"/>
      <c r="AQ364" s="1"/>
      <c r="AR364" s="1"/>
      <c r="AS364" s="1"/>
      <c r="AT364" s="3">
        <f t="shared" si="80"/>
        <v>0</v>
      </c>
      <c r="AU364" s="3">
        <f t="shared" si="81"/>
        <v>1</v>
      </c>
      <c r="AV364" s="3">
        <f t="shared" si="82"/>
        <v>0</v>
      </c>
      <c r="AW364" s="3">
        <f t="shared" si="83"/>
        <v>0</v>
      </c>
      <c r="AX364" s="3">
        <f t="shared" si="84"/>
        <v>0</v>
      </c>
      <c r="AY364" s="3">
        <f t="shared" si="85"/>
        <v>7</v>
      </c>
      <c r="AZ364" s="3">
        <f t="shared" si="86"/>
        <v>0</v>
      </c>
      <c r="BA364" s="3">
        <f t="shared" si="87"/>
        <v>0</v>
      </c>
      <c r="BB364" s="3">
        <f t="shared" si="88"/>
        <v>0</v>
      </c>
      <c r="BC364" s="3">
        <f t="shared" si="89"/>
        <v>0</v>
      </c>
      <c r="BD364" s="3">
        <f t="shared" si="90"/>
        <v>0</v>
      </c>
      <c r="BE364" s="3">
        <f t="shared" si="91"/>
        <v>0</v>
      </c>
      <c r="BF364" s="3">
        <f t="shared" si="92"/>
        <v>0</v>
      </c>
      <c r="BG364" s="3">
        <f t="shared" si="93"/>
        <v>0</v>
      </c>
      <c r="BH364" s="3">
        <f t="shared" si="94"/>
        <v>0</v>
      </c>
      <c r="BI364" s="3">
        <f t="shared" si="95"/>
        <v>8</v>
      </c>
    </row>
    <row r="365" spans="1:126" x14ac:dyDescent="0.25">
      <c r="A365" s="29">
        <v>366</v>
      </c>
      <c r="B365" s="3" t="s">
        <v>1411</v>
      </c>
      <c r="C365" s="13" t="s">
        <v>53</v>
      </c>
      <c r="D365" s="13" t="s">
        <v>589</v>
      </c>
      <c r="E365" s="13" t="s">
        <v>1412</v>
      </c>
      <c r="F365" s="18" t="s">
        <v>1522</v>
      </c>
      <c r="G365" s="18">
        <v>46003</v>
      </c>
      <c r="H365" s="18">
        <v>46081</v>
      </c>
      <c r="I365" s="13" t="s">
        <v>23</v>
      </c>
      <c r="J365" s="13" t="s">
        <v>24</v>
      </c>
      <c r="K365" s="13" t="s">
        <v>25</v>
      </c>
      <c r="L365" s="13" t="s">
        <v>292</v>
      </c>
      <c r="M365" s="13" t="s">
        <v>1621</v>
      </c>
      <c r="N365" s="3">
        <v>975309140</v>
      </c>
      <c r="O365" s="3" t="s">
        <v>28</v>
      </c>
      <c r="P365" s="1" t="s">
        <v>5</v>
      </c>
      <c r="Q365" s="1" t="s">
        <v>39</v>
      </c>
      <c r="R365" s="1" t="s">
        <v>39</v>
      </c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3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3">
        <f t="shared" si="80"/>
        <v>2</v>
      </c>
      <c r="AU365" s="3">
        <f t="shared" si="81"/>
        <v>0</v>
      </c>
      <c r="AV365" s="3">
        <f t="shared" si="82"/>
        <v>0</v>
      </c>
      <c r="AW365" s="3">
        <f t="shared" si="83"/>
        <v>0</v>
      </c>
      <c r="AX365" s="3">
        <f t="shared" si="84"/>
        <v>0</v>
      </c>
      <c r="AY365" s="3">
        <f t="shared" si="85"/>
        <v>1</v>
      </c>
      <c r="AZ365" s="3">
        <f t="shared" si="86"/>
        <v>0</v>
      </c>
      <c r="BA365" s="3">
        <f t="shared" si="87"/>
        <v>0</v>
      </c>
      <c r="BB365" s="3">
        <f t="shared" si="88"/>
        <v>0</v>
      </c>
      <c r="BC365" s="3">
        <f t="shared" si="89"/>
        <v>0</v>
      </c>
      <c r="BD365" s="3">
        <f t="shared" si="90"/>
        <v>0</v>
      </c>
      <c r="BE365" s="3">
        <f t="shared" si="91"/>
        <v>0</v>
      </c>
      <c r="BF365" s="3">
        <f t="shared" si="92"/>
        <v>0</v>
      </c>
      <c r="BG365" s="3">
        <f t="shared" si="93"/>
        <v>0</v>
      </c>
      <c r="BH365" s="3">
        <f t="shared" si="94"/>
        <v>0</v>
      </c>
      <c r="BI365" s="3">
        <f t="shared" si="95"/>
        <v>3</v>
      </c>
    </row>
    <row r="366" spans="1:126" x14ac:dyDescent="0.25">
      <c r="A366" s="29">
        <v>367</v>
      </c>
      <c r="B366" s="3" t="s">
        <v>1519</v>
      </c>
      <c r="C366" s="13" t="s">
        <v>330</v>
      </c>
      <c r="D366" s="13" t="s">
        <v>1416</v>
      </c>
      <c r="E366" s="13" t="s">
        <v>1418</v>
      </c>
      <c r="F366" s="18" t="s">
        <v>1540</v>
      </c>
      <c r="G366" s="18">
        <v>46009</v>
      </c>
      <c r="H366" s="18">
        <v>46203</v>
      </c>
      <c r="I366" s="13" t="s">
        <v>23</v>
      </c>
      <c r="J366" s="13" t="s">
        <v>24</v>
      </c>
      <c r="K366" s="13" t="s">
        <v>36</v>
      </c>
      <c r="L366" s="13" t="s">
        <v>68</v>
      </c>
      <c r="M366" s="13" t="s">
        <v>1621</v>
      </c>
      <c r="N366" s="4">
        <v>994947433</v>
      </c>
      <c r="O366" s="4" t="s">
        <v>28</v>
      </c>
      <c r="P366" s="1" t="s">
        <v>5</v>
      </c>
      <c r="Q366" s="1" t="s">
        <v>29</v>
      </c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3">
        <f t="shared" si="80"/>
        <v>0</v>
      </c>
      <c r="AU366" s="3">
        <f t="shared" si="81"/>
        <v>1</v>
      </c>
      <c r="AV366" s="3">
        <f t="shared" si="82"/>
        <v>0</v>
      </c>
      <c r="AW366" s="3">
        <f t="shared" si="83"/>
        <v>0</v>
      </c>
      <c r="AX366" s="3">
        <f t="shared" si="84"/>
        <v>0</v>
      </c>
      <c r="AY366" s="3">
        <f t="shared" si="85"/>
        <v>1</v>
      </c>
      <c r="AZ366" s="3">
        <f t="shared" si="86"/>
        <v>0</v>
      </c>
      <c r="BA366" s="3">
        <f t="shared" si="87"/>
        <v>0</v>
      </c>
      <c r="BB366" s="3">
        <f t="shared" si="88"/>
        <v>0</v>
      </c>
      <c r="BC366" s="3">
        <f t="shared" si="89"/>
        <v>0</v>
      </c>
      <c r="BD366" s="3">
        <f t="shared" si="90"/>
        <v>0</v>
      </c>
      <c r="BE366" s="3">
        <f t="shared" si="91"/>
        <v>0</v>
      </c>
      <c r="BF366" s="3">
        <f t="shared" si="92"/>
        <v>0</v>
      </c>
      <c r="BG366" s="3">
        <f t="shared" si="93"/>
        <v>0</v>
      </c>
      <c r="BH366" s="3">
        <f t="shared" si="94"/>
        <v>0</v>
      </c>
      <c r="BI366" s="3">
        <f t="shared" si="95"/>
        <v>2</v>
      </c>
    </row>
    <row r="367" spans="1:126" x14ac:dyDescent="0.25">
      <c r="A367" s="29">
        <v>369</v>
      </c>
      <c r="B367" s="3" t="s">
        <v>1415</v>
      </c>
      <c r="C367" s="13" t="s">
        <v>849</v>
      </c>
      <c r="D367" s="13" t="s">
        <v>1417</v>
      </c>
      <c r="E367" s="13" t="s">
        <v>1419</v>
      </c>
      <c r="F367" s="18" t="s">
        <v>138</v>
      </c>
      <c r="G367" s="18">
        <v>46009</v>
      </c>
      <c r="H367" s="18" t="s">
        <v>1672</v>
      </c>
      <c r="I367" s="13" t="s">
        <v>23</v>
      </c>
      <c r="J367" s="13" t="s">
        <v>24</v>
      </c>
      <c r="K367" s="13" t="s">
        <v>43</v>
      </c>
      <c r="L367" s="13" t="s">
        <v>216</v>
      </c>
      <c r="M367" s="13" t="s">
        <v>1621</v>
      </c>
      <c r="N367" s="4">
        <v>978037546</v>
      </c>
      <c r="O367" s="4" t="s">
        <v>28</v>
      </c>
      <c r="P367" s="1" t="s">
        <v>29</v>
      </c>
      <c r="Q367" s="1" t="s">
        <v>5</v>
      </c>
      <c r="R367" s="1" t="s">
        <v>5</v>
      </c>
      <c r="S367" s="1" t="s">
        <v>5</v>
      </c>
      <c r="T367" s="1" t="s">
        <v>5</v>
      </c>
      <c r="U367" s="1" t="s">
        <v>5</v>
      </c>
      <c r="V367" s="1" t="s">
        <v>5</v>
      </c>
      <c r="W367" s="1" t="s">
        <v>5</v>
      </c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3"/>
      <c r="AP367" s="1"/>
      <c r="AQ367" s="1"/>
      <c r="AR367" s="1"/>
      <c r="AS367" s="1"/>
      <c r="AT367" s="3">
        <f t="shared" si="80"/>
        <v>0</v>
      </c>
      <c r="AU367" s="3">
        <f t="shared" si="81"/>
        <v>1</v>
      </c>
      <c r="AV367" s="3">
        <f t="shared" si="82"/>
        <v>0</v>
      </c>
      <c r="AW367" s="3">
        <f t="shared" si="83"/>
        <v>0</v>
      </c>
      <c r="AX367" s="3">
        <f t="shared" si="84"/>
        <v>0</v>
      </c>
      <c r="AY367" s="3">
        <f t="shared" si="85"/>
        <v>7</v>
      </c>
      <c r="AZ367" s="3">
        <f t="shared" si="86"/>
        <v>0</v>
      </c>
      <c r="BA367" s="3">
        <f t="shared" si="87"/>
        <v>0</v>
      </c>
      <c r="BB367" s="3">
        <f t="shared" si="88"/>
        <v>0</v>
      </c>
      <c r="BC367" s="3">
        <f t="shared" si="89"/>
        <v>0</v>
      </c>
      <c r="BD367" s="3">
        <f t="shared" si="90"/>
        <v>0</v>
      </c>
      <c r="BE367" s="3">
        <f t="shared" si="91"/>
        <v>0</v>
      </c>
      <c r="BF367" s="3">
        <f t="shared" si="92"/>
        <v>0</v>
      </c>
      <c r="BG367" s="3">
        <f t="shared" si="93"/>
        <v>0</v>
      </c>
      <c r="BH367" s="3">
        <f t="shared" si="94"/>
        <v>0</v>
      </c>
      <c r="BI367" s="3">
        <f t="shared" si="95"/>
        <v>8</v>
      </c>
    </row>
    <row r="368" spans="1:126" x14ac:dyDescent="0.25">
      <c r="A368" s="29">
        <v>371</v>
      </c>
      <c r="B368" s="3" t="s">
        <v>1422</v>
      </c>
      <c r="C368" s="13" t="s">
        <v>1431</v>
      </c>
      <c r="D368" s="13" t="s">
        <v>1432</v>
      </c>
      <c r="E368" s="13" t="s">
        <v>1433</v>
      </c>
      <c r="F368" s="18" t="s">
        <v>1522</v>
      </c>
      <c r="G368" s="18">
        <v>46014</v>
      </c>
      <c r="H368" s="18">
        <v>46203</v>
      </c>
      <c r="I368" s="13" t="s">
        <v>23</v>
      </c>
      <c r="J368" s="13" t="s">
        <v>24</v>
      </c>
      <c r="K368" s="13" t="s">
        <v>36</v>
      </c>
      <c r="L368" s="13" t="s">
        <v>292</v>
      </c>
      <c r="M368" s="13" t="s">
        <v>1621</v>
      </c>
      <c r="N368" s="3">
        <v>956894271</v>
      </c>
      <c r="O368" s="3" t="s">
        <v>28</v>
      </c>
      <c r="P368" s="1" t="s">
        <v>5</v>
      </c>
      <c r="Q368" s="1" t="s">
        <v>29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3">
        <f t="shared" si="80"/>
        <v>0</v>
      </c>
      <c r="AU368" s="3">
        <f t="shared" si="81"/>
        <v>1</v>
      </c>
      <c r="AV368" s="3">
        <f t="shared" si="82"/>
        <v>0</v>
      </c>
      <c r="AW368" s="3">
        <f t="shared" si="83"/>
        <v>0</v>
      </c>
      <c r="AX368" s="3">
        <f t="shared" si="84"/>
        <v>0</v>
      </c>
      <c r="AY368" s="3">
        <f t="shared" si="85"/>
        <v>1</v>
      </c>
      <c r="AZ368" s="3">
        <f t="shared" si="86"/>
        <v>0</v>
      </c>
      <c r="BA368" s="3">
        <f t="shared" si="87"/>
        <v>0</v>
      </c>
      <c r="BB368" s="3">
        <f t="shared" si="88"/>
        <v>0</v>
      </c>
      <c r="BC368" s="3">
        <f t="shared" si="89"/>
        <v>0</v>
      </c>
      <c r="BD368" s="3">
        <f t="shared" si="90"/>
        <v>0</v>
      </c>
      <c r="BE368" s="3">
        <f t="shared" si="91"/>
        <v>0</v>
      </c>
      <c r="BF368" s="3">
        <f t="shared" si="92"/>
        <v>0</v>
      </c>
      <c r="BG368" s="3">
        <f t="shared" si="93"/>
        <v>0</v>
      </c>
      <c r="BH368" s="3">
        <f t="shared" si="94"/>
        <v>0</v>
      </c>
      <c r="BI368" s="3">
        <f t="shared" si="95"/>
        <v>2</v>
      </c>
    </row>
    <row r="369" spans="1:61" x14ac:dyDescent="0.25">
      <c r="A369" s="29">
        <v>372</v>
      </c>
      <c r="B369" s="3" t="s">
        <v>1427</v>
      </c>
      <c r="C369" s="13" t="s">
        <v>539</v>
      </c>
      <c r="D369" s="13" t="s">
        <v>71</v>
      </c>
      <c r="E369" s="13" t="s">
        <v>1438</v>
      </c>
      <c r="F369" s="18" t="s">
        <v>67</v>
      </c>
      <c r="G369" s="18">
        <v>46014</v>
      </c>
      <c r="H369" s="18">
        <v>46203</v>
      </c>
      <c r="I369" s="13" t="s">
        <v>23</v>
      </c>
      <c r="J369" s="13" t="s">
        <v>24</v>
      </c>
      <c r="K369" s="13" t="s">
        <v>36</v>
      </c>
      <c r="L369" s="13" t="s">
        <v>292</v>
      </c>
      <c r="M369" s="13" t="s">
        <v>1621</v>
      </c>
      <c r="N369" s="3">
        <v>933836365</v>
      </c>
      <c r="O369" s="3" t="s">
        <v>28</v>
      </c>
      <c r="P369" s="1" t="s">
        <v>5</v>
      </c>
      <c r="Q369" s="1" t="s">
        <v>29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3">
        <f t="shared" si="80"/>
        <v>0</v>
      </c>
      <c r="AU369" s="3">
        <f t="shared" si="81"/>
        <v>1</v>
      </c>
      <c r="AV369" s="3">
        <f t="shared" si="82"/>
        <v>0</v>
      </c>
      <c r="AW369" s="3">
        <f t="shared" si="83"/>
        <v>0</v>
      </c>
      <c r="AX369" s="3">
        <f t="shared" si="84"/>
        <v>0</v>
      </c>
      <c r="AY369" s="3">
        <f t="shared" si="85"/>
        <v>1</v>
      </c>
      <c r="AZ369" s="3">
        <f t="shared" si="86"/>
        <v>0</v>
      </c>
      <c r="BA369" s="3">
        <f t="shared" si="87"/>
        <v>0</v>
      </c>
      <c r="BB369" s="3">
        <f t="shared" si="88"/>
        <v>0</v>
      </c>
      <c r="BC369" s="3">
        <f t="shared" si="89"/>
        <v>0</v>
      </c>
      <c r="BD369" s="3">
        <f t="shared" si="90"/>
        <v>0</v>
      </c>
      <c r="BE369" s="3">
        <f t="shared" si="91"/>
        <v>0</v>
      </c>
      <c r="BF369" s="3">
        <f t="shared" si="92"/>
        <v>0</v>
      </c>
      <c r="BG369" s="3">
        <f t="shared" si="93"/>
        <v>0</v>
      </c>
      <c r="BH369" s="3">
        <f t="shared" si="94"/>
        <v>0</v>
      </c>
      <c r="BI369" s="3">
        <f t="shared" si="95"/>
        <v>2</v>
      </c>
    </row>
    <row r="370" spans="1:61" x14ac:dyDescent="0.25">
      <c r="A370" s="29">
        <v>374</v>
      </c>
      <c r="B370" s="3" t="s">
        <v>1429</v>
      </c>
      <c r="C370" s="13" t="s">
        <v>129</v>
      </c>
      <c r="D370" s="13" t="s">
        <v>1442</v>
      </c>
      <c r="E370" s="13" t="s">
        <v>1323</v>
      </c>
      <c r="F370" s="18" t="s">
        <v>1523</v>
      </c>
      <c r="G370" s="18">
        <v>46014</v>
      </c>
      <c r="H370" s="18">
        <v>46203</v>
      </c>
      <c r="I370" s="13" t="s">
        <v>23</v>
      </c>
      <c r="J370" s="13" t="s">
        <v>24</v>
      </c>
      <c r="K370" s="13" t="s">
        <v>36</v>
      </c>
      <c r="L370" s="13" t="s">
        <v>292</v>
      </c>
      <c r="M370" s="13" t="s">
        <v>1621</v>
      </c>
      <c r="N370" s="3">
        <v>965917329</v>
      </c>
      <c r="O370" s="3" t="s">
        <v>28</v>
      </c>
      <c r="P370" s="1" t="s">
        <v>5</v>
      </c>
      <c r="Q370" s="1" t="s">
        <v>29</v>
      </c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3">
        <f t="shared" si="80"/>
        <v>0</v>
      </c>
      <c r="AU370" s="3">
        <f t="shared" si="81"/>
        <v>1</v>
      </c>
      <c r="AV370" s="3">
        <f t="shared" si="82"/>
        <v>0</v>
      </c>
      <c r="AW370" s="3">
        <f t="shared" si="83"/>
        <v>0</v>
      </c>
      <c r="AX370" s="3">
        <f t="shared" si="84"/>
        <v>0</v>
      </c>
      <c r="AY370" s="3">
        <f t="shared" si="85"/>
        <v>1</v>
      </c>
      <c r="AZ370" s="3">
        <f t="shared" si="86"/>
        <v>0</v>
      </c>
      <c r="BA370" s="3">
        <f t="shared" si="87"/>
        <v>0</v>
      </c>
      <c r="BB370" s="3">
        <f t="shared" si="88"/>
        <v>0</v>
      </c>
      <c r="BC370" s="3">
        <f t="shared" si="89"/>
        <v>0</v>
      </c>
      <c r="BD370" s="3">
        <f t="shared" si="90"/>
        <v>0</v>
      </c>
      <c r="BE370" s="3">
        <f t="shared" si="91"/>
        <v>0</v>
      </c>
      <c r="BF370" s="3">
        <f t="shared" si="92"/>
        <v>0</v>
      </c>
      <c r="BG370" s="3">
        <f t="shared" si="93"/>
        <v>0</v>
      </c>
      <c r="BH370" s="3">
        <f t="shared" si="94"/>
        <v>0</v>
      </c>
      <c r="BI370" s="3">
        <f t="shared" si="95"/>
        <v>2</v>
      </c>
    </row>
    <row r="371" spans="1:61" x14ac:dyDescent="0.25">
      <c r="A371" s="29">
        <v>370</v>
      </c>
      <c r="B371" s="3" t="s">
        <v>1421</v>
      </c>
      <c r="C371" s="13" t="s">
        <v>1096</v>
      </c>
      <c r="D371" s="13" t="s">
        <v>825</v>
      </c>
      <c r="E371" s="13" t="s">
        <v>952</v>
      </c>
      <c r="F371" s="18" t="s">
        <v>55</v>
      </c>
      <c r="G371" s="18">
        <v>46014</v>
      </c>
      <c r="H371" s="18">
        <v>46203</v>
      </c>
      <c r="I371" s="13" t="s">
        <v>23</v>
      </c>
      <c r="J371" s="13" t="s">
        <v>24</v>
      </c>
      <c r="K371" s="13" t="s">
        <v>25</v>
      </c>
      <c r="L371" s="13" t="s">
        <v>292</v>
      </c>
      <c r="M371" s="13" t="s">
        <v>1621</v>
      </c>
      <c r="N371" s="3">
        <v>997138387</v>
      </c>
      <c r="O371" s="3" t="s">
        <v>28</v>
      </c>
      <c r="P371" s="1" t="s">
        <v>5</v>
      </c>
      <c r="Q371" s="1" t="s">
        <v>39</v>
      </c>
      <c r="R371" s="1" t="s">
        <v>39</v>
      </c>
      <c r="S371" s="1"/>
      <c r="T371" s="1"/>
      <c r="U371" s="1"/>
      <c r="V371" s="1"/>
      <c r="W371" s="1"/>
      <c r="X371" s="1"/>
      <c r="Y371" s="1"/>
      <c r="Z371" s="1"/>
      <c r="AA371" s="1"/>
      <c r="AB371" s="14"/>
      <c r="AC371" s="14"/>
      <c r="AD371" s="1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1"/>
      <c r="AP371" s="1"/>
      <c r="AQ371" s="1"/>
      <c r="AR371" s="1"/>
      <c r="AS371" s="1"/>
      <c r="AT371" s="3">
        <f t="shared" si="80"/>
        <v>2</v>
      </c>
      <c r="AU371" s="3">
        <f t="shared" si="81"/>
        <v>0</v>
      </c>
      <c r="AV371" s="3">
        <f t="shared" si="82"/>
        <v>0</v>
      </c>
      <c r="AW371" s="3">
        <f t="shared" si="83"/>
        <v>0</v>
      </c>
      <c r="AX371" s="3">
        <f t="shared" si="84"/>
        <v>0</v>
      </c>
      <c r="AY371" s="3">
        <f t="shared" si="85"/>
        <v>1</v>
      </c>
      <c r="AZ371" s="3">
        <f t="shared" si="86"/>
        <v>0</v>
      </c>
      <c r="BA371" s="3">
        <f t="shared" si="87"/>
        <v>0</v>
      </c>
      <c r="BB371" s="3">
        <f t="shared" si="88"/>
        <v>0</v>
      </c>
      <c r="BC371" s="3">
        <f t="shared" si="89"/>
        <v>0</v>
      </c>
      <c r="BD371" s="3">
        <f t="shared" si="90"/>
        <v>0</v>
      </c>
      <c r="BE371" s="3">
        <f t="shared" si="91"/>
        <v>0</v>
      </c>
      <c r="BF371" s="3">
        <f t="shared" si="92"/>
        <v>0</v>
      </c>
      <c r="BG371" s="3">
        <f t="shared" si="93"/>
        <v>0</v>
      </c>
      <c r="BH371" s="3">
        <f t="shared" si="94"/>
        <v>0</v>
      </c>
      <c r="BI371" s="3">
        <f t="shared" si="95"/>
        <v>3</v>
      </c>
    </row>
    <row r="372" spans="1:61" x14ac:dyDescent="0.25">
      <c r="A372" s="29">
        <v>375</v>
      </c>
      <c r="B372" s="3" t="s">
        <v>1423</v>
      </c>
      <c r="C372" s="13" t="s">
        <v>721</v>
      </c>
      <c r="D372" s="13" t="s">
        <v>536</v>
      </c>
      <c r="E372" s="13" t="s">
        <v>1434</v>
      </c>
      <c r="F372" s="18" t="s">
        <v>1540</v>
      </c>
      <c r="G372" s="18">
        <v>46014</v>
      </c>
      <c r="H372" s="18" t="s">
        <v>1672</v>
      </c>
      <c r="I372" s="13" t="s">
        <v>23</v>
      </c>
      <c r="J372" s="13" t="s">
        <v>24</v>
      </c>
      <c r="K372" s="13" t="s">
        <v>43</v>
      </c>
      <c r="L372" s="13" t="s">
        <v>68</v>
      </c>
      <c r="M372" s="13" t="s">
        <v>1621</v>
      </c>
      <c r="N372" s="3">
        <v>975315117</v>
      </c>
      <c r="O372" s="3" t="s">
        <v>28</v>
      </c>
      <c r="P372" s="1" t="s">
        <v>29</v>
      </c>
      <c r="Q372" s="1" t="s">
        <v>5</v>
      </c>
      <c r="R372" s="1" t="s">
        <v>5</v>
      </c>
      <c r="S372" s="1" t="s">
        <v>5</v>
      </c>
      <c r="T372" s="1" t="s">
        <v>5</v>
      </c>
      <c r="U372" s="1" t="s">
        <v>5</v>
      </c>
      <c r="V372" s="1" t="s">
        <v>5</v>
      </c>
      <c r="W372" s="1" t="s">
        <v>5</v>
      </c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3"/>
      <c r="AP372" s="1"/>
      <c r="AQ372" s="1"/>
      <c r="AR372" s="1"/>
      <c r="AS372" s="1"/>
      <c r="AT372" s="3">
        <f t="shared" si="80"/>
        <v>0</v>
      </c>
      <c r="AU372" s="3">
        <f t="shared" si="81"/>
        <v>1</v>
      </c>
      <c r="AV372" s="3">
        <f t="shared" si="82"/>
        <v>0</v>
      </c>
      <c r="AW372" s="3">
        <f t="shared" si="83"/>
        <v>0</v>
      </c>
      <c r="AX372" s="3">
        <f t="shared" si="84"/>
        <v>0</v>
      </c>
      <c r="AY372" s="3">
        <f t="shared" si="85"/>
        <v>7</v>
      </c>
      <c r="AZ372" s="3">
        <f t="shared" si="86"/>
        <v>0</v>
      </c>
      <c r="BA372" s="3">
        <f t="shared" si="87"/>
        <v>0</v>
      </c>
      <c r="BB372" s="3">
        <f t="shared" si="88"/>
        <v>0</v>
      </c>
      <c r="BC372" s="3">
        <f t="shared" si="89"/>
        <v>0</v>
      </c>
      <c r="BD372" s="3">
        <f t="shared" si="90"/>
        <v>0</v>
      </c>
      <c r="BE372" s="3">
        <f t="shared" si="91"/>
        <v>0</v>
      </c>
      <c r="BF372" s="3">
        <f t="shared" si="92"/>
        <v>0</v>
      </c>
      <c r="BG372" s="3">
        <f t="shared" si="93"/>
        <v>0</v>
      </c>
      <c r="BH372" s="3">
        <f t="shared" si="94"/>
        <v>0</v>
      </c>
      <c r="BI372" s="3">
        <f t="shared" si="95"/>
        <v>8</v>
      </c>
    </row>
    <row r="373" spans="1:61" x14ac:dyDescent="0.25">
      <c r="A373" s="29">
        <v>376</v>
      </c>
      <c r="B373" s="3" t="s">
        <v>1424</v>
      </c>
      <c r="C373" s="13" t="s">
        <v>1435</v>
      </c>
      <c r="D373" s="13" t="s">
        <v>1169</v>
      </c>
      <c r="E373" s="13" t="s">
        <v>1436</v>
      </c>
      <c r="F373" s="18" t="s">
        <v>1550</v>
      </c>
      <c r="G373" s="18">
        <v>46014</v>
      </c>
      <c r="H373" s="18" t="s">
        <v>1672</v>
      </c>
      <c r="I373" s="13" t="s">
        <v>23</v>
      </c>
      <c r="J373" s="13" t="s">
        <v>24</v>
      </c>
      <c r="K373" s="13" t="s">
        <v>56</v>
      </c>
      <c r="L373" s="13" t="s">
        <v>216</v>
      </c>
      <c r="M373" s="13" t="s">
        <v>1621</v>
      </c>
      <c r="N373" s="3">
        <v>954355895</v>
      </c>
      <c r="O373" s="3" t="s">
        <v>28</v>
      </c>
      <c r="P373" s="1" t="s">
        <v>39</v>
      </c>
      <c r="Q373" s="1" t="s">
        <v>5</v>
      </c>
      <c r="R373" s="1" t="s">
        <v>5</v>
      </c>
      <c r="S373" s="1" t="s">
        <v>5</v>
      </c>
      <c r="T373" s="1" t="s">
        <v>5</v>
      </c>
      <c r="U373" s="1" t="s">
        <v>5</v>
      </c>
      <c r="V373" s="1" t="s">
        <v>5</v>
      </c>
      <c r="W373" s="1" t="s">
        <v>5</v>
      </c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3">
        <f t="shared" si="80"/>
        <v>1</v>
      </c>
      <c r="AU373" s="3">
        <f t="shared" si="81"/>
        <v>0</v>
      </c>
      <c r="AV373" s="3">
        <f t="shared" si="82"/>
        <v>0</v>
      </c>
      <c r="AW373" s="3">
        <f t="shared" si="83"/>
        <v>0</v>
      </c>
      <c r="AX373" s="3">
        <f t="shared" si="84"/>
        <v>0</v>
      </c>
      <c r="AY373" s="3">
        <f t="shared" si="85"/>
        <v>7</v>
      </c>
      <c r="AZ373" s="3">
        <f t="shared" si="86"/>
        <v>0</v>
      </c>
      <c r="BA373" s="3">
        <f t="shared" si="87"/>
        <v>0</v>
      </c>
      <c r="BB373" s="3">
        <f t="shared" si="88"/>
        <v>0</v>
      </c>
      <c r="BC373" s="3">
        <f t="shared" si="89"/>
        <v>0</v>
      </c>
      <c r="BD373" s="3">
        <f t="shared" si="90"/>
        <v>0</v>
      </c>
      <c r="BE373" s="3">
        <f t="shared" si="91"/>
        <v>0</v>
      </c>
      <c r="BF373" s="3">
        <f t="shared" si="92"/>
        <v>0</v>
      </c>
      <c r="BG373" s="3">
        <f t="shared" si="93"/>
        <v>0</v>
      </c>
      <c r="BH373" s="3">
        <f t="shared" si="94"/>
        <v>0</v>
      </c>
      <c r="BI373" s="3">
        <f t="shared" si="95"/>
        <v>8</v>
      </c>
    </row>
    <row r="374" spans="1:61" x14ac:dyDescent="0.25">
      <c r="A374" s="29">
        <v>373</v>
      </c>
      <c r="B374" s="3" t="s">
        <v>1425</v>
      </c>
      <c r="C374" s="13" t="s">
        <v>218</v>
      </c>
      <c r="D374" s="13" t="s">
        <v>218</v>
      </c>
      <c r="E374" s="13" t="s">
        <v>831</v>
      </c>
      <c r="F374" s="22" t="s">
        <v>1446</v>
      </c>
      <c r="G374" s="25">
        <v>46014</v>
      </c>
      <c r="H374" s="25">
        <v>46203</v>
      </c>
      <c r="I374" s="22" t="s">
        <v>23</v>
      </c>
      <c r="J374" s="22" t="s">
        <v>24</v>
      </c>
      <c r="K374" s="13" t="s">
        <v>84</v>
      </c>
      <c r="L374" s="13" t="s">
        <v>85</v>
      </c>
      <c r="M374" s="13" t="s">
        <v>1621</v>
      </c>
      <c r="N374" s="3">
        <v>992253875</v>
      </c>
      <c r="O374" s="3" t="s">
        <v>84</v>
      </c>
      <c r="P374" s="1" t="s">
        <v>39</v>
      </c>
      <c r="Q374" s="3" t="s">
        <v>39</v>
      </c>
      <c r="R374" s="1" t="s">
        <v>5</v>
      </c>
      <c r="S374" s="1" t="s">
        <v>5</v>
      </c>
      <c r="T374" s="1" t="s">
        <v>5</v>
      </c>
      <c r="U374" s="3"/>
      <c r="V374" s="1"/>
      <c r="W374" s="1"/>
      <c r="X374" s="1"/>
      <c r="Y374" s="1"/>
      <c r="Z374" s="1"/>
      <c r="AA374" s="1"/>
      <c r="AB374" s="1"/>
      <c r="AC374" s="1"/>
      <c r="AD374" s="1"/>
      <c r="AE374" s="3"/>
      <c r="AF374" s="1"/>
      <c r="AG374" s="1"/>
      <c r="AH374" s="1"/>
      <c r="AI374" s="3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3">
        <f t="shared" si="80"/>
        <v>2</v>
      </c>
      <c r="AU374" s="3">
        <f t="shared" si="81"/>
        <v>0</v>
      </c>
      <c r="AV374" s="3">
        <f t="shared" si="82"/>
        <v>0</v>
      </c>
      <c r="AW374" s="3">
        <f t="shared" si="83"/>
        <v>0</v>
      </c>
      <c r="AX374" s="3">
        <f t="shared" si="84"/>
        <v>0</v>
      </c>
      <c r="AY374" s="3">
        <f t="shared" si="85"/>
        <v>3</v>
      </c>
      <c r="AZ374" s="3">
        <f t="shared" si="86"/>
        <v>0</v>
      </c>
      <c r="BA374" s="3">
        <f t="shared" si="87"/>
        <v>0</v>
      </c>
      <c r="BB374" s="3">
        <f t="shared" si="88"/>
        <v>0</v>
      </c>
      <c r="BC374" s="3">
        <f t="shared" si="89"/>
        <v>0</v>
      </c>
      <c r="BD374" s="3">
        <f t="shared" si="90"/>
        <v>0</v>
      </c>
      <c r="BE374" s="3">
        <f t="shared" si="91"/>
        <v>0</v>
      </c>
      <c r="BF374" s="3">
        <f t="shared" si="92"/>
        <v>0</v>
      </c>
      <c r="BG374" s="3">
        <f t="shared" si="93"/>
        <v>0</v>
      </c>
      <c r="BH374" s="3">
        <f t="shared" si="94"/>
        <v>0</v>
      </c>
      <c r="BI374" s="3">
        <f t="shared" si="95"/>
        <v>5</v>
      </c>
    </row>
    <row r="375" spans="1:61" x14ac:dyDescent="0.25">
      <c r="A375" s="29">
        <v>378</v>
      </c>
      <c r="B375" s="3" t="s">
        <v>1428</v>
      </c>
      <c r="C375" s="13" t="s">
        <v>1439</v>
      </c>
      <c r="D375" s="13" t="s">
        <v>1440</v>
      </c>
      <c r="E375" s="13" t="s">
        <v>1441</v>
      </c>
      <c r="F375" s="18" t="s">
        <v>1522</v>
      </c>
      <c r="G375" s="18">
        <v>46014</v>
      </c>
      <c r="H375" s="18" t="s">
        <v>1672</v>
      </c>
      <c r="I375" s="13" t="s">
        <v>23</v>
      </c>
      <c r="J375" s="13" t="s">
        <v>24</v>
      </c>
      <c r="K375" s="13" t="s">
        <v>56</v>
      </c>
      <c r="L375" s="13" t="s">
        <v>216</v>
      </c>
      <c r="M375" s="13" t="s">
        <v>1621</v>
      </c>
      <c r="N375" s="3">
        <v>966524081</v>
      </c>
      <c r="O375" s="3" t="s">
        <v>28</v>
      </c>
      <c r="P375" s="1" t="s">
        <v>39</v>
      </c>
      <c r="Q375" s="1" t="s">
        <v>5</v>
      </c>
      <c r="R375" s="1" t="s">
        <v>5</v>
      </c>
      <c r="S375" s="1" t="s">
        <v>5</v>
      </c>
      <c r="T375" s="1" t="s">
        <v>5</v>
      </c>
      <c r="U375" s="1" t="s">
        <v>5</v>
      </c>
      <c r="V375" s="1" t="s">
        <v>5</v>
      </c>
      <c r="W375" s="1" t="s">
        <v>5</v>
      </c>
      <c r="X375" s="1"/>
      <c r="Y375" s="1"/>
      <c r="Z375" s="1"/>
      <c r="AA375" s="1"/>
      <c r="AB375" s="1"/>
      <c r="AC375" s="1"/>
      <c r="AD375" s="1"/>
      <c r="AE375" s="1"/>
      <c r="AF375" s="1"/>
      <c r="AG375" s="3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3">
        <f t="shared" si="80"/>
        <v>1</v>
      </c>
      <c r="AU375" s="3">
        <f t="shared" si="81"/>
        <v>0</v>
      </c>
      <c r="AV375" s="3">
        <f t="shared" si="82"/>
        <v>0</v>
      </c>
      <c r="AW375" s="3">
        <f t="shared" si="83"/>
        <v>0</v>
      </c>
      <c r="AX375" s="3">
        <f t="shared" si="84"/>
        <v>0</v>
      </c>
      <c r="AY375" s="3">
        <f t="shared" si="85"/>
        <v>7</v>
      </c>
      <c r="AZ375" s="3">
        <f t="shared" si="86"/>
        <v>0</v>
      </c>
      <c r="BA375" s="3">
        <f t="shared" si="87"/>
        <v>0</v>
      </c>
      <c r="BB375" s="3">
        <f t="shared" si="88"/>
        <v>0</v>
      </c>
      <c r="BC375" s="3">
        <f t="shared" si="89"/>
        <v>0</v>
      </c>
      <c r="BD375" s="3">
        <f t="shared" si="90"/>
        <v>0</v>
      </c>
      <c r="BE375" s="3">
        <f t="shared" si="91"/>
        <v>0</v>
      </c>
      <c r="BF375" s="3">
        <f t="shared" si="92"/>
        <v>0</v>
      </c>
      <c r="BG375" s="3">
        <f t="shared" si="93"/>
        <v>0</v>
      </c>
      <c r="BH375" s="3">
        <f t="shared" si="94"/>
        <v>0</v>
      </c>
      <c r="BI375" s="3">
        <f t="shared" si="95"/>
        <v>8</v>
      </c>
    </row>
    <row r="376" spans="1:61" x14ac:dyDescent="0.25">
      <c r="A376" s="29">
        <v>377</v>
      </c>
      <c r="B376" s="3" t="s">
        <v>1426</v>
      </c>
      <c r="C376" s="13" t="s">
        <v>439</v>
      </c>
      <c r="D376" s="13" t="s">
        <v>958</v>
      </c>
      <c r="E376" s="13" t="s">
        <v>1437</v>
      </c>
      <c r="F376" s="18" t="s">
        <v>1540</v>
      </c>
      <c r="G376" s="18">
        <v>46014</v>
      </c>
      <c r="H376" s="18">
        <v>46203</v>
      </c>
      <c r="I376" s="13" t="s">
        <v>23</v>
      </c>
      <c r="J376" s="13" t="s">
        <v>24</v>
      </c>
      <c r="K376" s="13" t="s">
        <v>405</v>
      </c>
      <c r="L376" s="13" t="s">
        <v>68</v>
      </c>
      <c r="M376" s="13" t="s">
        <v>1621</v>
      </c>
      <c r="N376" s="3">
        <v>965091026</v>
      </c>
      <c r="O376" s="3" t="s">
        <v>28</v>
      </c>
      <c r="P376" s="1" t="s">
        <v>5</v>
      </c>
      <c r="Q376" s="1" t="s">
        <v>39</v>
      </c>
      <c r="R376" s="1" t="s">
        <v>39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3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3">
        <f t="shared" si="80"/>
        <v>2</v>
      </c>
      <c r="AU376" s="3">
        <f t="shared" si="81"/>
        <v>0</v>
      </c>
      <c r="AV376" s="3">
        <f t="shared" si="82"/>
        <v>0</v>
      </c>
      <c r="AW376" s="3">
        <f t="shared" si="83"/>
        <v>0</v>
      </c>
      <c r="AX376" s="3">
        <f t="shared" si="84"/>
        <v>0</v>
      </c>
      <c r="AY376" s="3">
        <f t="shared" si="85"/>
        <v>1</v>
      </c>
      <c r="AZ376" s="3">
        <f t="shared" si="86"/>
        <v>0</v>
      </c>
      <c r="BA376" s="3">
        <f t="shared" si="87"/>
        <v>0</v>
      </c>
      <c r="BB376" s="3">
        <f t="shared" si="88"/>
        <v>0</v>
      </c>
      <c r="BC376" s="3">
        <f t="shared" si="89"/>
        <v>0</v>
      </c>
      <c r="BD376" s="3">
        <f t="shared" si="90"/>
        <v>0</v>
      </c>
      <c r="BE376" s="3">
        <f t="shared" si="91"/>
        <v>0</v>
      </c>
      <c r="BF376" s="3">
        <f t="shared" si="92"/>
        <v>0</v>
      </c>
      <c r="BG376" s="3">
        <f t="shared" si="93"/>
        <v>0</v>
      </c>
      <c r="BH376" s="3">
        <f t="shared" si="94"/>
        <v>0</v>
      </c>
      <c r="BI376" s="3">
        <f t="shared" si="95"/>
        <v>3</v>
      </c>
    </row>
    <row r="377" spans="1:61" x14ac:dyDescent="0.25">
      <c r="A377" s="29">
        <v>379</v>
      </c>
      <c r="B377" s="3" t="s">
        <v>1430</v>
      </c>
      <c r="C377" s="13" t="s">
        <v>1443</v>
      </c>
      <c r="D377" s="13" t="s">
        <v>1444</v>
      </c>
      <c r="E377" s="13" t="s">
        <v>1445</v>
      </c>
      <c r="F377" s="18" t="s">
        <v>1523</v>
      </c>
      <c r="G377" s="18">
        <v>46014</v>
      </c>
      <c r="H377" s="18" t="s">
        <v>1672</v>
      </c>
      <c r="I377" s="13" t="s">
        <v>23</v>
      </c>
      <c r="J377" s="13" t="s">
        <v>24</v>
      </c>
      <c r="K377" s="13" t="s">
        <v>43</v>
      </c>
      <c r="L377" s="13" t="s">
        <v>216</v>
      </c>
      <c r="M377" s="13" t="s">
        <v>1621</v>
      </c>
      <c r="N377" s="3">
        <v>934244494</v>
      </c>
      <c r="O377" s="3" t="s">
        <v>28</v>
      </c>
      <c r="P377" s="1" t="s">
        <v>29</v>
      </c>
      <c r="Q377" s="1" t="s">
        <v>5</v>
      </c>
      <c r="R377" s="1" t="s">
        <v>5</v>
      </c>
      <c r="S377" s="1" t="s">
        <v>5</v>
      </c>
      <c r="T377" s="1" t="s">
        <v>5</v>
      </c>
      <c r="U377" s="1" t="s">
        <v>5</v>
      </c>
      <c r="V377" s="1" t="s">
        <v>5</v>
      </c>
      <c r="W377" s="1" t="s">
        <v>5</v>
      </c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3"/>
      <c r="AP377" s="1"/>
      <c r="AQ377" s="1"/>
      <c r="AR377" s="1"/>
      <c r="AS377" s="1"/>
      <c r="AT377" s="3">
        <f t="shared" si="80"/>
        <v>0</v>
      </c>
      <c r="AU377" s="3">
        <f t="shared" si="81"/>
        <v>1</v>
      </c>
      <c r="AV377" s="3">
        <f t="shared" si="82"/>
        <v>0</v>
      </c>
      <c r="AW377" s="3">
        <f t="shared" si="83"/>
        <v>0</v>
      </c>
      <c r="AX377" s="3">
        <f t="shared" si="84"/>
        <v>0</v>
      </c>
      <c r="AY377" s="3">
        <f t="shared" si="85"/>
        <v>7</v>
      </c>
      <c r="AZ377" s="3">
        <f t="shared" si="86"/>
        <v>0</v>
      </c>
      <c r="BA377" s="3">
        <f t="shared" si="87"/>
        <v>0</v>
      </c>
      <c r="BB377" s="3">
        <f t="shared" si="88"/>
        <v>0</v>
      </c>
      <c r="BC377" s="3">
        <f t="shared" si="89"/>
        <v>0</v>
      </c>
      <c r="BD377" s="3">
        <f t="shared" si="90"/>
        <v>0</v>
      </c>
      <c r="BE377" s="3">
        <f t="shared" si="91"/>
        <v>0</v>
      </c>
      <c r="BF377" s="3">
        <f t="shared" si="92"/>
        <v>0</v>
      </c>
      <c r="BG377" s="3">
        <f t="shared" si="93"/>
        <v>0</v>
      </c>
      <c r="BH377" s="3">
        <f t="shared" si="94"/>
        <v>0</v>
      </c>
      <c r="BI377" s="3">
        <f t="shared" si="95"/>
        <v>8</v>
      </c>
    </row>
    <row r="378" spans="1:61" x14ac:dyDescent="0.25">
      <c r="A378" s="29">
        <v>381</v>
      </c>
      <c r="B378" s="3" t="s">
        <v>1451</v>
      </c>
      <c r="C378" s="13" t="s">
        <v>1452</v>
      </c>
      <c r="D378" s="13" t="s">
        <v>1453</v>
      </c>
      <c r="E378" s="13" t="s">
        <v>1454</v>
      </c>
      <c r="F378" s="22" t="s">
        <v>1551</v>
      </c>
      <c r="G378" s="25">
        <v>46027</v>
      </c>
      <c r="H378" s="25">
        <v>46203</v>
      </c>
      <c r="I378" s="22" t="s">
        <v>23</v>
      </c>
      <c r="J378" s="22" t="s">
        <v>24</v>
      </c>
      <c r="K378" s="13" t="s">
        <v>84</v>
      </c>
      <c r="L378" s="13" t="s">
        <v>372</v>
      </c>
      <c r="M378" s="13" t="s">
        <v>1</v>
      </c>
      <c r="N378" s="3">
        <v>958795010</v>
      </c>
      <c r="O378" s="3" t="s">
        <v>84</v>
      </c>
      <c r="P378" s="1" t="s">
        <v>39</v>
      </c>
      <c r="Q378" s="1" t="s">
        <v>39</v>
      </c>
      <c r="R378" s="1" t="s">
        <v>5</v>
      </c>
      <c r="S378" s="1" t="s">
        <v>5</v>
      </c>
      <c r="T378" s="1" t="s">
        <v>5</v>
      </c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3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3">
        <f t="shared" si="80"/>
        <v>2</v>
      </c>
      <c r="AU378" s="3">
        <f t="shared" si="81"/>
        <v>0</v>
      </c>
      <c r="AV378" s="3">
        <f t="shared" si="82"/>
        <v>0</v>
      </c>
      <c r="AW378" s="3">
        <f t="shared" si="83"/>
        <v>0</v>
      </c>
      <c r="AX378" s="3">
        <f t="shared" si="84"/>
        <v>0</v>
      </c>
      <c r="AY378" s="3">
        <f t="shared" si="85"/>
        <v>3</v>
      </c>
      <c r="AZ378" s="3">
        <f t="shared" si="86"/>
        <v>0</v>
      </c>
      <c r="BA378" s="3">
        <f t="shared" si="87"/>
        <v>0</v>
      </c>
      <c r="BB378" s="3">
        <f t="shared" si="88"/>
        <v>0</v>
      </c>
      <c r="BC378" s="3">
        <f t="shared" si="89"/>
        <v>0</v>
      </c>
      <c r="BD378" s="3">
        <f t="shared" si="90"/>
        <v>0</v>
      </c>
      <c r="BE378" s="3">
        <f t="shared" si="91"/>
        <v>0</v>
      </c>
      <c r="BF378" s="3">
        <f t="shared" si="92"/>
        <v>0</v>
      </c>
      <c r="BG378" s="3">
        <f t="shared" si="93"/>
        <v>0</v>
      </c>
      <c r="BH378" s="3">
        <f t="shared" si="94"/>
        <v>0</v>
      </c>
      <c r="BI378" s="3">
        <f t="shared" si="95"/>
        <v>5</v>
      </c>
    </row>
    <row r="379" spans="1:61" x14ac:dyDescent="0.25">
      <c r="A379" s="29">
        <v>383</v>
      </c>
      <c r="B379" s="3" t="s">
        <v>1455</v>
      </c>
      <c r="C379" s="13" t="s">
        <v>648</v>
      </c>
      <c r="D379" s="13" t="s">
        <v>308</v>
      </c>
      <c r="E379" s="13" t="s">
        <v>1456</v>
      </c>
      <c r="F379" s="18" t="s">
        <v>1521</v>
      </c>
      <c r="G379" s="18">
        <v>46027</v>
      </c>
      <c r="H379" s="18" t="s">
        <v>1672</v>
      </c>
      <c r="I379" s="13" t="s">
        <v>23</v>
      </c>
      <c r="J379" s="13" t="s">
        <v>24</v>
      </c>
      <c r="K379" s="13" t="s">
        <v>43</v>
      </c>
      <c r="L379" s="13" t="s">
        <v>68</v>
      </c>
      <c r="M379" s="13" t="s">
        <v>1621</v>
      </c>
      <c r="N379" s="3">
        <v>937096199</v>
      </c>
      <c r="O379" s="3" t="s">
        <v>28</v>
      </c>
      <c r="P379" s="1" t="s">
        <v>29</v>
      </c>
      <c r="Q379" s="1" t="s">
        <v>5</v>
      </c>
      <c r="R379" s="1" t="s">
        <v>5</v>
      </c>
      <c r="S379" s="1" t="s">
        <v>5</v>
      </c>
      <c r="T379" s="1" t="s">
        <v>5</v>
      </c>
      <c r="U379" s="1" t="s">
        <v>5</v>
      </c>
      <c r="V379" s="1" t="s">
        <v>5</v>
      </c>
      <c r="W379" s="1" t="s">
        <v>5</v>
      </c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3"/>
      <c r="AP379" s="1"/>
      <c r="AQ379" s="1"/>
      <c r="AR379" s="1"/>
      <c r="AS379" s="1"/>
      <c r="AT379" s="3">
        <f t="shared" si="80"/>
        <v>0</v>
      </c>
      <c r="AU379" s="3">
        <f t="shared" si="81"/>
        <v>1</v>
      </c>
      <c r="AV379" s="3">
        <f t="shared" si="82"/>
        <v>0</v>
      </c>
      <c r="AW379" s="3">
        <f t="shared" si="83"/>
        <v>0</v>
      </c>
      <c r="AX379" s="3">
        <f t="shared" si="84"/>
        <v>0</v>
      </c>
      <c r="AY379" s="3">
        <f t="shared" si="85"/>
        <v>7</v>
      </c>
      <c r="AZ379" s="3">
        <f t="shared" si="86"/>
        <v>0</v>
      </c>
      <c r="BA379" s="3">
        <f t="shared" si="87"/>
        <v>0</v>
      </c>
      <c r="BB379" s="3">
        <f t="shared" si="88"/>
        <v>0</v>
      </c>
      <c r="BC379" s="3">
        <f t="shared" si="89"/>
        <v>0</v>
      </c>
      <c r="BD379" s="3">
        <f t="shared" si="90"/>
        <v>0</v>
      </c>
      <c r="BE379" s="3">
        <f t="shared" si="91"/>
        <v>0</v>
      </c>
      <c r="BF379" s="3">
        <f t="shared" si="92"/>
        <v>0</v>
      </c>
      <c r="BG379" s="3">
        <f t="shared" si="93"/>
        <v>0</v>
      </c>
      <c r="BH379" s="3">
        <f t="shared" si="94"/>
        <v>0</v>
      </c>
      <c r="BI379" s="3">
        <f t="shared" si="95"/>
        <v>8</v>
      </c>
    </row>
    <row r="380" spans="1:61" x14ac:dyDescent="0.25">
      <c r="A380" s="29">
        <v>382</v>
      </c>
      <c r="B380" s="3" t="s">
        <v>1448</v>
      </c>
      <c r="C380" s="13" t="s">
        <v>1028</v>
      </c>
      <c r="D380" s="13" t="s">
        <v>1169</v>
      </c>
      <c r="E380" s="13" t="s">
        <v>769</v>
      </c>
      <c r="F380" s="18" t="s">
        <v>1535</v>
      </c>
      <c r="G380" s="18">
        <v>46027</v>
      </c>
      <c r="H380" s="18">
        <v>46203</v>
      </c>
      <c r="I380" s="13" t="s">
        <v>23</v>
      </c>
      <c r="J380" s="13" t="s">
        <v>24</v>
      </c>
      <c r="K380" s="13" t="s">
        <v>25</v>
      </c>
      <c r="L380" s="13" t="s">
        <v>292</v>
      </c>
      <c r="M380" s="13" t="s">
        <v>1621</v>
      </c>
      <c r="N380" s="3">
        <v>961348675</v>
      </c>
      <c r="O380" s="3" t="s">
        <v>28</v>
      </c>
      <c r="P380" s="1" t="s">
        <v>5</v>
      </c>
      <c r="Q380" s="1" t="s">
        <v>39</v>
      </c>
      <c r="R380" s="1" t="s">
        <v>39</v>
      </c>
      <c r="S380" s="1"/>
      <c r="T380" s="3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3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3">
        <f t="shared" si="80"/>
        <v>2</v>
      </c>
      <c r="AU380" s="3">
        <f t="shared" si="81"/>
        <v>0</v>
      </c>
      <c r="AV380" s="3">
        <f t="shared" si="82"/>
        <v>0</v>
      </c>
      <c r="AW380" s="3">
        <f t="shared" si="83"/>
        <v>0</v>
      </c>
      <c r="AX380" s="3">
        <f t="shared" si="84"/>
        <v>0</v>
      </c>
      <c r="AY380" s="3">
        <f t="shared" si="85"/>
        <v>1</v>
      </c>
      <c r="AZ380" s="3">
        <f t="shared" si="86"/>
        <v>0</v>
      </c>
      <c r="BA380" s="3">
        <f t="shared" si="87"/>
        <v>0</v>
      </c>
      <c r="BB380" s="3">
        <f t="shared" si="88"/>
        <v>0</v>
      </c>
      <c r="BC380" s="3">
        <f t="shared" si="89"/>
        <v>0</v>
      </c>
      <c r="BD380" s="3">
        <f t="shared" si="90"/>
        <v>0</v>
      </c>
      <c r="BE380" s="3">
        <f t="shared" si="91"/>
        <v>0</v>
      </c>
      <c r="BF380" s="3">
        <f t="shared" si="92"/>
        <v>0</v>
      </c>
      <c r="BG380" s="3">
        <f t="shared" si="93"/>
        <v>0</v>
      </c>
      <c r="BH380" s="3">
        <f t="shared" si="94"/>
        <v>0</v>
      </c>
      <c r="BI380" s="3">
        <f t="shared" si="95"/>
        <v>3</v>
      </c>
    </row>
    <row r="381" spans="1:61" x14ac:dyDescent="0.25">
      <c r="A381" s="29">
        <v>384</v>
      </c>
      <c r="B381" s="3" t="s">
        <v>1449</v>
      </c>
      <c r="C381" s="13" t="s">
        <v>71</v>
      </c>
      <c r="D381" s="13" t="s">
        <v>702</v>
      </c>
      <c r="E381" s="13" t="s">
        <v>1450</v>
      </c>
      <c r="F381" s="18" t="s">
        <v>163</v>
      </c>
      <c r="G381" s="18">
        <v>46027</v>
      </c>
      <c r="H381" s="18" t="s">
        <v>1672</v>
      </c>
      <c r="I381" s="13" t="s">
        <v>23</v>
      </c>
      <c r="J381" s="13" t="s">
        <v>24</v>
      </c>
      <c r="K381" s="13" t="s">
        <v>56</v>
      </c>
      <c r="L381" s="13" t="s">
        <v>216</v>
      </c>
      <c r="M381" s="13" t="s">
        <v>1621</v>
      </c>
      <c r="N381" s="3">
        <v>989202960</v>
      </c>
      <c r="O381" s="3" t="s">
        <v>28</v>
      </c>
      <c r="P381" s="3" t="s">
        <v>39</v>
      </c>
      <c r="Q381" s="3" t="s">
        <v>5</v>
      </c>
      <c r="R381" s="3" t="s">
        <v>5</v>
      </c>
      <c r="S381" s="3" t="s">
        <v>5</v>
      </c>
      <c r="T381" s="3" t="s">
        <v>5</v>
      </c>
      <c r="U381" s="3" t="s">
        <v>5</v>
      </c>
      <c r="V381" s="3" t="s">
        <v>5</v>
      </c>
      <c r="W381" s="3" t="s">
        <v>5</v>
      </c>
      <c r="X381" s="1"/>
      <c r="Y381" s="1"/>
      <c r="Z381" s="1"/>
      <c r="AA381" s="1"/>
      <c r="AB381" s="3"/>
      <c r="AC381" s="3"/>
      <c r="AD381" s="3"/>
      <c r="AE381" s="3"/>
      <c r="AF381" s="3"/>
      <c r="AG381" s="3"/>
      <c r="AH381" s="1"/>
      <c r="AI381" s="1"/>
      <c r="AJ381" s="1"/>
      <c r="AK381" s="1"/>
      <c r="AL381" s="1"/>
      <c r="AM381" s="1"/>
      <c r="AN381" s="1"/>
      <c r="AO381" s="1"/>
      <c r="AP381" s="3"/>
      <c r="AQ381" s="3"/>
      <c r="AR381" s="3"/>
      <c r="AS381" s="1"/>
      <c r="AT381" s="3">
        <f t="shared" si="80"/>
        <v>1</v>
      </c>
      <c r="AU381" s="3">
        <f t="shared" si="81"/>
        <v>0</v>
      </c>
      <c r="AV381" s="3">
        <f t="shared" si="82"/>
        <v>0</v>
      </c>
      <c r="AW381" s="3">
        <f t="shared" si="83"/>
        <v>0</v>
      </c>
      <c r="AX381" s="3">
        <f t="shared" si="84"/>
        <v>0</v>
      </c>
      <c r="AY381" s="3">
        <f t="shared" si="85"/>
        <v>7</v>
      </c>
      <c r="AZ381" s="3">
        <f t="shared" si="86"/>
        <v>0</v>
      </c>
      <c r="BA381" s="3">
        <f t="shared" si="87"/>
        <v>0</v>
      </c>
      <c r="BB381" s="3">
        <f t="shared" si="88"/>
        <v>0</v>
      </c>
      <c r="BC381" s="3">
        <f t="shared" si="89"/>
        <v>0</v>
      </c>
      <c r="BD381" s="3">
        <f t="shared" si="90"/>
        <v>0</v>
      </c>
      <c r="BE381" s="3">
        <f t="shared" si="91"/>
        <v>0</v>
      </c>
      <c r="BF381" s="3">
        <f t="shared" si="92"/>
        <v>0</v>
      </c>
      <c r="BG381" s="3">
        <f t="shared" si="93"/>
        <v>0</v>
      </c>
      <c r="BH381" s="3">
        <f t="shared" si="94"/>
        <v>0</v>
      </c>
      <c r="BI381" s="3">
        <f t="shared" si="95"/>
        <v>8</v>
      </c>
    </row>
    <row r="382" spans="1:61" x14ac:dyDescent="0.25">
      <c r="A382" s="29">
        <v>387</v>
      </c>
      <c r="B382" s="3" t="s">
        <v>1462</v>
      </c>
      <c r="C382" s="13" t="s">
        <v>593</v>
      </c>
      <c r="D382" s="13" t="s">
        <v>89</v>
      </c>
      <c r="E382" s="13" t="s">
        <v>433</v>
      </c>
      <c r="F382" s="18" t="s">
        <v>1465</v>
      </c>
      <c r="G382" s="18">
        <v>46035</v>
      </c>
      <c r="H382" s="18" t="s">
        <v>1672</v>
      </c>
      <c r="I382" s="13" t="s">
        <v>23</v>
      </c>
      <c r="J382" s="13" t="s">
        <v>24</v>
      </c>
      <c r="K382" s="13" t="s">
        <v>43</v>
      </c>
      <c r="L382" s="13" t="s">
        <v>216</v>
      </c>
      <c r="M382" s="13" t="s">
        <v>1621</v>
      </c>
      <c r="N382" s="3">
        <v>956781179</v>
      </c>
      <c r="O382" s="3" t="s">
        <v>28</v>
      </c>
      <c r="P382" s="1" t="s">
        <v>29</v>
      </c>
      <c r="Q382" s="1" t="s">
        <v>5</v>
      </c>
      <c r="R382" s="1" t="s">
        <v>5</v>
      </c>
      <c r="S382" s="1" t="s">
        <v>5</v>
      </c>
      <c r="T382" s="1" t="s">
        <v>5</v>
      </c>
      <c r="U382" s="1" t="s">
        <v>5</v>
      </c>
      <c r="V382" s="1" t="s">
        <v>5</v>
      </c>
      <c r="W382" s="1" t="s">
        <v>5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3"/>
      <c r="AP382" s="3"/>
      <c r="AQ382" s="3"/>
      <c r="AR382" s="3"/>
      <c r="AS382" s="3"/>
      <c r="AT382" s="3">
        <f t="shared" si="80"/>
        <v>0</v>
      </c>
      <c r="AU382" s="3">
        <f t="shared" si="81"/>
        <v>1</v>
      </c>
      <c r="AV382" s="3">
        <f t="shared" si="82"/>
        <v>0</v>
      </c>
      <c r="AW382" s="3">
        <f t="shared" si="83"/>
        <v>0</v>
      </c>
      <c r="AX382" s="3">
        <f t="shared" si="84"/>
        <v>0</v>
      </c>
      <c r="AY382" s="3">
        <f t="shared" si="85"/>
        <v>7</v>
      </c>
      <c r="AZ382" s="3">
        <f t="shared" si="86"/>
        <v>0</v>
      </c>
      <c r="BA382" s="3">
        <f t="shared" si="87"/>
        <v>0</v>
      </c>
      <c r="BB382" s="3">
        <f t="shared" si="88"/>
        <v>0</v>
      </c>
      <c r="BC382" s="3">
        <f t="shared" si="89"/>
        <v>0</v>
      </c>
      <c r="BD382" s="3">
        <f t="shared" si="90"/>
        <v>0</v>
      </c>
      <c r="BE382" s="3">
        <f t="shared" si="91"/>
        <v>0</v>
      </c>
      <c r="BF382" s="3">
        <f t="shared" si="92"/>
        <v>0</v>
      </c>
      <c r="BG382" s="3">
        <f t="shared" si="93"/>
        <v>0</v>
      </c>
      <c r="BH382" s="3">
        <f t="shared" si="94"/>
        <v>0</v>
      </c>
      <c r="BI382" s="3">
        <f t="shared" si="95"/>
        <v>8</v>
      </c>
    </row>
    <row r="383" spans="1:61" x14ac:dyDescent="0.25">
      <c r="A383" s="29">
        <v>385</v>
      </c>
      <c r="B383" s="3" t="s">
        <v>1461</v>
      </c>
      <c r="C383" s="13" t="s">
        <v>1463</v>
      </c>
      <c r="D383" s="13" t="s">
        <v>1219</v>
      </c>
      <c r="E383" s="13" t="s">
        <v>1464</v>
      </c>
      <c r="F383" s="18" t="s">
        <v>1522</v>
      </c>
      <c r="G383" s="18">
        <v>46035</v>
      </c>
      <c r="H383" s="18">
        <v>46203</v>
      </c>
      <c r="I383" s="13" t="s">
        <v>23</v>
      </c>
      <c r="J383" s="13" t="s">
        <v>24</v>
      </c>
      <c r="K383" s="13" t="s">
        <v>25</v>
      </c>
      <c r="L383" s="13" t="s">
        <v>292</v>
      </c>
      <c r="M383" s="13" t="s">
        <v>1621</v>
      </c>
      <c r="N383" s="3">
        <v>942263446</v>
      </c>
      <c r="O383" s="3" t="s">
        <v>28</v>
      </c>
      <c r="P383" s="1" t="s">
        <v>5</v>
      </c>
      <c r="Q383" s="1" t="s">
        <v>39</v>
      </c>
      <c r="R383" s="1" t="s">
        <v>39</v>
      </c>
      <c r="S383" s="1"/>
      <c r="T383" s="3"/>
      <c r="U383" s="3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3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3">
        <f t="shared" si="80"/>
        <v>2</v>
      </c>
      <c r="AU383" s="3">
        <f t="shared" si="81"/>
        <v>0</v>
      </c>
      <c r="AV383" s="3">
        <f t="shared" si="82"/>
        <v>0</v>
      </c>
      <c r="AW383" s="3">
        <f t="shared" si="83"/>
        <v>0</v>
      </c>
      <c r="AX383" s="3">
        <f t="shared" si="84"/>
        <v>0</v>
      </c>
      <c r="AY383" s="3">
        <f t="shared" si="85"/>
        <v>1</v>
      </c>
      <c r="AZ383" s="3">
        <f t="shared" si="86"/>
        <v>0</v>
      </c>
      <c r="BA383" s="3">
        <f t="shared" si="87"/>
        <v>0</v>
      </c>
      <c r="BB383" s="3">
        <f t="shared" si="88"/>
        <v>0</v>
      </c>
      <c r="BC383" s="3">
        <f t="shared" si="89"/>
        <v>0</v>
      </c>
      <c r="BD383" s="3">
        <f t="shared" si="90"/>
        <v>0</v>
      </c>
      <c r="BE383" s="3">
        <f t="shared" si="91"/>
        <v>0</v>
      </c>
      <c r="BF383" s="3">
        <f t="shared" si="92"/>
        <v>0</v>
      </c>
      <c r="BG383" s="3">
        <f t="shared" si="93"/>
        <v>0</v>
      </c>
      <c r="BH383" s="3">
        <f t="shared" si="94"/>
        <v>0</v>
      </c>
      <c r="BI383" s="3">
        <f t="shared" si="95"/>
        <v>3</v>
      </c>
    </row>
    <row r="384" spans="1:61" x14ac:dyDescent="0.25">
      <c r="A384" s="29">
        <v>388</v>
      </c>
      <c r="B384" s="3" t="s">
        <v>1492</v>
      </c>
      <c r="C384" s="13" t="s">
        <v>1493</v>
      </c>
      <c r="D384" s="13" t="s">
        <v>507</v>
      </c>
      <c r="E384" s="13" t="s">
        <v>1494</v>
      </c>
      <c r="F384" s="22" t="s">
        <v>1536</v>
      </c>
      <c r="G384" s="25">
        <v>46041</v>
      </c>
      <c r="H384" s="25">
        <v>46142</v>
      </c>
      <c r="I384" s="22" t="s">
        <v>23</v>
      </c>
      <c r="J384" s="22" t="s">
        <v>24</v>
      </c>
      <c r="K384" s="13" t="s">
        <v>84</v>
      </c>
      <c r="L384" s="13" t="s">
        <v>220</v>
      </c>
      <c r="M384" s="13" t="s">
        <v>1621</v>
      </c>
      <c r="N384" s="3" t="s">
        <v>1684</v>
      </c>
      <c r="O384" s="3" t="s">
        <v>84</v>
      </c>
      <c r="P384" s="1" t="s">
        <v>39</v>
      </c>
      <c r="Q384" s="1" t="s">
        <v>510</v>
      </c>
      <c r="R384" s="1" t="s">
        <v>5</v>
      </c>
      <c r="S384" s="1" t="s">
        <v>5</v>
      </c>
      <c r="T384" s="1" t="s">
        <v>5</v>
      </c>
      <c r="U384" s="3"/>
      <c r="V384" s="1"/>
      <c r="W384" s="1"/>
      <c r="X384" s="1"/>
      <c r="Y384" s="1"/>
      <c r="Z384" s="1"/>
      <c r="AA384" s="1"/>
      <c r="AB384" s="3"/>
      <c r="AC384" s="1"/>
      <c r="AD384" s="1"/>
      <c r="AE384" s="3"/>
      <c r="AF384" s="3"/>
      <c r="AG384" s="3"/>
      <c r="AH384" s="1"/>
      <c r="AI384" s="3"/>
      <c r="AJ384" s="1"/>
      <c r="AK384" s="1"/>
      <c r="AL384" s="3"/>
      <c r="AM384" s="3"/>
      <c r="AN384" s="3"/>
      <c r="AO384" s="3"/>
      <c r="AP384" s="3"/>
      <c r="AQ384" s="1"/>
      <c r="AR384" s="1"/>
      <c r="AS384" s="3"/>
      <c r="AT384" s="3">
        <f t="shared" si="80"/>
        <v>1</v>
      </c>
      <c r="AU384" s="3">
        <f t="shared" si="81"/>
        <v>0</v>
      </c>
      <c r="AV384" s="3">
        <f t="shared" si="82"/>
        <v>0</v>
      </c>
      <c r="AW384" s="3">
        <f t="shared" si="83"/>
        <v>1</v>
      </c>
      <c r="AX384" s="3">
        <f t="shared" si="84"/>
        <v>0</v>
      </c>
      <c r="AY384" s="3">
        <f t="shared" si="85"/>
        <v>3</v>
      </c>
      <c r="AZ384" s="3">
        <f t="shared" si="86"/>
        <v>0</v>
      </c>
      <c r="BA384" s="3">
        <f t="shared" si="87"/>
        <v>0</v>
      </c>
      <c r="BB384" s="3">
        <f t="shared" si="88"/>
        <v>0</v>
      </c>
      <c r="BC384" s="3">
        <f t="shared" si="89"/>
        <v>0</v>
      </c>
      <c r="BD384" s="3">
        <f t="shared" si="90"/>
        <v>0</v>
      </c>
      <c r="BE384" s="3">
        <f t="shared" si="91"/>
        <v>0</v>
      </c>
      <c r="BF384" s="3">
        <f t="shared" si="92"/>
        <v>0</v>
      </c>
      <c r="BG384" s="3">
        <f t="shared" si="93"/>
        <v>0</v>
      </c>
      <c r="BH384" s="3">
        <f t="shared" si="94"/>
        <v>0</v>
      </c>
      <c r="BI384" s="3">
        <f t="shared" si="95"/>
        <v>5</v>
      </c>
    </row>
    <row r="385" spans="1:126" x14ac:dyDescent="0.25">
      <c r="A385" s="29">
        <v>390</v>
      </c>
      <c r="B385" s="3" t="s">
        <v>1468</v>
      </c>
      <c r="C385" s="13" t="s">
        <v>1473</v>
      </c>
      <c r="D385" s="13" t="s">
        <v>780</v>
      </c>
      <c r="E385" s="13" t="s">
        <v>1474</v>
      </c>
      <c r="F385" s="18" t="s">
        <v>1527</v>
      </c>
      <c r="G385" s="18">
        <v>46042</v>
      </c>
      <c r="H385" s="18">
        <v>46142</v>
      </c>
      <c r="I385" s="13" t="s">
        <v>23</v>
      </c>
      <c r="J385" s="13" t="s">
        <v>24</v>
      </c>
      <c r="K385" s="13" t="s">
        <v>36</v>
      </c>
      <c r="L385" s="13" t="s">
        <v>292</v>
      </c>
      <c r="M385" s="13" t="s">
        <v>1621</v>
      </c>
      <c r="N385" s="3">
        <v>990333869</v>
      </c>
      <c r="O385" s="3" t="s">
        <v>28</v>
      </c>
      <c r="P385" s="1" t="s">
        <v>5</v>
      </c>
      <c r="Q385" s="1" t="s">
        <v>29</v>
      </c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3">
        <f t="shared" si="80"/>
        <v>0</v>
      </c>
      <c r="AU385" s="3">
        <f t="shared" si="81"/>
        <v>1</v>
      </c>
      <c r="AV385" s="3">
        <f t="shared" si="82"/>
        <v>0</v>
      </c>
      <c r="AW385" s="3">
        <f t="shared" si="83"/>
        <v>0</v>
      </c>
      <c r="AX385" s="3">
        <f t="shared" si="84"/>
        <v>0</v>
      </c>
      <c r="AY385" s="3">
        <f t="shared" si="85"/>
        <v>1</v>
      </c>
      <c r="AZ385" s="3">
        <f t="shared" si="86"/>
        <v>0</v>
      </c>
      <c r="BA385" s="3">
        <f t="shared" si="87"/>
        <v>0</v>
      </c>
      <c r="BB385" s="3">
        <f t="shared" si="88"/>
        <v>0</v>
      </c>
      <c r="BC385" s="3">
        <f t="shared" si="89"/>
        <v>0</v>
      </c>
      <c r="BD385" s="3">
        <f t="shared" si="90"/>
        <v>0</v>
      </c>
      <c r="BE385" s="3">
        <f t="shared" si="91"/>
        <v>0</v>
      </c>
      <c r="BF385" s="3">
        <f t="shared" si="92"/>
        <v>0</v>
      </c>
      <c r="BG385" s="3">
        <f t="shared" si="93"/>
        <v>0</v>
      </c>
      <c r="BH385" s="3">
        <f t="shared" si="94"/>
        <v>0</v>
      </c>
      <c r="BI385" s="3">
        <f t="shared" si="95"/>
        <v>2</v>
      </c>
    </row>
    <row r="386" spans="1:126" x14ac:dyDescent="0.25">
      <c r="A386" s="29">
        <v>389</v>
      </c>
      <c r="B386" s="3" t="s">
        <v>1466</v>
      </c>
      <c r="C386" s="13" t="s">
        <v>850</v>
      </c>
      <c r="D386" s="13" t="s">
        <v>135</v>
      </c>
      <c r="E386" s="13" t="s">
        <v>1470</v>
      </c>
      <c r="F386" s="22" t="s">
        <v>1539</v>
      </c>
      <c r="G386" s="25">
        <v>46042</v>
      </c>
      <c r="H386" s="25">
        <v>46142</v>
      </c>
      <c r="I386" s="22" t="s">
        <v>23</v>
      </c>
      <c r="J386" s="22" t="s">
        <v>24</v>
      </c>
      <c r="K386" s="13" t="s">
        <v>84</v>
      </c>
      <c r="L386" s="13" t="s">
        <v>85</v>
      </c>
      <c r="M386" s="13" t="s">
        <v>1621</v>
      </c>
      <c r="N386" s="3">
        <v>942516514</v>
      </c>
      <c r="O386" s="3" t="s">
        <v>84</v>
      </c>
      <c r="P386" s="1" t="s">
        <v>39</v>
      </c>
      <c r="Q386" s="1" t="s">
        <v>39</v>
      </c>
      <c r="R386" s="1" t="s">
        <v>5</v>
      </c>
      <c r="S386" s="1" t="s">
        <v>5</v>
      </c>
      <c r="T386" s="1" t="s">
        <v>5</v>
      </c>
      <c r="U386" s="3"/>
      <c r="V386" s="1"/>
      <c r="W386" s="1"/>
      <c r="X386" s="1"/>
      <c r="Y386" s="1"/>
      <c r="Z386" s="1"/>
      <c r="AA386" s="1"/>
      <c r="AB386" s="3"/>
      <c r="AC386" s="1"/>
      <c r="AD386" s="1"/>
      <c r="AE386" s="3"/>
      <c r="AF386" s="3"/>
      <c r="AG386" s="3"/>
      <c r="AH386" s="1"/>
      <c r="AI386" s="3"/>
      <c r="AJ386" s="1"/>
      <c r="AK386" s="1"/>
      <c r="AL386" s="3"/>
      <c r="AM386" s="3"/>
      <c r="AN386" s="3"/>
      <c r="AO386" s="3"/>
      <c r="AP386" s="3"/>
      <c r="AQ386" s="1"/>
      <c r="AR386" s="1"/>
      <c r="AS386" s="3"/>
      <c r="AT386" s="3">
        <f t="shared" si="80"/>
        <v>2</v>
      </c>
      <c r="AU386" s="3">
        <f t="shared" si="81"/>
        <v>0</v>
      </c>
      <c r="AV386" s="3">
        <f t="shared" si="82"/>
        <v>0</v>
      </c>
      <c r="AW386" s="3">
        <f t="shared" si="83"/>
        <v>0</v>
      </c>
      <c r="AX386" s="3">
        <f t="shared" si="84"/>
        <v>0</v>
      </c>
      <c r="AY386" s="3">
        <f t="shared" si="85"/>
        <v>3</v>
      </c>
      <c r="AZ386" s="3">
        <f t="shared" si="86"/>
        <v>0</v>
      </c>
      <c r="BA386" s="3">
        <f t="shared" si="87"/>
        <v>0</v>
      </c>
      <c r="BB386" s="3">
        <f t="shared" si="88"/>
        <v>0</v>
      </c>
      <c r="BC386" s="3">
        <f t="shared" si="89"/>
        <v>0</v>
      </c>
      <c r="BD386" s="3">
        <f t="shared" si="90"/>
        <v>0</v>
      </c>
      <c r="BE386" s="3">
        <f t="shared" si="91"/>
        <v>0</v>
      </c>
      <c r="BF386" s="3">
        <f t="shared" si="92"/>
        <v>0</v>
      </c>
      <c r="BG386" s="3">
        <f t="shared" si="93"/>
        <v>0</v>
      </c>
      <c r="BH386" s="3">
        <f t="shared" si="94"/>
        <v>0</v>
      </c>
      <c r="BI386" s="3">
        <f t="shared" si="95"/>
        <v>5</v>
      </c>
    </row>
    <row r="387" spans="1:126" x14ac:dyDescent="0.25">
      <c r="A387" s="29">
        <v>391</v>
      </c>
      <c r="B387" s="3" t="s">
        <v>1467</v>
      </c>
      <c r="C387" s="13" t="s">
        <v>1471</v>
      </c>
      <c r="D387" s="13" t="s">
        <v>1472</v>
      </c>
      <c r="E387" s="13" t="s">
        <v>1586</v>
      </c>
      <c r="F387" s="18" t="s">
        <v>1477</v>
      </c>
      <c r="G387" s="18">
        <v>46042</v>
      </c>
      <c r="H387" s="18">
        <v>46142</v>
      </c>
      <c r="I387" s="13" t="s">
        <v>23</v>
      </c>
      <c r="J387" s="13" t="s">
        <v>24</v>
      </c>
      <c r="K387" s="13" t="s">
        <v>56</v>
      </c>
      <c r="L387" s="13" t="s">
        <v>216</v>
      </c>
      <c r="M387" s="13" t="s">
        <v>1621</v>
      </c>
      <c r="N387" s="3">
        <v>981925389</v>
      </c>
      <c r="O387" s="3" t="s">
        <v>28</v>
      </c>
      <c r="P387" s="1" t="s">
        <v>39</v>
      </c>
      <c r="Q387" s="1" t="s">
        <v>5</v>
      </c>
      <c r="R387" s="1" t="s">
        <v>5</v>
      </c>
      <c r="S387" s="1" t="s">
        <v>5</v>
      </c>
      <c r="T387" s="1" t="s">
        <v>5</v>
      </c>
      <c r="U387" s="1" t="s">
        <v>5</v>
      </c>
      <c r="V387" s="1" t="s">
        <v>5</v>
      </c>
      <c r="W387" s="1" t="s">
        <v>5</v>
      </c>
      <c r="X387" s="1"/>
      <c r="Y387" s="1"/>
      <c r="Z387" s="1"/>
      <c r="AA387" s="1"/>
      <c r="AB387" s="1"/>
      <c r="AC387" s="1"/>
      <c r="AD387" s="1"/>
      <c r="AE387" s="1"/>
      <c r="AF387" s="1"/>
      <c r="AG387" s="3"/>
      <c r="AH387" s="1"/>
      <c r="AI387" s="1"/>
      <c r="AJ387" s="1"/>
      <c r="AK387" s="1"/>
      <c r="AL387" s="1"/>
      <c r="AM387" s="1"/>
      <c r="AN387" s="1"/>
      <c r="AO387" s="1"/>
      <c r="AP387" s="1"/>
      <c r="AQ387" s="3"/>
      <c r="AR387" s="1"/>
      <c r="AS387" s="1"/>
      <c r="AT387" s="3">
        <f t="shared" si="80"/>
        <v>1</v>
      </c>
      <c r="AU387" s="3">
        <f t="shared" si="81"/>
        <v>0</v>
      </c>
      <c r="AV387" s="3">
        <f t="shared" si="82"/>
        <v>0</v>
      </c>
      <c r="AW387" s="3">
        <f t="shared" si="83"/>
        <v>0</v>
      </c>
      <c r="AX387" s="3">
        <f t="shared" si="84"/>
        <v>0</v>
      </c>
      <c r="AY387" s="3">
        <f t="shared" si="85"/>
        <v>7</v>
      </c>
      <c r="AZ387" s="3">
        <f t="shared" si="86"/>
        <v>0</v>
      </c>
      <c r="BA387" s="3">
        <f t="shared" si="87"/>
        <v>0</v>
      </c>
      <c r="BB387" s="3">
        <f t="shared" si="88"/>
        <v>0</v>
      </c>
      <c r="BC387" s="3">
        <f t="shared" si="89"/>
        <v>0</v>
      </c>
      <c r="BD387" s="3">
        <f t="shared" si="90"/>
        <v>0</v>
      </c>
      <c r="BE387" s="3">
        <f t="shared" si="91"/>
        <v>0</v>
      </c>
      <c r="BF387" s="3">
        <f t="shared" si="92"/>
        <v>0</v>
      </c>
      <c r="BG387" s="3">
        <f t="shared" si="93"/>
        <v>0</v>
      </c>
      <c r="BH387" s="3">
        <f t="shared" si="94"/>
        <v>0</v>
      </c>
      <c r="BI387" s="3">
        <f t="shared" si="95"/>
        <v>8</v>
      </c>
    </row>
    <row r="388" spans="1:126" x14ac:dyDescent="0.25">
      <c r="A388" s="29">
        <v>393</v>
      </c>
      <c r="B388" s="3" t="s">
        <v>1469</v>
      </c>
      <c r="C388" s="13" t="s">
        <v>1475</v>
      </c>
      <c r="D388" s="13" t="s">
        <v>167</v>
      </c>
      <c r="E388" s="13" t="s">
        <v>1476</v>
      </c>
      <c r="F388" s="18" t="s">
        <v>34</v>
      </c>
      <c r="G388" s="18">
        <v>46042</v>
      </c>
      <c r="H388" s="18">
        <v>46142</v>
      </c>
      <c r="I388" s="13" t="s">
        <v>23</v>
      </c>
      <c r="J388" s="13" t="s">
        <v>24</v>
      </c>
      <c r="K388" s="13" t="s">
        <v>56</v>
      </c>
      <c r="L388" s="13" t="s">
        <v>216</v>
      </c>
      <c r="M388" s="13" t="s">
        <v>1621</v>
      </c>
      <c r="N388" s="3">
        <v>932465370</v>
      </c>
      <c r="O388" s="3" t="s">
        <v>28</v>
      </c>
      <c r="P388" s="3" t="s">
        <v>39</v>
      </c>
      <c r="Q388" s="3" t="s">
        <v>5</v>
      </c>
      <c r="R388" s="3" t="s">
        <v>5</v>
      </c>
      <c r="S388" s="3" t="s">
        <v>5</v>
      </c>
      <c r="T388" s="3" t="s">
        <v>5</v>
      </c>
      <c r="U388" s="3" t="s">
        <v>5</v>
      </c>
      <c r="V388" s="3" t="s">
        <v>5</v>
      </c>
      <c r="W388" s="3" t="s">
        <v>5</v>
      </c>
      <c r="X388" s="1"/>
      <c r="Y388" s="1"/>
      <c r="Z388" s="1"/>
      <c r="AA388" s="3"/>
      <c r="AB388" s="3"/>
      <c r="AC388" s="3"/>
      <c r="AD388" s="3"/>
      <c r="AE388" s="3"/>
      <c r="AF388" s="3"/>
      <c r="AG388" s="3"/>
      <c r="AH388" s="1"/>
      <c r="AI388" s="1"/>
      <c r="AJ388" s="1"/>
      <c r="AK388" s="1"/>
      <c r="AL388" s="1"/>
      <c r="AM388" s="1"/>
      <c r="AN388" s="1"/>
      <c r="AO388" s="1"/>
      <c r="AP388" s="3"/>
      <c r="AQ388" s="3"/>
      <c r="AR388" s="3"/>
      <c r="AS388" s="1"/>
      <c r="AT388" s="3">
        <f t="shared" si="80"/>
        <v>1</v>
      </c>
      <c r="AU388" s="3">
        <f t="shared" si="81"/>
        <v>0</v>
      </c>
      <c r="AV388" s="3">
        <f t="shared" si="82"/>
        <v>0</v>
      </c>
      <c r="AW388" s="3">
        <f t="shared" si="83"/>
        <v>0</v>
      </c>
      <c r="AX388" s="3">
        <f t="shared" si="84"/>
        <v>0</v>
      </c>
      <c r="AY388" s="3">
        <f t="shared" si="85"/>
        <v>7</v>
      </c>
      <c r="AZ388" s="3">
        <f t="shared" si="86"/>
        <v>0</v>
      </c>
      <c r="BA388" s="3">
        <f t="shared" si="87"/>
        <v>0</v>
      </c>
      <c r="BB388" s="3">
        <f t="shared" si="88"/>
        <v>0</v>
      </c>
      <c r="BC388" s="3">
        <f t="shared" si="89"/>
        <v>0</v>
      </c>
      <c r="BD388" s="3">
        <f t="shared" si="90"/>
        <v>0</v>
      </c>
      <c r="BE388" s="3">
        <f t="shared" si="91"/>
        <v>0</v>
      </c>
      <c r="BF388" s="3">
        <f t="shared" si="92"/>
        <v>0</v>
      </c>
      <c r="BG388" s="3">
        <f t="shared" si="93"/>
        <v>0</v>
      </c>
      <c r="BH388" s="3">
        <f t="shared" si="94"/>
        <v>0</v>
      </c>
      <c r="BI388" s="3">
        <f t="shared" si="95"/>
        <v>8</v>
      </c>
    </row>
    <row r="389" spans="1:126" x14ac:dyDescent="0.25">
      <c r="A389" s="29">
        <v>394</v>
      </c>
      <c r="B389" s="3" t="s">
        <v>1481</v>
      </c>
      <c r="C389" s="13" t="s">
        <v>1485</v>
      </c>
      <c r="D389" s="13" t="s">
        <v>147</v>
      </c>
      <c r="E389" s="13" t="s">
        <v>1489</v>
      </c>
      <c r="F389" s="18" t="s">
        <v>138</v>
      </c>
      <c r="G389" s="18">
        <v>46045</v>
      </c>
      <c r="H389" s="18">
        <v>46142</v>
      </c>
      <c r="I389" s="13" t="s">
        <v>23</v>
      </c>
      <c r="J389" s="13" t="s">
        <v>24</v>
      </c>
      <c r="K389" s="13" t="s">
        <v>36</v>
      </c>
      <c r="L389" s="13" t="s">
        <v>292</v>
      </c>
      <c r="M389" s="13" t="s">
        <v>1621</v>
      </c>
      <c r="N389" s="3">
        <v>979388401</v>
      </c>
      <c r="O389" s="3" t="s">
        <v>28</v>
      </c>
      <c r="P389" s="1" t="s">
        <v>5</v>
      </c>
      <c r="Q389" s="1" t="s">
        <v>29</v>
      </c>
      <c r="R389" s="1"/>
      <c r="S389" s="1"/>
      <c r="T389" s="3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3">
        <f t="shared" si="80"/>
        <v>0</v>
      </c>
      <c r="AU389" s="3">
        <f t="shared" si="81"/>
        <v>1</v>
      </c>
      <c r="AV389" s="3">
        <f t="shared" si="82"/>
        <v>0</v>
      </c>
      <c r="AW389" s="3">
        <f t="shared" si="83"/>
        <v>0</v>
      </c>
      <c r="AX389" s="3">
        <f t="shared" si="84"/>
        <v>0</v>
      </c>
      <c r="AY389" s="3">
        <f t="shared" si="85"/>
        <v>1</v>
      </c>
      <c r="AZ389" s="3">
        <f t="shared" si="86"/>
        <v>0</v>
      </c>
      <c r="BA389" s="3">
        <f t="shared" si="87"/>
        <v>0</v>
      </c>
      <c r="BB389" s="3">
        <f t="shared" si="88"/>
        <v>0</v>
      </c>
      <c r="BC389" s="3">
        <f t="shared" si="89"/>
        <v>0</v>
      </c>
      <c r="BD389" s="3">
        <f t="shared" si="90"/>
        <v>0</v>
      </c>
      <c r="BE389" s="3">
        <f t="shared" si="91"/>
        <v>0</v>
      </c>
      <c r="BF389" s="3">
        <f t="shared" si="92"/>
        <v>0</v>
      </c>
      <c r="BG389" s="3">
        <f t="shared" si="93"/>
        <v>0</v>
      </c>
      <c r="BH389" s="3">
        <f t="shared" si="94"/>
        <v>0</v>
      </c>
      <c r="BI389" s="3">
        <f t="shared" si="95"/>
        <v>2</v>
      </c>
    </row>
    <row r="390" spans="1:126" x14ac:dyDescent="0.25">
      <c r="A390" s="29">
        <v>396</v>
      </c>
      <c r="B390" s="3" t="s">
        <v>1478</v>
      </c>
      <c r="C390" s="13" t="s">
        <v>213</v>
      </c>
      <c r="D390" s="13" t="s">
        <v>1414</v>
      </c>
      <c r="E390" s="13" t="s">
        <v>1486</v>
      </c>
      <c r="F390" s="18" t="s">
        <v>73</v>
      </c>
      <c r="G390" s="18">
        <v>46045</v>
      </c>
      <c r="H390" s="18">
        <v>46142</v>
      </c>
      <c r="I390" s="13" t="s">
        <v>23</v>
      </c>
      <c r="J390" s="13" t="s">
        <v>24</v>
      </c>
      <c r="K390" s="13" t="s">
        <v>56</v>
      </c>
      <c r="L390" s="13" t="s">
        <v>216</v>
      </c>
      <c r="M390" s="13" t="s">
        <v>1621</v>
      </c>
      <c r="N390" s="3">
        <v>978350109</v>
      </c>
      <c r="O390" s="3" t="s">
        <v>28</v>
      </c>
      <c r="P390" s="1" t="s">
        <v>39</v>
      </c>
      <c r="Q390" s="1" t="s">
        <v>5</v>
      </c>
      <c r="R390" s="1" t="s">
        <v>5</v>
      </c>
      <c r="S390" s="1" t="s">
        <v>5</v>
      </c>
      <c r="T390" s="1" t="s">
        <v>5</v>
      </c>
      <c r="U390" s="1" t="s">
        <v>5</v>
      </c>
      <c r="V390" s="1" t="s">
        <v>5</v>
      </c>
      <c r="W390" s="1" t="s">
        <v>5</v>
      </c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3">
        <f t="shared" si="80"/>
        <v>1</v>
      </c>
      <c r="AU390" s="3">
        <f t="shared" si="81"/>
        <v>0</v>
      </c>
      <c r="AV390" s="3">
        <f t="shared" si="82"/>
        <v>0</v>
      </c>
      <c r="AW390" s="3">
        <f t="shared" si="83"/>
        <v>0</v>
      </c>
      <c r="AX390" s="3">
        <f t="shared" si="84"/>
        <v>0</v>
      </c>
      <c r="AY390" s="3">
        <f t="shared" si="85"/>
        <v>7</v>
      </c>
      <c r="AZ390" s="3">
        <f t="shared" si="86"/>
        <v>0</v>
      </c>
      <c r="BA390" s="3">
        <f t="shared" si="87"/>
        <v>0</v>
      </c>
      <c r="BB390" s="3">
        <f t="shared" si="88"/>
        <v>0</v>
      </c>
      <c r="BC390" s="3">
        <f t="shared" si="89"/>
        <v>0</v>
      </c>
      <c r="BD390" s="3">
        <f t="shared" si="90"/>
        <v>0</v>
      </c>
      <c r="BE390" s="3">
        <f t="shared" si="91"/>
        <v>0</v>
      </c>
      <c r="BF390" s="3">
        <f t="shared" si="92"/>
        <v>0</v>
      </c>
      <c r="BG390" s="3">
        <f t="shared" si="93"/>
        <v>0</v>
      </c>
      <c r="BH390" s="3">
        <f t="shared" si="94"/>
        <v>0</v>
      </c>
      <c r="BI390" s="3">
        <f t="shared" si="95"/>
        <v>8</v>
      </c>
    </row>
    <row r="391" spans="1:126" x14ac:dyDescent="0.25">
      <c r="A391" s="29">
        <v>397</v>
      </c>
      <c r="B391" s="3" t="s">
        <v>1480</v>
      </c>
      <c r="C391" s="13" t="s">
        <v>1484</v>
      </c>
      <c r="D391" s="13" t="s">
        <v>1491</v>
      </c>
      <c r="E391" s="13" t="s">
        <v>1488</v>
      </c>
      <c r="F391" s="18" t="s">
        <v>1529</v>
      </c>
      <c r="G391" s="18">
        <v>46045</v>
      </c>
      <c r="H391" s="18">
        <v>46142</v>
      </c>
      <c r="I391" s="13" t="s">
        <v>23</v>
      </c>
      <c r="J391" s="13" t="s">
        <v>24</v>
      </c>
      <c r="K391" s="13" t="s">
        <v>56</v>
      </c>
      <c r="L391" s="13" t="s">
        <v>216</v>
      </c>
      <c r="M391" s="13" t="s">
        <v>1621</v>
      </c>
      <c r="N391" s="3">
        <v>995516105</v>
      </c>
      <c r="O391" s="3" t="s">
        <v>28</v>
      </c>
      <c r="P391" s="1" t="s">
        <v>39</v>
      </c>
      <c r="Q391" s="3" t="s">
        <v>5</v>
      </c>
      <c r="R391" s="3" t="s">
        <v>5</v>
      </c>
      <c r="S391" s="3" t="s">
        <v>5</v>
      </c>
      <c r="T391" s="3" t="s">
        <v>5</v>
      </c>
      <c r="U391" s="3" t="s">
        <v>5</v>
      </c>
      <c r="V391" s="3" t="s">
        <v>5</v>
      </c>
      <c r="W391" s="3" t="s">
        <v>5</v>
      </c>
      <c r="X391" s="1"/>
      <c r="Y391" s="1"/>
      <c r="Z391" s="1"/>
      <c r="AA391" s="3"/>
      <c r="AB391" s="3"/>
      <c r="AC391" s="3"/>
      <c r="AD391" s="3"/>
      <c r="AE391" s="3"/>
      <c r="AF391" s="3"/>
      <c r="AG391" s="3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3">
        <f t="shared" ref="AT391:AT454" si="96">+COUNTIF(P391:AS391,"A")</f>
        <v>1</v>
      </c>
      <c r="AU391" s="3">
        <f t="shared" ref="AU391:AU429" si="97">+COUNTIF(P391:AS391,"B")</f>
        <v>0</v>
      </c>
      <c r="AV391" s="3">
        <f t="shared" ref="AV391:AV429" si="98">+COUNTIF(P391:AS391,"ES")</f>
        <v>0</v>
      </c>
      <c r="AW391" s="3">
        <f t="shared" ref="AW391:AW429" si="99">+COUNTIF(P391:AS391,"T")</f>
        <v>0</v>
      </c>
      <c r="AX391" s="3">
        <f t="shared" ref="AX391:AX429" si="100">+COUNTIF(P391:AS391,"EC")</f>
        <v>0</v>
      </c>
      <c r="AY391" s="3">
        <f t="shared" ref="AY391:AY429" si="101">+COUNTIF(P391:AS391,"D")</f>
        <v>7</v>
      </c>
      <c r="AZ391" s="3">
        <f t="shared" ref="AZ391:AZ429" si="102">+COUNTIF(P391:AS391,"F")</f>
        <v>0</v>
      </c>
      <c r="BA391" s="3">
        <f t="shared" ref="BA391:BA429" si="103">+COUNTIF(P391:AS391,"LM")</f>
        <v>0</v>
      </c>
      <c r="BB391" s="3">
        <f t="shared" ref="BB391:BB429" si="104">+COUNTIF(P391:AS391,"PSG")</f>
        <v>0</v>
      </c>
      <c r="BC391" s="3">
        <f t="shared" ref="BC391:BC429" si="105">+COUNTIF(P391:AS391,"PS")</f>
        <v>0</v>
      </c>
      <c r="BD391" s="3">
        <f t="shared" ref="BD391:BD429" si="106">+COUNTIF(P391:AS391,"AD")</f>
        <v>0</v>
      </c>
      <c r="BE391" s="3">
        <f t="shared" ref="BE391:BE429" si="107">+COUNTIF(P391:AS391,"V")</f>
        <v>0</v>
      </c>
      <c r="BF391" s="3">
        <f t="shared" ref="BF391:BF429" si="108">+COUNTIF(P391:AS391,"IMM")</f>
        <v>0</v>
      </c>
      <c r="BG391" s="3">
        <f t="shared" ref="BG391:BG429" si="109">+COUNTIF(P391:AS391,"PCG")</f>
        <v>0</v>
      </c>
      <c r="BH391" s="3">
        <f t="shared" ref="BH391:BH429" si="110">+COUNTIF(P391:AS391,"AC")</f>
        <v>0</v>
      </c>
      <c r="BI391" s="3">
        <f t="shared" ref="BI391:BI454" si="111">AT391+AU391+AV391+AW391+AX391+AY391+BC391+BD391+BE391+BF391+BG391+BH391</f>
        <v>8</v>
      </c>
    </row>
    <row r="392" spans="1:126" x14ac:dyDescent="0.25">
      <c r="A392" s="29">
        <v>395</v>
      </c>
      <c r="B392" s="3" t="s">
        <v>1479</v>
      </c>
      <c r="C392" s="13" t="s">
        <v>1483</v>
      </c>
      <c r="D392" s="13" t="s">
        <v>733</v>
      </c>
      <c r="E392" s="13" t="s">
        <v>1487</v>
      </c>
      <c r="F392" s="18" t="s">
        <v>1558</v>
      </c>
      <c r="G392" s="18">
        <v>46045</v>
      </c>
      <c r="H392" s="18">
        <v>46142</v>
      </c>
      <c r="I392" s="13" t="s">
        <v>23</v>
      </c>
      <c r="J392" s="13" t="s">
        <v>24</v>
      </c>
      <c r="K392" s="13" t="s">
        <v>84</v>
      </c>
      <c r="L392" s="13" t="s">
        <v>216</v>
      </c>
      <c r="M392" s="13" t="s">
        <v>1621</v>
      </c>
      <c r="N392" s="3">
        <v>959923720</v>
      </c>
      <c r="O392" s="3" t="s">
        <v>84</v>
      </c>
      <c r="P392" s="1" t="s">
        <v>39</v>
      </c>
      <c r="Q392" s="1" t="s">
        <v>39</v>
      </c>
      <c r="R392" s="1" t="s">
        <v>5</v>
      </c>
      <c r="S392" s="1" t="s">
        <v>5</v>
      </c>
      <c r="T392" s="1" t="s">
        <v>5</v>
      </c>
      <c r="U392" s="1"/>
      <c r="V392" s="1"/>
      <c r="W392" s="1"/>
      <c r="X392" s="1"/>
      <c r="Y392" s="1"/>
      <c r="Z392" s="1"/>
      <c r="AA392" s="3"/>
      <c r="AB392" s="1"/>
      <c r="AC392" s="3"/>
      <c r="AD392" s="3"/>
      <c r="AE392" s="3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3">
        <f t="shared" si="96"/>
        <v>2</v>
      </c>
      <c r="AU392" s="3">
        <f t="shared" si="97"/>
        <v>0</v>
      </c>
      <c r="AV392" s="3">
        <f t="shared" si="98"/>
        <v>0</v>
      </c>
      <c r="AW392" s="3">
        <f t="shared" si="99"/>
        <v>0</v>
      </c>
      <c r="AX392" s="3">
        <f t="shared" si="100"/>
        <v>0</v>
      </c>
      <c r="AY392" s="3">
        <f t="shared" si="101"/>
        <v>3</v>
      </c>
      <c r="AZ392" s="3">
        <f t="shared" si="102"/>
        <v>0</v>
      </c>
      <c r="BA392" s="3">
        <f t="shared" si="103"/>
        <v>0</v>
      </c>
      <c r="BB392" s="3">
        <f t="shared" si="104"/>
        <v>0</v>
      </c>
      <c r="BC392" s="3">
        <f t="shared" si="105"/>
        <v>0</v>
      </c>
      <c r="BD392" s="3">
        <f t="shared" si="106"/>
        <v>0</v>
      </c>
      <c r="BE392" s="3">
        <f t="shared" si="107"/>
        <v>0</v>
      </c>
      <c r="BF392" s="3">
        <f t="shared" si="108"/>
        <v>0</v>
      </c>
      <c r="BG392" s="3">
        <f t="shared" si="109"/>
        <v>0</v>
      </c>
      <c r="BH392" s="3">
        <f t="shared" si="110"/>
        <v>0</v>
      </c>
      <c r="BI392" s="3">
        <f t="shared" si="111"/>
        <v>5</v>
      </c>
    </row>
    <row r="393" spans="1:126" x14ac:dyDescent="0.25">
      <c r="A393" s="29">
        <v>398</v>
      </c>
      <c r="B393" s="13" t="s">
        <v>1482</v>
      </c>
      <c r="C393" s="13" t="s">
        <v>571</v>
      </c>
      <c r="D393" s="13" t="s">
        <v>632</v>
      </c>
      <c r="E393" s="13" t="s">
        <v>1490</v>
      </c>
      <c r="F393" s="18" t="s">
        <v>1522</v>
      </c>
      <c r="G393" s="18">
        <v>46045</v>
      </c>
      <c r="H393" s="18">
        <v>46142</v>
      </c>
      <c r="I393" s="13" t="s">
        <v>23</v>
      </c>
      <c r="J393" s="13" t="s">
        <v>24</v>
      </c>
      <c r="K393" s="13" t="s">
        <v>56</v>
      </c>
      <c r="L393" s="13" t="s">
        <v>216</v>
      </c>
      <c r="M393" s="13" t="s">
        <v>1621</v>
      </c>
      <c r="N393" s="3">
        <v>946960521</v>
      </c>
      <c r="O393" s="3" t="s">
        <v>28</v>
      </c>
      <c r="P393" s="3" t="s">
        <v>39</v>
      </c>
      <c r="Q393" s="3" t="s">
        <v>5</v>
      </c>
      <c r="R393" s="3" t="s">
        <v>5</v>
      </c>
      <c r="S393" s="3" t="s">
        <v>5</v>
      </c>
      <c r="T393" s="3" t="s">
        <v>5</v>
      </c>
      <c r="U393" s="3" t="s">
        <v>5</v>
      </c>
      <c r="V393" s="3" t="s">
        <v>5</v>
      </c>
      <c r="W393" s="3" t="s">
        <v>5</v>
      </c>
      <c r="X393" s="1"/>
      <c r="Y393" s="1"/>
      <c r="Z393" s="1"/>
      <c r="AA393" s="3"/>
      <c r="AB393" s="3"/>
      <c r="AC393" s="3"/>
      <c r="AD393" s="3"/>
      <c r="AE393" s="3"/>
      <c r="AF393" s="3"/>
      <c r="AG393" s="3"/>
      <c r="AH393" s="1"/>
      <c r="AI393" s="1"/>
      <c r="AJ393" s="1"/>
      <c r="AK393" s="1"/>
      <c r="AL393" s="1"/>
      <c r="AM393" s="1"/>
      <c r="AN393" s="1"/>
      <c r="AO393" s="1"/>
      <c r="AP393" s="3"/>
      <c r="AQ393" s="3"/>
      <c r="AR393" s="3"/>
      <c r="AS393" s="1"/>
      <c r="AT393" s="3">
        <f t="shared" si="96"/>
        <v>1</v>
      </c>
      <c r="AU393" s="3">
        <f t="shared" si="97"/>
        <v>0</v>
      </c>
      <c r="AV393" s="3">
        <f t="shared" si="98"/>
        <v>0</v>
      </c>
      <c r="AW393" s="3">
        <f t="shared" si="99"/>
        <v>0</v>
      </c>
      <c r="AX393" s="3">
        <f t="shared" si="100"/>
        <v>0</v>
      </c>
      <c r="AY393" s="3">
        <f t="shared" si="101"/>
        <v>7</v>
      </c>
      <c r="AZ393" s="3">
        <f t="shared" si="102"/>
        <v>0</v>
      </c>
      <c r="BA393" s="3">
        <f t="shared" si="103"/>
        <v>0</v>
      </c>
      <c r="BB393" s="3">
        <f t="shared" si="104"/>
        <v>0</v>
      </c>
      <c r="BC393" s="3">
        <f t="shared" si="105"/>
        <v>0</v>
      </c>
      <c r="BD393" s="3">
        <f t="shared" si="106"/>
        <v>0</v>
      </c>
      <c r="BE393" s="3">
        <f t="shared" si="107"/>
        <v>0</v>
      </c>
      <c r="BF393" s="3">
        <f t="shared" si="108"/>
        <v>0</v>
      </c>
      <c r="BG393" s="3">
        <f t="shared" si="109"/>
        <v>0</v>
      </c>
      <c r="BH393" s="3">
        <f t="shared" si="110"/>
        <v>0</v>
      </c>
      <c r="BI393" s="3">
        <f t="shared" si="111"/>
        <v>8</v>
      </c>
    </row>
    <row r="394" spans="1:126" x14ac:dyDescent="0.25">
      <c r="A394" s="29">
        <v>399</v>
      </c>
      <c r="B394" s="3" t="s">
        <v>1499</v>
      </c>
      <c r="C394" s="13" t="s">
        <v>593</v>
      </c>
      <c r="D394" s="13" t="s">
        <v>589</v>
      </c>
      <c r="E394" s="13" t="s">
        <v>1504</v>
      </c>
      <c r="F394" s="18" t="s">
        <v>149</v>
      </c>
      <c r="G394" s="18">
        <v>46055</v>
      </c>
      <c r="H394" s="18">
        <v>46142</v>
      </c>
      <c r="I394" s="13" t="s">
        <v>23</v>
      </c>
      <c r="J394" s="13" t="s">
        <v>24</v>
      </c>
      <c r="K394" s="13" t="s">
        <v>25</v>
      </c>
      <c r="L394" s="13" t="s">
        <v>150</v>
      </c>
      <c r="M394" s="13" t="s">
        <v>1621</v>
      </c>
      <c r="N394" s="3">
        <v>936328360</v>
      </c>
      <c r="O394" s="3" t="s">
        <v>28</v>
      </c>
      <c r="P394" s="1" t="s">
        <v>5</v>
      </c>
      <c r="Q394" s="1" t="s">
        <v>39</v>
      </c>
      <c r="R394" s="1" t="s">
        <v>39</v>
      </c>
      <c r="S394" s="1"/>
      <c r="T394" s="3"/>
      <c r="U394" s="3"/>
      <c r="V394" s="3"/>
      <c r="W394" s="3"/>
      <c r="X394" s="3"/>
      <c r="Y394" s="3"/>
      <c r="Z394" s="3"/>
      <c r="AA394" s="1"/>
      <c r="AB394" s="1"/>
      <c r="AC394" s="1"/>
      <c r="AD394" s="1"/>
      <c r="AE394" s="1"/>
      <c r="AF394" s="1"/>
      <c r="AG394" s="1"/>
      <c r="AH394" s="3"/>
      <c r="AI394" s="3"/>
      <c r="AJ394" s="3"/>
      <c r="AK394" s="3"/>
      <c r="AL394" s="3"/>
      <c r="AM394" s="3"/>
      <c r="AN394" s="3"/>
      <c r="AO394" s="1"/>
      <c r="AP394" s="1"/>
      <c r="AQ394" s="1"/>
      <c r="AR394" s="1"/>
      <c r="AS394" s="1"/>
      <c r="AT394" s="3">
        <f t="shared" si="96"/>
        <v>2</v>
      </c>
      <c r="AU394" s="3">
        <f t="shared" si="97"/>
        <v>0</v>
      </c>
      <c r="AV394" s="3">
        <f t="shared" si="98"/>
        <v>0</v>
      </c>
      <c r="AW394" s="3">
        <f t="shared" si="99"/>
        <v>0</v>
      </c>
      <c r="AX394" s="3">
        <f t="shared" si="100"/>
        <v>0</v>
      </c>
      <c r="AY394" s="3">
        <f t="shared" si="101"/>
        <v>1</v>
      </c>
      <c r="AZ394" s="3">
        <f t="shared" si="102"/>
        <v>0</v>
      </c>
      <c r="BA394" s="3">
        <f t="shared" si="103"/>
        <v>0</v>
      </c>
      <c r="BB394" s="3">
        <f t="shared" si="104"/>
        <v>0</v>
      </c>
      <c r="BC394" s="3">
        <f t="shared" si="105"/>
        <v>0</v>
      </c>
      <c r="BD394" s="3">
        <f t="shared" si="106"/>
        <v>0</v>
      </c>
      <c r="BE394" s="3">
        <f t="shared" si="107"/>
        <v>0</v>
      </c>
      <c r="BF394" s="3">
        <f t="shared" si="108"/>
        <v>0</v>
      </c>
      <c r="BG394" s="3">
        <f t="shared" si="109"/>
        <v>0</v>
      </c>
      <c r="BH394" s="3">
        <f t="shared" si="110"/>
        <v>0</v>
      </c>
      <c r="BI394" s="3">
        <f t="shared" si="111"/>
        <v>3</v>
      </c>
    </row>
    <row r="395" spans="1:126" x14ac:dyDescent="0.25">
      <c r="A395" s="29">
        <v>401</v>
      </c>
      <c r="B395" s="13" t="s">
        <v>1498</v>
      </c>
      <c r="C395" s="13" t="s">
        <v>202</v>
      </c>
      <c r="D395" s="13" t="s">
        <v>1107</v>
      </c>
      <c r="E395" s="13" t="s">
        <v>1503</v>
      </c>
      <c r="F395" s="18" t="s">
        <v>1522</v>
      </c>
      <c r="G395" s="18">
        <v>46055</v>
      </c>
      <c r="H395" s="18">
        <v>46142</v>
      </c>
      <c r="I395" s="13" t="s">
        <v>23</v>
      </c>
      <c r="J395" s="13" t="s">
        <v>24</v>
      </c>
      <c r="K395" s="13" t="s">
        <v>56</v>
      </c>
      <c r="L395" s="13" t="s">
        <v>216</v>
      </c>
      <c r="M395" s="13" t="s">
        <v>1621</v>
      </c>
      <c r="N395" s="3">
        <v>934088264</v>
      </c>
      <c r="O395" s="13" t="s">
        <v>28</v>
      </c>
      <c r="P395" s="1" t="s">
        <v>39</v>
      </c>
      <c r="Q395" s="1" t="s">
        <v>5</v>
      </c>
      <c r="R395" s="1" t="s">
        <v>5</v>
      </c>
      <c r="S395" s="1" t="s">
        <v>5</v>
      </c>
      <c r="T395" s="1" t="s">
        <v>5</v>
      </c>
      <c r="U395" s="1" t="s">
        <v>5</v>
      </c>
      <c r="V395" s="1" t="s">
        <v>5</v>
      </c>
      <c r="W395" s="1" t="s">
        <v>5</v>
      </c>
      <c r="X395" s="1"/>
      <c r="Y395" s="1"/>
      <c r="Z395" s="1"/>
      <c r="AA395" s="13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3">
        <f t="shared" si="96"/>
        <v>1</v>
      </c>
      <c r="AU395" s="3">
        <f t="shared" si="97"/>
        <v>0</v>
      </c>
      <c r="AV395" s="3">
        <f t="shared" si="98"/>
        <v>0</v>
      </c>
      <c r="AW395" s="3">
        <f t="shared" si="99"/>
        <v>0</v>
      </c>
      <c r="AX395" s="3">
        <f t="shared" si="100"/>
        <v>0</v>
      </c>
      <c r="AY395" s="3">
        <f t="shared" si="101"/>
        <v>7</v>
      </c>
      <c r="AZ395" s="3">
        <f t="shared" si="102"/>
        <v>0</v>
      </c>
      <c r="BA395" s="3">
        <f t="shared" si="103"/>
        <v>0</v>
      </c>
      <c r="BB395" s="3">
        <f t="shared" si="104"/>
        <v>0</v>
      </c>
      <c r="BC395" s="3">
        <f t="shared" si="105"/>
        <v>0</v>
      </c>
      <c r="BD395" s="3">
        <f t="shared" si="106"/>
        <v>0</v>
      </c>
      <c r="BE395" s="3">
        <f t="shared" si="107"/>
        <v>0</v>
      </c>
      <c r="BF395" s="3">
        <f t="shared" si="108"/>
        <v>0</v>
      </c>
      <c r="BG395" s="3">
        <f t="shared" si="109"/>
        <v>0</v>
      </c>
      <c r="BH395" s="3">
        <f t="shared" si="110"/>
        <v>0</v>
      </c>
      <c r="BI395" s="3">
        <f t="shared" si="111"/>
        <v>8</v>
      </c>
      <c r="BJ395" s="17"/>
    </row>
    <row r="396" spans="1:126" x14ac:dyDescent="0.25">
      <c r="A396" s="29">
        <v>400</v>
      </c>
      <c r="B396" s="3" t="s">
        <v>1495</v>
      </c>
      <c r="C396" s="13" t="s">
        <v>584</v>
      </c>
      <c r="D396" s="13" t="s">
        <v>244</v>
      </c>
      <c r="E396" s="13" t="s">
        <v>1500</v>
      </c>
      <c r="F396" s="22" t="s">
        <v>1221</v>
      </c>
      <c r="G396" s="25">
        <v>46055</v>
      </c>
      <c r="H396" s="25">
        <v>46142</v>
      </c>
      <c r="I396" s="22" t="s">
        <v>23</v>
      </c>
      <c r="J396" s="22" t="s">
        <v>24</v>
      </c>
      <c r="K396" s="13" t="s">
        <v>84</v>
      </c>
      <c r="L396" s="13" t="s">
        <v>68</v>
      </c>
      <c r="M396" s="13" t="s">
        <v>1621</v>
      </c>
      <c r="N396" s="3">
        <v>950998556</v>
      </c>
      <c r="O396" s="3" t="s">
        <v>84</v>
      </c>
      <c r="P396" s="1" t="s">
        <v>39</v>
      </c>
      <c r="Q396" s="1" t="s">
        <v>39</v>
      </c>
      <c r="R396" s="1" t="s">
        <v>5</v>
      </c>
      <c r="S396" s="1" t="s">
        <v>5</v>
      </c>
      <c r="T396" s="1" t="s">
        <v>5</v>
      </c>
      <c r="U396" s="3"/>
      <c r="V396" s="1"/>
      <c r="W396" s="1"/>
      <c r="X396" s="1"/>
      <c r="Y396" s="1"/>
      <c r="Z396" s="1"/>
      <c r="AA396" s="1"/>
      <c r="AB396" s="3"/>
      <c r="AC396" s="1"/>
      <c r="AD396" s="1"/>
      <c r="AE396" s="3"/>
      <c r="AF396" s="3"/>
      <c r="AG396" s="3"/>
      <c r="AH396" s="1"/>
      <c r="AI396" s="3"/>
      <c r="AJ396" s="1"/>
      <c r="AK396" s="1"/>
      <c r="AL396" s="3"/>
      <c r="AM396" s="1"/>
      <c r="AN396" s="3"/>
      <c r="AO396" s="3"/>
      <c r="AP396" s="3"/>
      <c r="AQ396" s="1"/>
      <c r="AR396" s="1"/>
      <c r="AS396" s="3"/>
      <c r="AT396" s="3">
        <f t="shared" si="96"/>
        <v>2</v>
      </c>
      <c r="AU396" s="3">
        <f t="shared" si="97"/>
        <v>0</v>
      </c>
      <c r="AV396" s="3">
        <f t="shared" si="98"/>
        <v>0</v>
      </c>
      <c r="AW396" s="3">
        <f t="shared" si="99"/>
        <v>0</v>
      </c>
      <c r="AX396" s="3">
        <f t="shared" si="100"/>
        <v>0</v>
      </c>
      <c r="AY396" s="3">
        <f t="shared" si="101"/>
        <v>3</v>
      </c>
      <c r="AZ396" s="3">
        <f t="shared" si="102"/>
        <v>0</v>
      </c>
      <c r="BA396" s="3">
        <f t="shared" si="103"/>
        <v>0</v>
      </c>
      <c r="BB396" s="3">
        <f t="shared" si="104"/>
        <v>0</v>
      </c>
      <c r="BC396" s="3">
        <f t="shared" si="105"/>
        <v>0</v>
      </c>
      <c r="BD396" s="3">
        <f t="shared" si="106"/>
        <v>0</v>
      </c>
      <c r="BE396" s="3">
        <f t="shared" si="107"/>
        <v>0</v>
      </c>
      <c r="BF396" s="3">
        <f t="shared" si="108"/>
        <v>0</v>
      </c>
      <c r="BG396" s="3">
        <f t="shared" si="109"/>
        <v>0</v>
      </c>
      <c r="BH396" s="3">
        <f t="shared" si="110"/>
        <v>0</v>
      </c>
      <c r="BI396" s="3">
        <f t="shared" si="111"/>
        <v>5</v>
      </c>
    </row>
    <row r="397" spans="1:126" x14ac:dyDescent="0.25">
      <c r="A397" s="29">
        <v>402</v>
      </c>
      <c r="B397" s="3" t="s">
        <v>1497</v>
      </c>
      <c r="C397" s="13" t="s">
        <v>894</v>
      </c>
      <c r="D397" s="13" t="s">
        <v>894</v>
      </c>
      <c r="E397" s="13" t="s">
        <v>1502</v>
      </c>
      <c r="F397" s="18" t="s">
        <v>1529</v>
      </c>
      <c r="G397" s="18">
        <v>46055</v>
      </c>
      <c r="H397" s="18">
        <v>46142</v>
      </c>
      <c r="I397" s="13" t="s">
        <v>23</v>
      </c>
      <c r="J397" s="13" t="s">
        <v>24</v>
      </c>
      <c r="K397" s="13" t="s">
        <v>43</v>
      </c>
      <c r="L397" s="13" t="s">
        <v>216</v>
      </c>
      <c r="M397" s="13" t="s">
        <v>1621</v>
      </c>
      <c r="N397" s="3">
        <v>949353596</v>
      </c>
      <c r="O397" s="3" t="s">
        <v>28</v>
      </c>
      <c r="P397" s="1" t="s">
        <v>29</v>
      </c>
      <c r="Q397" s="1" t="s">
        <v>5</v>
      </c>
      <c r="R397" s="1" t="s">
        <v>5</v>
      </c>
      <c r="S397" s="1" t="s">
        <v>5</v>
      </c>
      <c r="T397" s="1" t="s">
        <v>5</v>
      </c>
      <c r="U397" s="1" t="s">
        <v>5</v>
      </c>
      <c r="V397" s="1" t="s">
        <v>5</v>
      </c>
      <c r="W397" s="1" t="s">
        <v>5</v>
      </c>
      <c r="X397" s="1"/>
      <c r="Y397" s="1"/>
      <c r="Z397" s="1"/>
      <c r="AA397" s="3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3"/>
      <c r="AP397" s="1"/>
      <c r="AQ397" s="1"/>
      <c r="AR397" s="1"/>
      <c r="AS397" s="1"/>
      <c r="AT397" s="3">
        <f t="shared" si="96"/>
        <v>0</v>
      </c>
      <c r="AU397" s="3">
        <f t="shared" si="97"/>
        <v>1</v>
      </c>
      <c r="AV397" s="3">
        <f t="shared" si="98"/>
        <v>0</v>
      </c>
      <c r="AW397" s="3">
        <f t="shared" si="99"/>
        <v>0</v>
      </c>
      <c r="AX397" s="3">
        <f t="shared" si="100"/>
        <v>0</v>
      </c>
      <c r="AY397" s="3">
        <f t="shared" si="101"/>
        <v>7</v>
      </c>
      <c r="AZ397" s="3">
        <f t="shared" si="102"/>
        <v>0</v>
      </c>
      <c r="BA397" s="3">
        <f t="shared" si="103"/>
        <v>0</v>
      </c>
      <c r="BB397" s="3">
        <f t="shared" si="104"/>
        <v>0</v>
      </c>
      <c r="BC397" s="3">
        <f t="shared" si="105"/>
        <v>0</v>
      </c>
      <c r="BD397" s="3">
        <f t="shared" si="106"/>
        <v>0</v>
      </c>
      <c r="BE397" s="3">
        <f t="shared" si="107"/>
        <v>0</v>
      </c>
      <c r="BF397" s="3">
        <f t="shared" si="108"/>
        <v>0</v>
      </c>
      <c r="BG397" s="3">
        <f t="shared" si="109"/>
        <v>0</v>
      </c>
      <c r="BH397" s="3">
        <f t="shared" si="110"/>
        <v>0</v>
      </c>
      <c r="BI397" s="3">
        <f t="shared" si="111"/>
        <v>8</v>
      </c>
    </row>
    <row r="398" spans="1:126" x14ac:dyDescent="0.25">
      <c r="A398" s="29">
        <v>403</v>
      </c>
      <c r="B398" s="3" t="s">
        <v>1496</v>
      </c>
      <c r="C398" s="13" t="s">
        <v>1501</v>
      </c>
      <c r="D398" s="13" t="s">
        <v>658</v>
      </c>
      <c r="E398" s="13" t="s">
        <v>628</v>
      </c>
      <c r="F398" s="18" t="s">
        <v>1547</v>
      </c>
      <c r="G398" s="18">
        <v>46055</v>
      </c>
      <c r="H398" s="18">
        <v>46142</v>
      </c>
      <c r="I398" s="13" t="s">
        <v>23</v>
      </c>
      <c r="J398" s="13" t="s">
        <v>24</v>
      </c>
      <c r="K398" s="13" t="s">
        <v>43</v>
      </c>
      <c r="L398" s="13" t="s">
        <v>216</v>
      </c>
      <c r="M398" s="13" t="s">
        <v>1621</v>
      </c>
      <c r="N398" s="3">
        <v>932343459</v>
      </c>
      <c r="O398" s="3" t="s">
        <v>28</v>
      </c>
      <c r="P398" s="1" t="s">
        <v>29</v>
      </c>
      <c r="Q398" s="1" t="s">
        <v>5</v>
      </c>
      <c r="R398" s="1" t="s">
        <v>5</v>
      </c>
      <c r="S398" s="1" t="s">
        <v>5</v>
      </c>
      <c r="T398" s="1" t="s">
        <v>5</v>
      </c>
      <c r="U398" s="1" t="s">
        <v>5</v>
      </c>
      <c r="V398" s="1" t="s">
        <v>5</v>
      </c>
      <c r="W398" s="1" t="s">
        <v>5</v>
      </c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3"/>
      <c r="AP398" s="1"/>
      <c r="AQ398" s="1"/>
      <c r="AR398" s="1"/>
      <c r="AS398" s="1"/>
      <c r="AT398" s="3">
        <f t="shared" si="96"/>
        <v>0</v>
      </c>
      <c r="AU398" s="3">
        <f t="shared" si="97"/>
        <v>1</v>
      </c>
      <c r="AV398" s="3">
        <f t="shared" si="98"/>
        <v>0</v>
      </c>
      <c r="AW398" s="3">
        <f t="shared" si="99"/>
        <v>0</v>
      </c>
      <c r="AX398" s="3">
        <f t="shared" si="100"/>
        <v>0</v>
      </c>
      <c r="AY398" s="3">
        <f t="shared" si="101"/>
        <v>7</v>
      </c>
      <c r="AZ398" s="3">
        <f t="shared" si="102"/>
        <v>0</v>
      </c>
      <c r="BA398" s="3">
        <f t="shared" si="103"/>
        <v>0</v>
      </c>
      <c r="BB398" s="3">
        <f t="shared" si="104"/>
        <v>0</v>
      </c>
      <c r="BC398" s="3">
        <f t="shared" si="105"/>
        <v>0</v>
      </c>
      <c r="BD398" s="3">
        <f t="shared" si="106"/>
        <v>0</v>
      </c>
      <c r="BE398" s="3">
        <f t="shared" si="107"/>
        <v>0</v>
      </c>
      <c r="BF398" s="3">
        <f t="shared" si="108"/>
        <v>0</v>
      </c>
      <c r="BG398" s="3">
        <f t="shared" si="109"/>
        <v>0</v>
      </c>
      <c r="BH398" s="3">
        <f t="shared" si="110"/>
        <v>0</v>
      </c>
      <c r="BI398" s="3">
        <f t="shared" si="111"/>
        <v>8</v>
      </c>
    </row>
    <row r="399" spans="1:126" x14ac:dyDescent="0.25">
      <c r="A399" s="29">
        <v>404</v>
      </c>
      <c r="B399" s="3" t="s">
        <v>1507</v>
      </c>
      <c r="C399" s="13" t="s">
        <v>319</v>
      </c>
      <c r="D399" s="13" t="s">
        <v>229</v>
      </c>
      <c r="E399" s="13" t="s">
        <v>1513</v>
      </c>
      <c r="F399" s="18" t="s">
        <v>1522</v>
      </c>
      <c r="G399" s="18">
        <v>46058</v>
      </c>
      <c r="H399" s="18">
        <v>46142</v>
      </c>
      <c r="I399" s="13" t="s">
        <v>23</v>
      </c>
      <c r="J399" s="13" t="s">
        <v>24</v>
      </c>
      <c r="K399" s="13" t="s">
        <v>25</v>
      </c>
      <c r="L399" s="13" t="s">
        <v>292</v>
      </c>
      <c r="M399" s="13" t="s">
        <v>1621</v>
      </c>
      <c r="N399" s="3">
        <v>933909360</v>
      </c>
      <c r="O399" s="3" t="s">
        <v>28</v>
      </c>
      <c r="P399" s="1" t="s">
        <v>5</v>
      </c>
      <c r="Q399" s="1" t="s">
        <v>39</v>
      </c>
      <c r="R399" s="1" t="s">
        <v>39</v>
      </c>
      <c r="S399" s="1"/>
      <c r="T399" s="3"/>
      <c r="U399" s="3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3"/>
      <c r="AI399" s="3"/>
      <c r="AJ399" s="3"/>
      <c r="AK399" s="3"/>
      <c r="AL399" s="3"/>
      <c r="AM399" s="3"/>
      <c r="AN399" s="3"/>
      <c r="AO399" s="1"/>
      <c r="AP399" s="1"/>
      <c r="AQ399" s="1"/>
      <c r="AR399" s="1"/>
      <c r="AS399" s="1"/>
      <c r="AT399" s="3">
        <f t="shared" si="96"/>
        <v>2</v>
      </c>
      <c r="AU399" s="3">
        <f t="shared" si="97"/>
        <v>0</v>
      </c>
      <c r="AV399" s="3">
        <f t="shared" si="98"/>
        <v>0</v>
      </c>
      <c r="AW399" s="3">
        <f t="shared" si="99"/>
        <v>0</v>
      </c>
      <c r="AX399" s="3">
        <f t="shared" si="100"/>
        <v>0</v>
      </c>
      <c r="AY399" s="3">
        <f t="shared" si="101"/>
        <v>1</v>
      </c>
      <c r="AZ399" s="3">
        <f t="shared" si="102"/>
        <v>0</v>
      </c>
      <c r="BA399" s="3">
        <f t="shared" si="103"/>
        <v>0</v>
      </c>
      <c r="BB399" s="3">
        <f t="shared" si="104"/>
        <v>0</v>
      </c>
      <c r="BC399" s="3">
        <f t="shared" si="105"/>
        <v>0</v>
      </c>
      <c r="BD399" s="3">
        <f t="shared" si="106"/>
        <v>0</v>
      </c>
      <c r="BE399" s="3">
        <f t="shared" si="107"/>
        <v>0</v>
      </c>
      <c r="BF399" s="3">
        <f t="shared" si="108"/>
        <v>0</v>
      </c>
      <c r="BG399" s="3">
        <f t="shared" si="109"/>
        <v>0</v>
      </c>
      <c r="BH399" s="3">
        <f t="shared" si="110"/>
        <v>0</v>
      </c>
      <c r="BI399" s="3">
        <f t="shared" si="111"/>
        <v>3</v>
      </c>
    </row>
    <row r="400" spans="1:126" s="28" customFormat="1" x14ac:dyDescent="0.25">
      <c r="A400" s="29">
        <v>405</v>
      </c>
      <c r="B400" s="3" t="s">
        <v>1506</v>
      </c>
      <c r="C400" s="13" t="s">
        <v>1511</v>
      </c>
      <c r="D400" s="13" t="s">
        <v>526</v>
      </c>
      <c r="E400" s="13" t="s">
        <v>1512</v>
      </c>
      <c r="F400" s="18" t="s">
        <v>1523</v>
      </c>
      <c r="G400" s="18">
        <v>46058</v>
      </c>
      <c r="H400" s="18">
        <v>46142</v>
      </c>
      <c r="I400" s="13" t="s">
        <v>23</v>
      </c>
      <c r="J400" s="13" t="s">
        <v>24</v>
      </c>
      <c r="K400" s="13" t="s">
        <v>43</v>
      </c>
      <c r="L400" s="13" t="s">
        <v>216</v>
      </c>
      <c r="M400" s="13" t="s">
        <v>1621</v>
      </c>
      <c r="N400" s="3">
        <v>943001808</v>
      </c>
      <c r="O400" s="3" t="s">
        <v>28</v>
      </c>
      <c r="P400" s="1" t="s">
        <v>29</v>
      </c>
      <c r="Q400" s="1" t="s">
        <v>5</v>
      </c>
      <c r="R400" s="1" t="s">
        <v>5</v>
      </c>
      <c r="S400" s="1" t="s">
        <v>5</v>
      </c>
      <c r="T400" s="1" t="s">
        <v>5</v>
      </c>
      <c r="U400" s="1" t="s">
        <v>5</v>
      </c>
      <c r="V400" s="1" t="s">
        <v>5</v>
      </c>
      <c r="W400" s="1" t="s">
        <v>5</v>
      </c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3"/>
      <c r="AP400" s="1"/>
      <c r="AQ400" s="1"/>
      <c r="AR400" s="1"/>
      <c r="AS400" s="1"/>
      <c r="AT400" s="3">
        <f t="shared" si="96"/>
        <v>0</v>
      </c>
      <c r="AU400" s="3">
        <f t="shared" si="97"/>
        <v>1</v>
      </c>
      <c r="AV400" s="3">
        <f t="shared" si="98"/>
        <v>0</v>
      </c>
      <c r="AW400" s="3">
        <f t="shared" si="99"/>
        <v>0</v>
      </c>
      <c r="AX400" s="3">
        <f t="shared" si="100"/>
        <v>0</v>
      </c>
      <c r="AY400" s="3">
        <f t="shared" si="101"/>
        <v>7</v>
      </c>
      <c r="AZ400" s="3">
        <f t="shared" si="102"/>
        <v>0</v>
      </c>
      <c r="BA400" s="3">
        <f t="shared" si="103"/>
        <v>0</v>
      </c>
      <c r="BB400" s="3">
        <f t="shared" si="104"/>
        <v>0</v>
      </c>
      <c r="BC400" s="3">
        <f t="shared" si="105"/>
        <v>0</v>
      </c>
      <c r="BD400" s="3">
        <f t="shared" si="106"/>
        <v>0</v>
      </c>
      <c r="BE400" s="3">
        <f t="shared" si="107"/>
        <v>0</v>
      </c>
      <c r="BF400" s="3">
        <f t="shared" si="108"/>
        <v>0</v>
      </c>
      <c r="BG400" s="3">
        <f t="shared" si="109"/>
        <v>0</v>
      </c>
      <c r="BH400" s="3">
        <f t="shared" si="110"/>
        <v>0</v>
      </c>
      <c r="BI400" s="3">
        <f t="shared" si="111"/>
        <v>8</v>
      </c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</row>
    <row r="401" spans="1:61" x14ac:dyDescent="0.25">
      <c r="A401" s="29">
        <v>406</v>
      </c>
      <c r="B401" s="3" t="s">
        <v>1508</v>
      </c>
      <c r="C401" s="13" t="s">
        <v>658</v>
      </c>
      <c r="D401" s="13" t="s">
        <v>658</v>
      </c>
      <c r="E401" s="13" t="s">
        <v>1587</v>
      </c>
      <c r="F401" s="18" t="s">
        <v>1465</v>
      </c>
      <c r="G401" s="18">
        <v>46058</v>
      </c>
      <c r="H401" s="18">
        <v>46142</v>
      </c>
      <c r="I401" s="13" t="s">
        <v>23</v>
      </c>
      <c r="J401" s="13" t="s">
        <v>24</v>
      </c>
      <c r="K401" s="13" t="s">
        <v>56</v>
      </c>
      <c r="L401" s="13" t="s">
        <v>216</v>
      </c>
      <c r="M401" s="13" t="s">
        <v>1621</v>
      </c>
      <c r="N401" s="3">
        <v>991210559</v>
      </c>
      <c r="O401" s="3" t="s">
        <v>28</v>
      </c>
      <c r="P401" s="1" t="s">
        <v>39</v>
      </c>
      <c r="Q401" s="1" t="s">
        <v>5</v>
      </c>
      <c r="R401" s="1" t="s">
        <v>5</v>
      </c>
      <c r="S401" s="1" t="s">
        <v>5</v>
      </c>
      <c r="T401" s="1" t="s">
        <v>5</v>
      </c>
      <c r="U401" s="1" t="s">
        <v>5</v>
      </c>
      <c r="V401" s="1" t="s">
        <v>5</v>
      </c>
      <c r="W401" s="1" t="s">
        <v>5</v>
      </c>
      <c r="X401" s="1"/>
      <c r="Y401" s="1"/>
      <c r="Z401" s="1"/>
      <c r="AA401" s="1"/>
      <c r="AB401" s="1"/>
      <c r="AC401" s="1"/>
      <c r="AD401" s="1"/>
      <c r="AE401" s="1"/>
      <c r="AF401" s="1"/>
      <c r="AG401" s="3"/>
      <c r="AH401" s="1"/>
      <c r="AI401" s="1"/>
      <c r="AJ401" s="1"/>
      <c r="AK401" s="1"/>
      <c r="AL401" s="1"/>
      <c r="AM401" s="1"/>
      <c r="AN401" s="1"/>
      <c r="AO401" s="1"/>
      <c r="AP401" s="3"/>
      <c r="AQ401" s="3"/>
      <c r="AR401" s="3"/>
      <c r="AS401" s="3"/>
      <c r="AT401" s="3">
        <f t="shared" si="96"/>
        <v>1</v>
      </c>
      <c r="AU401" s="3">
        <f t="shared" si="97"/>
        <v>0</v>
      </c>
      <c r="AV401" s="3">
        <f t="shared" si="98"/>
        <v>0</v>
      </c>
      <c r="AW401" s="3">
        <f t="shared" si="99"/>
        <v>0</v>
      </c>
      <c r="AX401" s="3">
        <f t="shared" si="100"/>
        <v>0</v>
      </c>
      <c r="AY401" s="3">
        <f t="shared" si="101"/>
        <v>7</v>
      </c>
      <c r="AZ401" s="3">
        <f t="shared" si="102"/>
        <v>0</v>
      </c>
      <c r="BA401" s="3">
        <f t="shared" si="103"/>
        <v>0</v>
      </c>
      <c r="BB401" s="3">
        <f t="shared" si="104"/>
        <v>0</v>
      </c>
      <c r="BC401" s="3">
        <f t="shared" si="105"/>
        <v>0</v>
      </c>
      <c r="BD401" s="3">
        <f t="shared" si="106"/>
        <v>0</v>
      </c>
      <c r="BE401" s="3">
        <f t="shared" si="107"/>
        <v>0</v>
      </c>
      <c r="BF401" s="3">
        <f t="shared" si="108"/>
        <v>0</v>
      </c>
      <c r="BG401" s="3">
        <f t="shared" si="109"/>
        <v>0</v>
      </c>
      <c r="BH401" s="3">
        <f t="shared" si="110"/>
        <v>0</v>
      </c>
      <c r="BI401" s="3">
        <f t="shared" si="111"/>
        <v>8</v>
      </c>
    </row>
    <row r="402" spans="1:61" x14ac:dyDescent="0.25">
      <c r="A402" s="29">
        <v>407</v>
      </c>
      <c r="B402" s="3" t="s">
        <v>1509</v>
      </c>
      <c r="C402" s="13" t="s">
        <v>985</v>
      </c>
      <c r="D402" s="13" t="s">
        <v>525</v>
      </c>
      <c r="E402" s="13" t="s">
        <v>1514</v>
      </c>
      <c r="F402" s="18" t="s">
        <v>1515</v>
      </c>
      <c r="G402" s="18">
        <v>46058</v>
      </c>
      <c r="H402" s="18">
        <v>46142</v>
      </c>
      <c r="I402" s="13" t="s">
        <v>23</v>
      </c>
      <c r="J402" s="13" t="s">
        <v>24</v>
      </c>
      <c r="K402" s="13" t="s">
        <v>43</v>
      </c>
      <c r="L402" s="13" t="s">
        <v>216</v>
      </c>
      <c r="M402" s="13" t="s">
        <v>1621</v>
      </c>
      <c r="N402" s="3">
        <v>998703279</v>
      </c>
      <c r="O402" s="3" t="s">
        <v>28</v>
      </c>
      <c r="P402" s="1" t="s">
        <v>29</v>
      </c>
      <c r="Q402" s="1" t="s">
        <v>5</v>
      </c>
      <c r="R402" s="1" t="s">
        <v>5</v>
      </c>
      <c r="S402" s="1" t="s">
        <v>5</v>
      </c>
      <c r="T402" s="1" t="s">
        <v>5</v>
      </c>
      <c r="U402" s="1" t="s">
        <v>5</v>
      </c>
      <c r="V402" s="1" t="s">
        <v>5</v>
      </c>
      <c r="W402" s="1" t="s">
        <v>5</v>
      </c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3">
        <f t="shared" si="96"/>
        <v>0</v>
      </c>
      <c r="AU402" s="3">
        <f t="shared" si="97"/>
        <v>1</v>
      </c>
      <c r="AV402" s="3">
        <f t="shared" si="98"/>
        <v>0</v>
      </c>
      <c r="AW402" s="3">
        <f t="shared" si="99"/>
        <v>0</v>
      </c>
      <c r="AX402" s="3">
        <f t="shared" si="100"/>
        <v>0</v>
      </c>
      <c r="AY402" s="3">
        <f t="shared" si="101"/>
        <v>7</v>
      </c>
      <c r="AZ402" s="3">
        <f t="shared" si="102"/>
        <v>0</v>
      </c>
      <c r="BA402" s="3">
        <f t="shared" si="103"/>
        <v>0</v>
      </c>
      <c r="BB402" s="3">
        <f t="shared" si="104"/>
        <v>0</v>
      </c>
      <c r="BC402" s="3">
        <f t="shared" si="105"/>
        <v>0</v>
      </c>
      <c r="BD402" s="3">
        <f t="shared" si="106"/>
        <v>0</v>
      </c>
      <c r="BE402" s="3">
        <f t="shared" si="107"/>
        <v>0</v>
      </c>
      <c r="BF402" s="3">
        <f t="shared" si="108"/>
        <v>0</v>
      </c>
      <c r="BG402" s="3">
        <f t="shared" si="109"/>
        <v>0</v>
      </c>
      <c r="BH402" s="3">
        <f t="shared" si="110"/>
        <v>0</v>
      </c>
      <c r="BI402" s="3">
        <f t="shared" si="111"/>
        <v>8</v>
      </c>
    </row>
    <row r="403" spans="1:61" x14ac:dyDescent="0.25">
      <c r="A403" s="29">
        <v>408</v>
      </c>
      <c r="B403" s="3" t="s">
        <v>1510</v>
      </c>
      <c r="C403" s="13" t="s">
        <v>176</v>
      </c>
      <c r="D403" s="13" t="s">
        <v>230</v>
      </c>
      <c r="E403" s="13" t="s">
        <v>1516</v>
      </c>
      <c r="F403" s="18" t="s">
        <v>1522</v>
      </c>
      <c r="G403" s="18">
        <v>46058</v>
      </c>
      <c r="H403" s="18">
        <v>46142</v>
      </c>
      <c r="I403" s="13" t="s">
        <v>23</v>
      </c>
      <c r="J403" s="13" t="s">
        <v>24</v>
      </c>
      <c r="K403" s="13" t="s">
        <v>56</v>
      </c>
      <c r="L403" s="13" t="s">
        <v>216</v>
      </c>
      <c r="M403" s="13" t="s">
        <v>1621</v>
      </c>
      <c r="N403" s="3">
        <v>995742785</v>
      </c>
      <c r="O403" s="3" t="s">
        <v>28</v>
      </c>
      <c r="P403" s="3" t="s">
        <v>39</v>
      </c>
      <c r="Q403" s="3" t="s">
        <v>5</v>
      </c>
      <c r="R403" s="3" t="s">
        <v>5</v>
      </c>
      <c r="S403" s="3" t="s">
        <v>5</v>
      </c>
      <c r="T403" s="3" t="s">
        <v>5</v>
      </c>
      <c r="U403" s="3" t="s">
        <v>5</v>
      </c>
      <c r="V403" s="3" t="s">
        <v>5</v>
      </c>
      <c r="W403" s="3" t="s">
        <v>5</v>
      </c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3"/>
      <c r="AP403" s="3"/>
      <c r="AQ403" s="1"/>
      <c r="AR403" s="1"/>
      <c r="AS403" s="1"/>
      <c r="AT403" s="3">
        <f t="shared" si="96"/>
        <v>1</v>
      </c>
      <c r="AU403" s="3">
        <f t="shared" si="97"/>
        <v>0</v>
      </c>
      <c r="AV403" s="3">
        <f t="shared" si="98"/>
        <v>0</v>
      </c>
      <c r="AW403" s="3">
        <f t="shared" si="99"/>
        <v>0</v>
      </c>
      <c r="AX403" s="3">
        <f t="shared" si="100"/>
        <v>0</v>
      </c>
      <c r="AY403" s="3">
        <f t="shared" si="101"/>
        <v>7</v>
      </c>
      <c r="AZ403" s="3">
        <f t="shared" si="102"/>
        <v>0</v>
      </c>
      <c r="BA403" s="3">
        <f t="shared" si="103"/>
        <v>0</v>
      </c>
      <c r="BB403" s="3">
        <f t="shared" si="104"/>
        <v>0</v>
      </c>
      <c r="BC403" s="3">
        <f t="shared" si="105"/>
        <v>0</v>
      </c>
      <c r="BD403" s="3">
        <f t="shared" si="106"/>
        <v>0</v>
      </c>
      <c r="BE403" s="3">
        <f t="shared" si="107"/>
        <v>0</v>
      </c>
      <c r="BF403" s="3">
        <f t="shared" si="108"/>
        <v>0</v>
      </c>
      <c r="BG403" s="3">
        <f t="shared" si="109"/>
        <v>0</v>
      </c>
      <c r="BH403" s="3">
        <f t="shared" si="110"/>
        <v>0</v>
      </c>
      <c r="BI403" s="3">
        <f t="shared" si="111"/>
        <v>8</v>
      </c>
    </row>
    <row r="404" spans="1:61" x14ac:dyDescent="0.25">
      <c r="A404" s="29">
        <v>409</v>
      </c>
      <c r="B404" s="3" t="s">
        <v>1574</v>
      </c>
      <c r="C404" s="13" t="s">
        <v>1577</v>
      </c>
      <c r="D404" s="13" t="s">
        <v>1578</v>
      </c>
      <c r="E404" s="13" t="s">
        <v>1581</v>
      </c>
      <c r="F404" s="18" t="s">
        <v>1584</v>
      </c>
      <c r="G404" s="18">
        <v>46066</v>
      </c>
      <c r="H404" s="18">
        <v>46142</v>
      </c>
      <c r="I404" s="13" t="s">
        <v>23</v>
      </c>
      <c r="J404" s="13" t="s">
        <v>24</v>
      </c>
      <c r="K404" s="13" t="s">
        <v>25</v>
      </c>
      <c r="L404" s="13" t="s">
        <v>292</v>
      </c>
      <c r="M404" s="13" t="s">
        <v>1621</v>
      </c>
      <c r="N404" s="3">
        <v>978992964</v>
      </c>
      <c r="O404" s="13" t="s">
        <v>28</v>
      </c>
      <c r="P404" s="1" t="s">
        <v>5</v>
      </c>
      <c r="Q404" s="1" t="s">
        <v>39</v>
      </c>
      <c r="R404" s="1" t="s">
        <v>39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3">
        <f t="shared" si="96"/>
        <v>2</v>
      </c>
      <c r="AU404" s="3">
        <f t="shared" si="97"/>
        <v>0</v>
      </c>
      <c r="AV404" s="3">
        <f t="shared" si="98"/>
        <v>0</v>
      </c>
      <c r="AW404" s="3">
        <f t="shared" si="99"/>
        <v>0</v>
      </c>
      <c r="AX404" s="3">
        <f t="shared" si="100"/>
        <v>0</v>
      </c>
      <c r="AY404" s="3">
        <f t="shared" si="101"/>
        <v>1</v>
      </c>
      <c r="AZ404" s="3">
        <f t="shared" si="102"/>
        <v>0</v>
      </c>
      <c r="BA404" s="3">
        <f t="shared" si="103"/>
        <v>0</v>
      </c>
      <c r="BB404" s="3">
        <f t="shared" si="104"/>
        <v>0</v>
      </c>
      <c r="BC404" s="3">
        <f t="shared" si="105"/>
        <v>0</v>
      </c>
      <c r="BD404" s="3">
        <f t="shared" si="106"/>
        <v>0</v>
      </c>
      <c r="BE404" s="3">
        <f t="shared" si="107"/>
        <v>0</v>
      </c>
      <c r="BF404" s="3">
        <f t="shared" si="108"/>
        <v>0</v>
      </c>
      <c r="BG404" s="3">
        <f t="shared" si="109"/>
        <v>0</v>
      </c>
      <c r="BH404" s="3">
        <f t="shared" si="110"/>
        <v>0</v>
      </c>
      <c r="BI404" s="3">
        <f t="shared" si="111"/>
        <v>3</v>
      </c>
    </row>
    <row r="405" spans="1:61" x14ac:dyDescent="0.25">
      <c r="A405" s="29">
        <v>410</v>
      </c>
      <c r="B405" s="3" t="s">
        <v>1575</v>
      </c>
      <c r="C405" s="13" t="s">
        <v>463</v>
      </c>
      <c r="D405" s="13" t="s">
        <v>1579</v>
      </c>
      <c r="E405" s="13" t="s">
        <v>1582</v>
      </c>
      <c r="F405" s="18" t="s">
        <v>1515</v>
      </c>
      <c r="G405" s="18">
        <v>46066</v>
      </c>
      <c r="H405" s="18">
        <v>46142</v>
      </c>
      <c r="I405" s="13" t="s">
        <v>23</v>
      </c>
      <c r="J405" s="13" t="s">
        <v>24</v>
      </c>
      <c r="K405" s="13" t="s">
        <v>25</v>
      </c>
      <c r="L405" s="13" t="s">
        <v>292</v>
      </c>
      <c r="M405" s="13" t="s">
        <v>1621</v>
      </c>
      <c r="N405" s="3">
        <v>958492402</v>
      </c>
      <c r="O405" s="13" t="s">
        <v>28</v>
      </c>
      <c r="P405" s="1" t="s">
        <v>5</v>
      </c>
      <c r="Q405" s="1" t="s">
        <v>39</v>
      </c>
      <c r="R405" s="1" t="s">
        <v>39</v>
      </c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4"/>
      <c r="AM405" s="14"/>
      <c r="AN405" s="14"/>
      <c r="AO405" s="14"/>
      <c r="AP405" s="14"/>
      <c r="AQ405" s="14"/>
      <c r="AR405" s="1"/>
      <c r="AS405" s="1"/>
      <c r="AT405" s="3">
        <f t="shared" si="96"/>
        <v>2</v>
      </c>
      <c r="AU405" s="3">
        <f t="shared" si="97"/>
        <v>0</v>
      </c>
      <c r="AV405" s="3">
        <f t="shared" si="98"/>
        <v>0</v>
      </c>
      <c r="AW405" s="3">
        <f t="shared" si="99"/>
        <v>0</v>
      </c>
      <c r="AX405" s="3">
        <f t="shared" si="100"/>
        <v>0</v>
      </c>
      <c r="AY405" s="3">
        <f t="shared" si="101"/>
        <v>1</v>
      </c>
      <c r="AZ405" s="3">
        <f t="shared" si="102"/>
        <v>0</v>
      </c>
      <c r="BA405" s="3">
        <f t="shared" si="103"/>
        <v>0</v>
      </c>
      <c r="BB405" s="3">
        <f t="shared" si="104"/>
        <v>0</v>
      </c>
      <c r="BC405" s="3">
        <f t="shared" si="105"/>
        <v>0</v>
      </c>
      <c r="BD405" s="3">
        <f t="shared" si="106"/>
        <v>0</v>
      </c>
      <c r="BE405" s="3">
        <f t="shared" si="107"/>
        <v>0</v>
      </c>
      <c r="BF405" s="3">
        <f t="shared" si="108"/>
        <v>0</v>
      </c>
      <c r="BG405" s="3">
        <f t="shared" si="109"/>
        <v>0</v>
      </c>
      <c r="BH405" s="3">
        <f t="shared" si="110"/>
        <v>0</v>
      </c>
      <c r="BI405" s="3">
        <f t="shared" si="111"/>
        <v>3</v>
      </c>
    </row>
    <row r="406" spans="1:61" x14ac:dyDescent="0.25">
      <c r="A406" s="29">
        <v>411</v>
      </c>
      <c r="B406" s="3" t="s">
        <v>1576</v>
      </c>
      <c r="C406" s="13" t="s">
        <v>1580</v>
      </c>
      <c r="D406" s="13" t="s">
        <v>573</v>
      </c>
      <c r="E406" s="13" t="s">
        <v>1583</v>
      </c>
      <c r="F406" s="18" t="s">
        <v>149</v>
      </c>
      <c r="G406" s="18">
        <v>46066</v>
      </c>
      <c r="H406" s="18">
        <v>46142</v>
      </c>
      <c r="I406" s="13" t="s">
        <v>23</v>
      </c>
      <c r="J406" s="13" t="s">
        <v>24</v>
      </c>
      <c r="K406" s="13" t="s">
        <v>25</v>
      </c>
      <c r="L406" s="13" t="s">
        <v>150</v>
      </c>
      <c r="M406" s="13" t="s">
        <v>1621</v>
      </c>
      <c r="N406" s="3">
        <v>941720233</v>
      </c>
      <c r="O406" s="13" t="s">
        <v>28</v>
      </c>
      <c r="P406" s="1" t="s">
        <v>5</v>
      </c>
      <c r="Q406" s="1" t="s">
        <v>39</v>
      </c>
      <c r="R406" s="1" t="s">
        <v>39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3">
        <f t="shared" si="96"/>
        <v>2</v>
      </c>
      <c r="AU406" s="3">
        <f t="shared" si="97"/>
        <v>0</v>
      </c>
      <c r="AV406" s="3">
        <f t="shared" si="98"/>
        <v>0</v>
      </c>
      <c r="AW406" s="3">
        <f t="shared" si="99"/>
        <v>0</v>
      </c>
      <c r="AX406" s="3">
        <f t="shared" si="100"/>
        <v>0</v>
      </c>
      <c r="AY406" s="3">
        <f t="shared" si="101"/>
        <v>1</v>
      </c>
      <c r="AZ406" s="3">
        <f t="shared" si="102"/>
        <v>0</v>
      </c>
      <c r="BA406" s="3">
        <f t="shared" si="103"/>
        <v>0</v>
      </c>
      <c r="BB406" s="3">
        <f t="shared" si="104"/>
        <v>0</v>
      </c>
      <c r="BC406" s="3">
        <f t="shared" si="105"/>
        <v>0</v>
      </c>
      <c r="BD406" s="3">
        <f t="shared" si="106"/>
        <v>0</v>
      </c>
      <c r="BE406" s="3">
        <f t="shared" si="107"/>
        <v>0</v>
      </c>
      <c r="BF406" s="3">
        <f t="shared" si="108"/>
        <v>0</v>
      </c>
      <c r="BG406" s="3">
        <f t="shared" si="109"/>
        <v>0</v>
      </c>
      <c r="BH406" s="3">
        <f t="shared" si="110"/>
        <v>0</v>
      </c>
      <c r="BI406" s="3">
        <f t="shared" si="111"/>
        <v>3</v>
      </c>
    </row>
    <row r="407" spans="1:61" x14ac:dyDescent="0.25">
      <c r="A407" s="29">
        <v>412</v>
      </c>
      <c r="B407" s="3" t="s">
        <v>1571</v>
      </c>
      <c r="C407" s="13" t="s">
        <v>1573</v>
      </c>
      <c r="D407" s="13" t="s">
        <v>907</v>
      </c>
      <c r="E407" s="13" t="s">
        <v>1572</v>
      </c>
      <c r="F407" s="22" t="s">
        <v>1570</v>
      </c>
      <c r="G407" s="25">
        <v>46069</v>
      </c>
      <c r="H407" s="25">
        <v>46142</v>
      </c>
      <c r="I407" s="22" t="s">
        <v>131</v>
      </c>
      <c r="J407" s="22" t="s">
        <v>1566</v>
      </c>
      <c r="K407" s="13" t="s">
        <v>84</v>
      </c>
      <c r="L407" s="13" t="s">
        <v>1459</v>
      </c>
      <c r="M407" s="13" t="s">
        <v>1</v>
      </c>
      <c r="N407" s="3"/>
      <c r="O407" s="3" t="s">
        <v>84</v>
      </c>
      <c r="P407" s="1" t="s">
        <v>39</v>
      </c>
      <c r="Q407" s="1" t="s">
        <v>39</v>
      </c>
      <c r="R407" s="1" t="s">
        <v>5</v>
      </c>
      <c r="S407" s="1" t="s">
        <v>5</v>
      </c>
      <c r="T407" s="1" t="s">
        <v>5</v>
      </c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3">
        <f t="shared" si="96"/>
        <v>2</v>
      </c>
      <c r="AU407" s="3">
        <f t="shared" si="97"/>
        <v>0</v>
      </c>
      <c r="AV407" s="3">
        <f t="shared" si="98"/>
        <v>0</v>
      </c>
      <c r="AW407" s="3">
        <f t="shared" si="99"/>
        <v>0</v>
      </c>
      <c r="AX407" s="3">
        <f t="shared" si="100"/>
        <v>0</v>
      </c>
      <c r="AY407" s="3">
        <f t="shared" si="101"/>
        <v>3</v>
      </c>
      <c r="AZ407" s="3">
        <f t="shared" si="102"/>
        <v>0</v>
      </c>
      <c r="BA407" s="3">
        <f t="shared" si="103"/>
        <v>0</v>
      </c>
      <c r="BB407" s="3">
        <f t="shared" si="104"/>
        <v>0</v>
      </c>
      <c r="BC407" s="3">
        <f t="shared" si="105"/>
        <v>0</v>
      </c>
      <c r="BD407" s="3">
        <f t="shared" si="106"/>
        <v>0</v>
      </c>
      <c r="BE407" s="3">
        <f t="shared" si="107"/>
        <v>0</v>
      </c>
      <c r="BF407" s="3">
        <f t="shared" si="108"/>
        <v>0</v>
      </c>
      <c r="BG407" s="3">
        <f t="shared" si="109"/>
        <v>0</v>
      </c>
      <c r="BH407" s="3">
        <f t="shared" si="110"/>
        <v>0</v>
      </c>
      <c r="BI407" s="3">
        <f t="shared" si="111"/>
        <v>5</v>
      </c>
    </row>
    <row r="408" spans="1:61" x14ac:dyDescent="0.25">
      <c r="A408" s="29">
        <v>413</v>
      </c>
      <c r="B408" s="3" t="s">
        <v>1591</v>
      </c>
      <c r="C408" s="3" t="s">
        <v>259</v>
      </c>
      <c r="D408" s="3" t="s">
        <v>1592</v>
      </c>
      <c r="E408" s="3" t="s">
        <v>1593</v>
      </c>
      <c r="F408" s="18" t="s">
        <v>1522</v>
      </c>
      <c r="G408" s="25">
        <v>46076</v>
      </c>
      <c r="H408" s="25">
        <v>46173</v>
      </c>
      <c r="I408" s="13" t="s">
        <v>23</v>
      </c>
      <c r="J408" s="13" t="s">
        <v>24</v>
      </c>
      <c r="K408" s="3" t="s">
        <v>25</v>
      </c>
      <c r="L408" s="3" t="s">
        <v>292</v>
      </c>
      <c r="M408" s="3" t="s">
        <v>1621</v>
      </c>
      <c r="N408" s="3">
        <v>941680268</v>
      </c>
      <c r="O408" s="3" t="s">
        <v>28</v>
      </c>
      <c r="P408" s="1" t="s">
        <v>5</v>
      </c>
      <c r="Q408" s="3" t="s">
        <v>1687</v>
      </c>
      <c r="R408" s="3" t="s">
        <v>39</v>
      </c>
      <c r="S408" s="3"/>
      <c r="T408" s="3"/>
      <c r="U408" s="3"/>
      <c r="V408" s="3"/>
      <c r="W408" s="3"/>
      <c r="X408" s="3"/>
      <c r="Y408" s="3"/>
      <c r="Z408" s="3"/>
      <c r="AA408" s="1"/>
      <c r="AB408" s="1"/>
      <c r="AC408" s="1"/>
      <c r="AD408" s="1"/>
      <c r="AE408" s="1"/>
      <c r="AF408" s="1"/>
      <c r="AG408" s="1"/>
      <c r="AH408" s="3"/>
      <c r="AI408" s="3"/>
      <c r="AJ408" s="3"/>
      <c r="AK408" s="3"/>
      <c r="AL408" s="3"/>
      <c r="AM408" s="3"/>
      <c r="AN408" s="3"/>
      <c r="AO408" s="1"/>
      <c r="AP408" s="1"/>
      <c r="AQ408" s="1"/>
      <c r="AR408" s="1"/>
      <c r="AS408" s="1"/>
      <c r="AT408" s="3">
        <f t="shared" si="96"/>
        <v>1</v>
      </c>
      <c r="AU408" s="3">
        <f t="shared" si="97"/>
        <v>0</v>
      </c>
      <c r="AV408" s="3">
        <f t="shared" si="98"/>
        <v>0</v>
      </c>
      <c r="AW408" s="3">
        <f t="shared" si="99"/>
        <v>0</v>
      </c>
      <c r="AX408" s="3">
        <f t="shared" si="100"/>
        <v>0</v>
      </c>
      <c r="AY408" s="3">
        <f t="shared" si="101"/>
        <v>1</v>
      </c>
      <c r="AZ408" s="3">
        <f t="shared" si="102"/>
        <v>0</v>
      </c>
      <c r="BA408" s="3">
        <f t="shared" si="103"/>
        <v>0</v>
      </c>
      <c r="BB408" s="3">
        <f t="shared" si="104"/>
        <v>1</v>
      </c>
      <c r="BC408" s="3">
        <f t="shared" si="105"/>
        <v>0</v>
      </c>
      <c r="BD408" s="3">
        <f t="shared" si="106"/>
        <v>0</v>
      </c>
      <c r="BE408" s="3">
        <f t="shared" si="107"/>
        <v>0</v>
      </c>
      <c r="BF408" s="3">
        <f t="shared" si="108"/>
        <v>0</v>
      </c>
      <c r="BG408" s="3">
        <f t="shared" si="109"/>
        <v>0</v>
      </c>
      <c r="BH408" s="3">
        <f t="shared" si="110"/>
        <v>0</v>
      </c>
      <c r="BI408" s="3">
        <f t="shared" si="111"/>
        <v>2</v>
      </c>
    </row>
    <row r="409" spans="1:61" x14ac:dyDescent="0.25">
      <c r="A409" s="29">
        <v>415</v>
      </c>
      <c r="B409" s="3" t="s">
        <v>1594</v>
      </c>
      <c r="C409" s="3" t="s">
        <v>1595</v>
      </c>
      <c r="D409" s="3" t="s">
        <v>259</v>
      </c>
      <c r="E409" s="3" t="s">
        <v>1596</v>
      </c>
      <c r="F409" s="18" t="s">
        <v>1522</v>
      </c>
      <c r="G409" s="25">
        <v>46076</v>
      </c>
      <c r="H409" s="25">
        <v>46173</v>
      </c>
      <c r="I409" s="13" t="s">
        <v>23</v>
      </c>
      <c r="J409" s="13" t="s">
        <v>24</v>
      </c>
      <c r="K409" s="3" t="s">
        <v>1604</v>
      </c>
      <c r="L409" s="3" t="s">
        <v>216</v>
      </c>
      <c r="M409" s="3" t="s">
        <v>1621</v>
      </c>
      <c r="N409" s="3">
        <v>992105166</v>
      </c>
      <c r="O409" s="3" t="s">
        <v>28</v>
      </c>
      <c r="P409" s="3" t="s">
        <v>39</v>
      </c>
      <c r="Q409" s="3" t="s">
        <v>5</v>
      </c>
      <c r="R409" s="3" t="s">
        <v>5</v>
      </c>
      <c r="S409" s="3" t="s">
        <v>5</v>
      </c>
      <c r="T409" s="3" t="s">
        <v>5</v>
      </c>
      <c r="U409" s="3" t="s">
        <v>5</v>
      </c>
      <c r="V409" s="3" t="s">
        <v>5</v>
      </c>
      <c r="W409" s="3" t="s">
        <v>5</v>
      </c>
      <c r="X409" s="1"/>
      <c r="Y409" s="1"/>
      <c r="Z409" s="1"/>
      <c r="AA409" s="3"/>
      <c r="AB409" s="3"/>
      <c r="AC409" s="3"/>
      <c r="AD409" s="3"/>
      <c r="AE409" s="3"/>
      <c r="AF409" s="3"/>
      <c r="AG409" s="3"/>
      <c r="AH409" s="1"/>
      <c r="AI409" s="1"/>
      <c r="AJ409" s="1"/>
      <c r="AK409" s="1"/>
      <c r="AL409" s="1"/>
      <c r="AM409" s="1"/>
      <c r="AN409" s="1"/>
      <c r="AO409" s="3"/>
      <c r="AP409" s="3"/>
      <c r="AQ409" s="1"/>
      <c r="AR409" s="3"/>
      <c r="AS409" s="1"/>
      <c r="AT409" s="3">
        <f t="shared" si="96"/>
        <v>1</v>
      </c>
      <c r="AU409" s="3">
        <f t="shared" si="97"/>
        <v>0</v>
      </c>
      <c r="AV409" s="3">
        <f t="shared" si="98"/>
        <v>0</v>
      </c>
      <c r="AW409" s="3">
        <f t="shared" si="99"/>
        <v>0</v>
      </c>
      <c r="AX409" s="3">
        <f t="shared" si="100"/>
        <v>0</v>
      </c>
      <c r="AY409" s="3">
        <f t="shared" si="101"/>
        <v>7</v>
      </c>
      <c r="AZ409" s="3">
        <f t="shared" si="102"/>
        <v>0</v>
      </c>
      <c r="BA409" s="3">
        <f t="shared" si="103"/>
        <v>0</v>
      </c>
      <c r="BB409" s="3">
        <f t="shared" si="104"/>
        <v>0</v>
      </c>
      <c r="BC409" s="3">
        <f t="shared" si="105"/>
        <v>0</v>
      </c>
      <c r="BD409" s="3">
        <f t="shared" si="106"/>
        <v>0</v>
      </c>
      <c r="BE409" s="3">
        <f t="shared" si="107"/>
        <v>0</v>
      </c>
      <c r="BF409" s="3">
        <f t="shared" si="108"/>
        <v>0</v>
      </c>
      <c r="BG409" s="3">
        <f t="shared" si="109"/>
        <v>0</v>
      </c>
      <c r="BH409" s="3">
        <f t="shared" si="110"/>
        <v>0</v>
      </c>
      <c r="BI409" s="3">
        <f t="shared" si="111"/>
        <v>8</v>
      </c>
    </row>
    <row r="410" spans="1:61" x14ac:dyDescent="0.25">
      <c r="A410" s="29">
        <v>414</v>
      </c>
      <c r="B410" s="3" t="s">
        <v>1599</v>
      </c>
      <c r="C410" s="3" t="s">
        <v>648</v>
      </c>
      <c r="D410" s="3" t="s">
        <v>721</v>
      </c>
      <c r="E410" s="3" t="s">
        <v>1600</v>
      </c>
      <c r="F410" s="18" t="s">
        <v>1522</v>
      </c>
      <c r="G410" s="25">
        <v>46076</v>
      </c>
      <c r="H410" s="25">
        <v>46173</v>
      </c>
      <c r="I410" s="13" t="s">
        <v>23</v>
      </c>
      <c r="J410" s="13" t="s">
        <v>24</v>
      </c>
      <c r="K410" s="13" t="s">
        <v>84</v>
      </c>
      <c r="L410" s="3" t="s">
        <v>292</v>
      </c>
      <c r="M410" s="3" t="s">
        <v>1621</v>
      </c>
      <c r="N410" s="3" t="s">
        <v>1654</v>
      </c>
      <c r="O410" s="3" t="s">
        <v>28</v>
      </c>
      <c r="P410" s="3" t="s">
        <v>39</v>
      </c>
      <c r="Q410" s="3" t="s">
        <v>39</v>
      </c>
      <c r="R410" s="1" t="s">
        <v>5</v>
      </c>
      <c r="S410" s="1" t="s">
        <v>5</v>
      </c>
      <c r="T410" s="1" t="s">
        <v>5</v>
      </c>
      <c r="U410" s="3"/>
      <c r="V410" s="1"/>
      <c r="W410" s="1"/>
      <c r="X410" s="3"/>
      <c r="Y410" s="3"/>
      <c r="Z410" s="3"/>
      <c r="AA410" s="3"/>
      <c r="AB410" s="3"/>
      <c r="AC410" s="3"/>
      <c r="AD410" s="1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1"/>
      <c r="AR410" s="1"/>
      <c r="AS410" s="3"/>
      <c r="AT410" s="3">
        <f t="shared" si="96"/>
        <v>2</v>
      </c>
      <c r="AU410" s="3">
        <f t="shared" si="97"/>
        <v>0</v>
      </c>
      <c r="AV410" s="3">
        <f t="shared" si="98"/>
        <v>0</v>
      </c>
      <c r="AW410" s="3">
        <f t="shared" si="99"/>
        <v>0</v>
      </c>
      <c r="AX410" s="3">
        <f t="shared" si="100"/>
        <v>0</v>
      </c>
      <c r="AY410" s="3">
        <f t="shared" si="101"/>
        <v>3</v>
      </c>
      <c r="AZ410" s="3">
        <f t="shared" si="102"/>
        <v>0</v>
      </c>
      <c r="BA410" s="3">
        <f t="shared" si="103"/>
        <v>0</v>
      </c>
      <c r="BB410" s="3">
        <f t="shared" si="104"/>
        <v>0</v>
      </c>
      <c r="BC410" s="3">
        <f t="shared" si="105"/>
        <v>0</v>
      </c>
      <c r="BD410" s="3">
        <f t="shared" si="106"/>
        <v>0</v>
      </c>
      <c r="BE410" s="3">
        <f t="shared" si="107"/>
        <v>0</v>
      </c>
      <c r="BF410" s="3">
        <f t="shared" si="108"/>
        <v>0</v>
      </c>
      <c r="BG410" s="3">
        <f t="shared" si="109"/>
        <v>0</v>
      </c>
      <c r="BH410" s="3">
        <f t="shared" si="110"/>
        <v>0</v>
      </c>
      <c r="BI410" s="3">
        <f t="shared" si="111"/>
        <v>5</v>
      </c>
    </row>
    <row r="411" spans="1:61" x14ac:dyDescent="0.25">
      <c r="A411" s="29">
        <v>416</v>
      </c>
      <c r="B411" s="3" t="s">
        <v>1597</v>
      </c>
      <c r="C411" s="3" t="s">
        <v>531</v>
      </c>
      <c r="D411" s="3" t="s">
        <v>291</v>
      </c>
      <c r="E411" s="3" t="s">
        <v>1598</v>
      </c>
      <c r="F411" s="18" t="s">
        <v>1522</v>
      </c>
      <c r="G411" s="25">
        <v>46076</v>
      </c>
      <c r="H411" s="25">
        <v>46173</v>
      </c>
      <c r="I411" s="13" t="s">
        <v>23</v>
      </c>
      <c r="J411" s="13" t="s">
        <v>24</v>
      </c>
      <c r="K411" s="3" t="s">
        <v>56</v>
      </c>
      <c r="L411" s="3" t="s">
        <v>292</v>
      </c>
      <c r="M411" s="3" t="s">
        <v>1621</v>
      </c>
      <c r="N411" s="3">
        <v>982257344</v>
      </c>
      <c r="O411" s="3" t="s">
        <v>28</v>
      </c>
      <c r="P411" s="1" t="s">
        <v>39</v>
      </c>
      <c r="Q411" s="3" t="s">
        <v>5</v>
      </c>
      <c r="R411" s="3" t="s">
        <v>5</v>
      </c>
      <c r="S411" s="3" t="s">
        <v>5</v>
      </c>
      <c r="T411" s="3" t="s">
        <v>5</v>
      </c>
      <c r="U411" s="3" t="s">
        <v>5</v>
      </c>
      <c r="V411" s="3" t="s">
        <v>5</v>
      </c>
      <c r="W411" s="3" t="s">
        <v>5</v>
      </c>
      <c r="X411" s="1"/>
      <c r="Y411" s="1"/>
      <c r="Z411" s="1"/>
      <c r="AA411" s="3"/>
      <c r="AB411" s="3"/>
      <c r="AC411" s="3"/>
      <c r="AD411" s="3"/>
      <c r="AE411" s="3"/>
      <c r="AF411" s="3"/>
      <c r="AG411" s="3"/>
      <c r="AH411" s="1"/>
      <c r="AI411" s="1"/>
      <c r="AJ411" s="1"/>
      <c r="AK411" s="1"/>
      <c r="AL411" s="1"/>
      <c r="AM411" s="1"/>
      <c r="AN411" s="1"/>
      <c r="AO411" s="3"/>
      <c r="AP411" s="3"/>
      <c r="AQ411" s="1"/>
      <c r="AR411" s="1"/>
      <c r="AS411" s="1"/>
      <c r="AT411" s="3">
        <f t="shared" si="96"/>
        <v>1</v>
      </c>
      <c r="AU411" s="3">
        <f t="shared" si="97"/>
        <v>0</v>
      </c>
      <c r="AV411" s="3">
        <f t="shared" si="98"/>
        <v>0</v>
      </c>
      <c r="AW411" s="3">
        <f t="shared" si="99"/>
        <v>0</v>
      </c>
      <c r="AX411" s="3">
        <f t="shared" si="100"/>
        <v>0</v>
      </c>
      <c r="AY411" s="3">
        <f t="shared" si="101"/>
        <v>7</v>
      </c>
      <c r="AZ411" s="3">
        <f t="shared" si="102"/>
        <v>0</v>
      </c>
      <c r="BA411" s="3">
        <f t="shared" si="103"/>
        <v>0</v>
      </c>
      <c r="BB411" s="3">
        <f t="shared" si="104"/>
        <v>0</v>
      </c>
      <c r="BC411" s="3">
        <f t="shared" si="105"/>
        <v>0</v>
      </c>
      <c r="BD411" s="3">
        <f t="shared" si="106"/>
        <v>0</v>
      </c>
      <c r="BE411" s="3">
        <f t="shared" si="107"/>
        <v>0</v>
      </c>
      <c r="BF411" s="3">
        <f t="shared" si="108"/>
        <v>0</v>
      </c>
      <c r="BG411" s="3">
        <f t="shared" si="109"/>
        <v>0</v>
      </c>
      <c r="BH411" s="3">
        <f t="shared" si="110"/>
        <v>0</v>
      </c>
      <c r="BI411" s="3">
        <f t="shared" si="111"/>
        <v>8</v>
      </c>
    </row>
    <row r="412" spans="1:61" x14ac:dyDescent="0.25">
      <c r="A412" s="29">
        <v>417</v>
      </c>
      <c r="B412" s="3" t="s">
        <v>1588</v>
      </c>
      <c r="C412" s="13" t="s">
        <v>427</v>
      </c>
      <c r="D412" s="13" t="s">
        <v>427</v>
      </c>
      <c r="E412" s="13" t="s">
        <v>1589</v>
      </c>
      <c r="F412" s="22" t="s">
        <v>1590</v>
      </c>
      <c r="G412" s="25">
        <v>46076</v>
      </c>
      <c r="H412" s="25" t="s">
        <v>35</v>
      </c>
      <c r="I412" s="13" t="s">
        <v>23</v>
      </c>
      <c r="J412" s="13" t="s">
        <v>24</v>
      </c>
      <c r="K412" s="13" t="s">
        <v>84</v>
      </c>
      <c r="L412" s="13" t="s">
        <v>1568</v>
      </c>
      <c r="M412" s="13" t="s">
        <v>1</v>
      </c>
      <c r="N412" s="3">
        <v>968784642</v>
      </c>
      <c r="O412" s="3" t="s">
        <v>84</v>
      </c>
      <c r="P412" s="1" t="s">
        <v>39</v>
      </c>
      <c r="Q412" s="3" t="s">
        <v>39</v>
      </c>
      <c r="R412" s="1" t="s">
        <v>5</v>
      </c>
      <c r="S412" s="1" t="s">
        <v>5</v>
      </c>
      <c r="T412" s="1" t="s">
        <v>5</v>
      </c>
      <c r="U412" s="3"/>
      <c r="V412" s="1"/>
      <c r="W412" s="1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1"/>
      <c r="AI412" s="3"/>
      <c r="AJ412" s="1"/>
      <c r="AK412" s="1"/>
      <c r="AM412" s="3"/>
      <c r="AN412" s="3"/>
      <c r="AO412" s="3"/>
      <c r="AP412" s="3"/>
      <c r="AQ412" s="1"/>
      <c r="AR412" s="1"/>
      <c r="AS412" s="3"/>
      <c r="AT412" s="3">
        <f t="shared" si="96"/>
        <v>2</v>
      </c>
      <c r="AU412" s="3">
        <f t="shared" si="97"/>
        <v>0</v>
      </c>
      <c r="AV412" s="3">
        <f t="shared" si="98"/>
        <v>0</v>
      </c>
      <c r="AW412" s="3">
        <f t="shared" si="99"/>
        <v>0</v>
      </c>
      <c r="AX412" s="3">
        <f t="shared" si="100"/>
        <v>0</v>
      </c>
      <c r="AY412" s="3">
        <f t="shared" si="101"/>
        <v>3</v>
      </c>
      <c r="AZ412" s="3">
        <f t="shared" si="102"/>
        <v>0</v>
      </c>
      <c r="BA412" s="3">
        <f t="shared" si="103"/>
        <v>0</v>
      </c>
      <c r="BB412" s="3">
        <f t="shared" si="104"/>
        <v>0</v>
      </c>
      <c r="BC412" s="3">
        <f t="shared" si="105"/>
        <v>0</v>
      </c>
      <c r="BD412" s="3">
        <f t="shared" si="106"/>
        <v>0</v>
      </c>
      <c r="BE412" s="3">
        <f t="shared" si="107"/>
        <v>0</v>
      </c>
      <c r="BF412" s="3">
        <f t="shared" si="108"/>
        <v>0</v>
      </c>
      <c r="BG412" s="3">
        <f t="shared" si="109"/>
        <v>0</v>
      </c>
      <c r="BH412" s="3">
        <f t="shared" si="110"/>
        <v>0</v>
      </c>
      <c r="BI412" s="3">
        <f t="shared" si="111"/>
        <v>5</v>
      </c>
    </row>
    <row r="413" spans="1:61" x14ac:dyDescent="0.25">
      <c r="A413" s="29">
        <v>418</v>
      </c>
      <c r="B413" s="3" t="s">
        <v>1601</v>
      </c>
      <c r="C413" s="3" t="s">
        <v>1602</v>
      </c>
      <c r="D413" s="3" t="s">
        <v>100</v>
      </c>
      <c r="E413" s="3" t="s">
        <v>1603</v>
      </c>
      <c r="F413" s="26" t="s">
        <v>73</v>
      </c>
      <c r="G413" s="27">
        <v>46077</v>
      </c>
      <c r="H413" s="27">
        <v>46173</v>
      </c>
      <c r="I413" s="26" t="s">
        <v>23</v>
      </c>
      <c r="J413" s="26" t="s">
        <v>24</v>
      </c>
      <c r="K413" s="3" t="s">
        <v>36</v>
      </c>
      <c r="L413" s="3" t="s">
        <v>292</v>
      </c>
      <c r="M413" s="3" t="s">
        <v>1621</v>
      </c>
      <c r="N413" s="3">
        <v>953436736</v>
      </c>
      <c r="O413" s="3" t="s">
        <v>28</v>
      </c>
      <c r="P413" s="1" t="s">
        <v>5</v>
      </c>
      <c r="Q413" s="3" t="s">
        <v>29</v>
      </c>
      <c r="R413" s="3"/>
      <c r="S413" s="3"/>
      <c r="T413" s="3"/>
      <c r="U413" s="3"/>
      <c r="V413" s="3"/>
      <c r="W413" s="3"/>
      <c r="X413" s="3"/>
      <c r="Y413" s="3"/>
      <c r="Z413" s="3"/>
      <c r="AA413" s="1"/>
      <c r="AB413" s="1"/>
      <c r="AC413" s="1"/>
      <c r="AD413" s="1"/>
      <c r="AE413" s="1"/>
      <c r="AF413" s="1"/>
      <c r="AG413" s="1"/>
      <c r="AH413" s="3"/>
      <c r="AI413" s="3"/>
      <c r="AJ413" s="3"/>
      <c r="AK413" s="3"/>
      <c r="AL413" s="3"/>
      <c r="AM413" s="3"/>
      <c r="AN413" s="3"/>
      <c r="AO413" s="1"/>
      <c r="AP413" s="1"/>
      <c r="AQ413" s="1"/>
      <c r="AR413" s="1"/>
      <c r="AS413" s="1"/>
      <c r="AT413" s="3">
        <f t="shared" si="96"/>
        <v>0</v>
      </c>
      <c r="AU413" s="3">
        <f t="shared" si="97"/>
        <v>1</v>
      </c>
      <c r="AV413" s="3">
        <f t="shared" si="98"/>
        <v>0</v>
      </c>
      <c r="AW413" s="3">
        <f t="shared" si="99"/>
        <v>0</v>
      </c>
      <c r="AX413" s="3">
        <f t="shared" si="100"/>
        <v>0</v>
      </c>
      <c r="AY413" s="3">
        <f t="shared" si="101"/>
        <v>1</v>
      </c>
      <c r="AZ413" s="3">
        <f t="shared" si="102"/>
        <v>0</v>
      </c>
      <c r="BA413" s="3">
        <f t="shared" si="103"/>
        <v>0</v>
      </c>
      <c r="BB413" s="3">
        <f t="shared" si="104"/>
        <v>0</v>
      </c>
      <c r="BC413" s="3">
        <f t="shared" si="105"/>
        <v>0</v>
      </c>
      <c r="BD413" s="3">
        <f t="shared" si="106"/>
        <v>0</v>
      </c>
      <c r="BE413" s="3">
        <f t="shared" si="107"/>
        <v>0</v>
      </c>
      <c r="BF413" s="3">
        <f t="shared" si="108"/>
        <v>0</v>
      </c>
      <c r="BG413" s="3">
        <f t="shared" si="109"/>
        <v>0</v>
      </c>
      <c r="BH413" s="3">
        <f t="shared" si="110"/>
        <v>0</v>
      </c>
      <c r="BI413" s="3">
        <f t="shared" si="111"/>
        <v>2</v>
      </c>
    </row>
    <row r="414" spans="1:61" x14ac:dyDescent="0.25">
      <c r="A414" s="29">
        <v>419</v>
      </c>
      <c r="B414" s="3" t="s">
        <v>1605</v>
      </c>
      <c r="C414" s="3" t="s">
        <v>1610</v>
      </c>
      <c r="D414" s="3" t="s">
        <v>110</v>
      </c>
      <c r="E414" s="3" t="s">
        <v>1611</v>
      </c>
      <c r="F414" s="26" t="s">
        <v>1616</v>
      </c>
      <c r="G414" s="27">
        <v>46083</v>
      </c>
      <c r="H414" s="27">
        <v>46173</v>
      </c>
      <c r="I414" s="13" t="s">
        <v>23</v>
      </c>
      <c r="J414" s="13" t="s">
        <v>24</v>
      </c>
      <c r="K414" s="3" t="s">
        <v>405</v>
      </c>
      <c r="L414" s="3" t="s">
        <v>1459</v>
      </c>
      <c r="M414" s="3" t="s">
        <v>1</v>
      </c>
      <c r="N414" s="3">
        <v>958447529</v>
      </c>
      <c r="O414" s="3" t="s">
        <v>28</v>
      </c>
      <c r="P414" s="1" t="s">
        <v>5</v>
      </c>
      <c r="Q414" s="3" t="s">
        <v>39</v>
      </c>
      <c r="R414" s="3" t="s">
        <v>39</v>
      </c>
      <c r="S414" s="3"/>
      <c r="T414" s="3"/>
      <c r="U414" s="3"/>
      <c r="V414" s="1"/>
      <c r="W414" s="1"/>
      <c r="X414" s="3"/>
      <c r="Y414" s="3"/>
      <c r="Z414" s="3"/>
      <c r="AA414" s="3"/>
      <c r="AB414" s="3"/>
      <c r="AC414" s="1"/>
      <c r="AD414" s="1"/>
      <c r="AE414" s="1"/>
      <c r="AF414" s="1"/>
      <c r="AG414" s="3"/>
      <c r="AH414" s="3"/>
      <c r="AI414" s="3"/>
      <c r="AJ414" s="3"/>
      <c r="AK414" s="3"/>
      <c r="AL414" s="3"/>
      <c r="AM414" s="3"/>
      <c r="AN414" s="3"/>
      <c r="AO414" s="1"/>
      <c r="AP414" s="1"/>
      <c r="AQ414" s="1"/>
      <c r="AR414" s="1"/>
      <c r="AS414" s="1"/>
      <c r="AT414" s="3">
        <f t="shared" si="96"/>
        <v>2</v>
      </c>
      <c r="AU414" s="3">
        <f t="shared" si="97"/>
        <v>0</v>
      </c>
      <c r="AV414" s="3">
        <f t="shared" si="98"/>
        <v>0</v>
      </c>
      <c r="AW414" s="3">
        <f t="shared" si="99"/>
        <v>0</v>
      </c>
      <c r="AX414" s="3">
        <f t="shared" si="100"/>
        <v>0</v>
      </c>
      <c r="AY414" s="3">
        <f t="shared" si="101"/>
        <v>1</v>
      </c>
      <c r="AZ414" s="3">
        <f t="shared" si="102"/>
        <v>0</v>
      </c>
      <c r="BA414" s="3">
        <f t="shared" si="103"/>
        <v>0</v>
      </c>
      <c r="BB414" s="3">
        <f t="shared" si="104"/>
        <v>0</v>
      </c>
      <c r="BC414" s="3">
        <f t="shared" si="105"/>
        <v>0</v>
      </c>
      <c r="BD414" s="3">
        <f t="shared" si="106"/>
        <v>0</v>
      </c>
      <c r="BE414" s="3">
        <f t="shared" si="107"/>
        <v>0</v>
      </c>
      <c r="BF414" s="3">
        <f t="shared" si="108"/>
        <v>0</v>
      </c>
      <c r="BG414" s="3">
        <f t="shared" si="109"/>
        <v>0</v>
      </c>
      <c r="BH414" s="3">
        <f t="shared" si="110"/>
        <v>0</v>
      </c>
      <c r="BI414" s="3">
        <f t="shared" si="111"/>
        <v>3</v>
      </c>
    </row>
    <row r="415" spans="1:61" x14ac:dyDescent="0.25">
      <c r="A415" s="29">
        <v>422</v>
      </c>
      <c r="B415" s="3" t="s">
        <v>1609</v>
      </c>
      <c r="C415" s="3" t="s">
        <v>218</v>
      </c>
      <c r="D415" s="3" t="s">
        <v>203</v>
      </c>
      <c r="E415" s="3" t="s">
        <v>1615</v>
      </c>
      <c r="F415" s="18" t="s">
        <v>1522</v>
      </c>
      <c r="G415" s="27">
        <v>46084</v>
      </c>
      <c r="H415" s="27">
        <v>46173</v>
      </c>
      <c r="I415" s="13" t="s">
        <v>23</v>
      </c>
      <c r="J415" s="13" t="s">
        <v>24</v>
      </c>
      <c r="K415" s="3" t="s">
        <v>36</v>
      </c>
      <c r="L415" s="3" t="s">
        <v>292</v>
      </c>
      <c r="M415" s="3" t="s">
        <v>1621</v>
      </c>
      <c r="N415" s="3">
        <v>989236636</v>
      </c>
      <c r="O415" s="3" t="s">
        <v>28</v>
      </c>
      <c r="P415" s="1" t="s">
        <v>5</v>
      </c>
      <c r="Q415" s="3" t="s">
        <v>29</v>
      </c>
      <c r="R415" s="3"/>
      <c r="S415" s="3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3"/>
      <c r="AG415" s="3"/>
      <c r="AH415" s="3"/>
      <c r="AI415" s="3"/>
      <c r="AJ415" s="13"/>
      <c r="AK415" s="13"/>
      <c r="AL415" s="13"/>
      <c r="AM415" s="3"/>
      <c r="AN415" s="3"/>
      <c r="AO415" s="1"/>
      <c r="AP415" s="1"/>
      <c r="AQ415" s="1"/>
      <c r="AR415" s="1"/>
      <c r="AS415" s="1"/>
      <c r="AT415" s="3">
        <f t="shared" si="96"/>
        <v>0</v>
      </c>
      <c r="AU415" s="3">
        <f t="shared" si="97"/>
        <v>1</v>
      </c>
      <c r="AV415" s="3">
        <f t="shared" si="98"/>
        <v>0</v>
      </c>
      <c r="AW415" s="3">
        <f t="shared" si="99"/>
        <v>0</v>
      </c>
      <c r="AX415" s="3">
        <f t="shared" si="100"/>
        <v>0</v>
      </c>
      <c r="AY415" s="3">
        <f t="shared" si="101"/>
        <v>1</v>
      </c>
      <c r="AZ415" s="3">
        <f t="shared" si="102"/>
        <v>0</v>
      </c>
      <c r="BA415" s="3">
        <f t="shared" si="103"/>
        <v>0</v>
      </c>
      <c r="BB415" s="3">
        <f t="shared" si="104"/>
        <v>0</v>
      </c>
      <c r="BC415" s="3">
        <f t="shared" si="105"/>
        <v>0</v>
      </c>
      <c r="BD415" s="3">
        <f t="shared" si="106"/>
        <v>0</v>
      </c>
      <c r="BE415" s="3">
        <f t="shared" si="107"/>
        <v>0</v>
      </c>
      <c r="BF415" s="3">
        <f t="shared" si="108"/>
        <v>0</v>
      </c>
      <c r="BG415" s="3">
        <f t="shared" si="109"/>
        <v>0</v>
      </c>
      <c r="BH415" s="3">
        <f t="shared" si="110"/>
        <v>0</v>
      </c>
      <c r="BI415" s="3">
        <f t="shared" si="111"/>
        <v>2</v>
      </c>
    </row>
    <row r="416" spans="1:61" x14ac:dyDescent="0.25">
      <c r="A416" s="29">
        <v>420</v>
      </c>
      <c r="B416" s="3" t="s">
        <v>1606</v>
      </c>
      <c r="C416" s="3" t="s">
        <v>1612</v>
      </c>
      <c r="D416" s="3" t="s">
        <v>1460</v>
      </c>
      <c r="E416" s="3" t="s">
        <v>1613</v>
      </c>
      <c r="F416" s="26" t="s">
        <v>1617</v>
      </c>
      <c r="G416" s="27">
        <v>46084</v>
      </c>
      <c r="H416" s="27">
        <v>46173</v>
      </c>
      <c r="I416" s="13" t="s">
        <v>23</v>
      </c>
      <c r="J416" s="13" t="s">
        <v>24</v>
      </c>
      <c r="K416" s="13" t="s">
        <v>84</v>
      </c>
      <c r="L416" s="3" t="s">
        <v>1517</v>
      </c>
      <c r="M416" s="3" t="s">
        <v>1621</v>
      </c>
      <c r="N416" s="3">
        <v>944874005</v>
      </c>
      <c r="O416" s="3" t="s">
        <v>84</v>
      </c>
      <c r="P416" s="3" t="s">
        <v>39</v>
      </c>
      <c r="Q416" s="3" t="s">
        <v>39</v>
      </c>
      <c r="R416" s="1" t="s">
        <v>5</v>
      </c>
      <c r="S416" s="1" t="s">
        <v>5</v>
      </c>
      <c r="T416" s="1" t="s">
        <v>5</v>
      </c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1"/>
      <c r="AI416" s="3"/>
      <c r="AJ416" s="1"/>
      <c r="AK416" s="1"/>
      <c r="AL416" s="3"/>
      <c r="AM416" s="3"/>
      <c r="AN416" s="3"/>
      <c r="AO416" s="3"/>
      <c r="AP416" s="3"/>
      <c r="AQ416" s="1"/>
      <c r="AR416" s="1"/>
      <c r="AS416" s="3"/>
      <c r="AT416" s="3">
        <f t="shared" si="96"/>
        <v>2</v>
      </c>
      <c r="AU416" s="3">
        <f t="shared" si="97"/>
        <v>0</v>
      </c>
      <c r="AV416" s="3">
        <f t="shared" si="98"/>
        <v>0</v>
      </c>
      <c r="AW416" s="3">
        <f t="shared" si="99"/>
        <v>0</v>
      </c>
      <c r="AX416" s="3">
        <f t="shared" si="100"/>
        <v>0</v>
      </c>
      <c r="AY416" s="3">
        <f t="shared" si="101"/>
        <v>3</v>
      </c>
      <c r="AZ416" s="3">
        <f t="shared" si="102"/>
        <v>0</v>
      </c>
      <c r="BA416" s="3">
        <f t="shared" si="103"/>
        <v>0</v>
      </c>
      <c r="BB416" s="3">
        <f t="shared" si="104"/>
        <v>0</v>
      </c>
      <c r="BC416" s="3">
        <f t="shared" si="105"/>
        <v>0</v>
      </c>
      <c r="BD416" s="3">
        <f t="shared" si="106"/>
        <v>0</v>
      </c>
      <c r="BE416" s="3">
        <f t="shared" si="107"/>
        <v>0</v>
      </c>
      <c r="BF416" s="3">
        <f t="shared" si="108"/>
        <v>0</v>
      </c>
      <c r="BG416" s="3">
        <f t="shared" si="109"/>
        <v>0</v>
      </c>
      <c r="BH416" s="3">
        <f t="shared" si="110"/>
        <v>0</v>
      </c>
      <c r="BI416" s="3">
        <f t="shared" si="111"/>
        <v>5</v>
      </c>
    </row>
    <row r="417" spans="1:61" x14ac:dyDescent="0.25">
      <c r="A417" s="29">
        <v>421</v>
      </c>
      <c r="B417" s="3" t="s">
        <v>1608</v>
      </c>
      <c r="C417" s="3" t="s">
        <v>653</v>
      </c>
      <c r="D417" s="3" t="s">
        <v>473</v>
      </c>
      <c r="E417" s="3" t="s">
        <v>1614</v>
      </c>
      <c r="F417" s="26" t="s">
        <v>1619</v>
      </c>
      <c r="G417" s="27">
        <v>46084</v>
      </c>
      <c r="H417" s="27">
        <v>46173</v>
      </c>
      <c r="I417" s="13" t="s">
        <v>23</v>
      </c>
      <c r="J417" s="13" t="s">
        <v>24</v>
      </c>
      <c r="K417" s="13" t="s">
        <v>84</v>
      </c>
      <c r="L417" s="3" t="s">
        <v>372</v>
      </c>
      <c r="M417" s="3" t="s">
        <v>1</v>
      </c>
      <c r="N417" s="3">
        <v>987281252</v>
      </c>
      <c r="O417" s="3" t="s">
        <v>84</v>
      </c>
      <c r="P417" s="3" t="s">
        <v>510</v>
      </c>
      <c r="Q417" s="3" t="s">
        <v>39</v>
      </c>
      <c r="R417" s="1" t="s">
        <v>5</v>
      </c>
      <c r="S417" s="1" t="s">
        <v>5</v>
      </c>
      <c r="T417" s="1" t="s">
        <v>5</v>
      </c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1"/>
      <c r="AI417" s="3"/>
      <c r="AJ417" s="14"/>
      <c r="AK417" s="14"/>
      <c r="AL417" s="13"/>
      <c r="AM417" s="3"/>
      <c r="AN417" s="3"/>
      <c r="AO417" s="3"/>
      <c r="AP417" s="3"/>
      <c r="AQ417" s="1"/>
      <c r="AR417" s="1"/>
      <c r="AS417" s="3"/>
      <c r="AT417" s="3">
        <f t="shared" si="96"/>
        <v>1</v>
      </c>
      <c r="AU417" s="3">
        <f t="shared" si="97"/>
        <v>0</v>
      </c>
      <c r="AV417" s="3">
        <f t="shared" si="98"/>
        <v>0</v>
      </c>
      <c r="AW417" s="3">
        <f t="shared" si="99"/>
        <v>1</v>
      </c>
      <c r="AX417" s="3">
        <f t="shared" si="100"/>
        <v>0</v>
      </c>
      <c r="AY417" s="3">
        <f t="shared" si="101"/>
        <v>3</v>
      </c>
      <c r="AZ417" s="3">
        <f t="shared" si="102"/>
        <v>0</v>
      </c>
      <c r="BA417" s="3">
        <f t="shared" si="103"/>
        <v>0</v>
      </c>
      <c r="BB417" s="3">
        <f t="shared" si="104"/>
        <v>0</v>
      </c>
      <c r="BC417" s="3">
        <f t="shared" si="105"/>
        <v>0</v>
      </c>
      <c r="BD417" s="3">
        <f t="shared" si="106"/>
        <v>0</v>
      </c>
      <c r="BE417" s="3">
        <f t="shared" si="107"/>
        <v>0</v>
      </c>
      <c r="BF417" s="3">
        <f t="shared" si="108"/>
        <v>0</v>
      </c>
      <c r="BG417" s="3">
        <f t="shared" si="109"/>
        <v>0</v>
      </c>
      <c r="BH417" s="3">
        <f t="shared" si="110"/>
        <v>0</v>
      </c>
      <c r="BI417" s="3">
        <f t="shared" si="111"/>
        <v>5</v>
      </c>
    </row>
    <row r="418" spans="1:61" x14ac:dyDescent="0.25">
      <c r="A418" s="29">
        <v>423</v>
      </c>
      <c r="B418" s="3" t="s">
        <v>1607</v>
      </c>
      <c r="C418" s="3" t="s">
        <v>734</v>
      </c>
      <c r="D418" s="3" t="s">
        <v>129</v>
      </c>
      <c r="E418" s="3" t="s">
        <v>1339</v>
      </c>
      <c r="F418" s="26" t="s">
        <v>1618</v>
      </c>
      <c r="G418" s="27">
        <v>46084</v>
      </c>
      <c r="H418" s="27">
        <v>46173</v>
      </c>
      <c r="I418" s="13" t="s">
        <v>23</v>
      </c>
      <c r="J418" s="13" t="s">
        <v>24</v>
      </c>
      <c r="K418" s="3" t="s">
        <v>405</v>
      </c>
      <c r="L418" s="3" t="s">
        <v>68</v>
      </c>
      <c r="M418" s="3" t="s">
        <v>1621</v>
      </c>
      <c r="N418" s="3">
        <v>991212703</v>
      </c>
      <c r="O418" s="3" t="s">
        <v>28</v>
      </c>
      <c r="P418" s="1" t="s">
        <v>5</v>
      </c>
      <c r="Q418" s="3" t="s">
        <v>39</v>
      </c>
      <c r="R418" s="3" t="s">
        <v>39</v>
      </c>
      <c r="S418" s="3"/>
      <c r="T418" s="1"/>
      <c r="U418" s="1"/>
      <c r="V418" s="3"/>
      <c r="W418" s="3"/>
      <c r="X418" s="3"/>
      <c r="Y418" s="3"/>
      <c r="Z418" s="3"/>
      <c r="AA418" s="1"/>
      <c r="AB418" s="1"/>
      <c r="AC418" s="1"/>
      <c r="AD418" s="1"/>
      <c r="AE418" s="1"/>
      <c r="AF418" s="1"/>
      <c r="AG418" s="1"/>
      <c r="AH418" s="3"/>
      <c r="AI418" s="3"/>
      <c r="AJ418" s="13"/>
      <c r="AK418" s="13"/>
      <c r="AL418" s="13"/>
      <c r="AM418" s="3"/>
      <c r="AN418" s="3"/>
      <c r="AO418" s="1"/>
      <c r="AP418" s="1"/>
      <c r="AQ418" s="1"/>
      <c r="AR418" s="1"/>
      <c r="AS418" s="1"/>
      <c r="AT418" s="3">
        <f t="shared" si="96"/>
        <v>2</v>
      </c>
      <c r="AU418" s="3">
        <f t="shared" si="97"/>
        <v>0</v>
      </c>
      <c r="AV418" s="3">
        <f t="shared" si="98"/>
        <v>0</v>
      </c>
      <c r="AW418" s="3">
        <f t="shared" si="99"/>
        <v>0</v>
      </c>
      <c r="AX418" s="3">
        <f t="shared" si="100"/>
        <v>0</v>
      </c>
      <c r="AY418" s="3">
        <f t="shared" si="101"/>
        <v>1</v>
      </c>
      <c r="AZ418" s="3">
        <f t="shared" si="102"/>
        <v>0</v>
      </c>
      <c r="BA418" s="3">
        <f t="shared" si="103"/>
        <v>0</v>
      </c>
      <c r="BB418" s="3">
        <f t="shared" si="104"/>
        <v>0</v>
      </c>
      <c r="BC418" s="3">
        <f t="shared" si="105"/>
        <v>0</v>
      </c>
      <c r="BD418" s="3">
        <f t="shared" si="106"/>
        <v>0</v>
      </c>
      <c r="BE418" s="3">
        <f t="shared" si="107"/>
        <v>0</v>
      </c>
      <c r="BF418" s="3">
        <f t="shared" si="108"/>
        <v>0</v>
      </c>
      <c r="BG418" s="3">
        <f t="shared" si="109"/>
        <v>0</v>
      </c>
      <c r="BH418" s="3">
        <f t="shared" si="110"/>
        <v>0</v>
      </c>
      <c r="BI418" s="3">
        <f t="shared" si="111"/>
        <v>3</v>
      </c>
    </row>
    <row r="419" spans="1:61" x14ac:dyDescent="0.25">
      <c r="A419" s="29">
        <v>426</v>
      </c>
      <c r="B419" s="3" t="s">
        <v>1625</v>
      </c>
      <c r="C419" s="13" t="s">
        <v>245</v>
      </c>
      <c r="D419" s="13" t="s">
        <v>31</v>
      </c>
      <c r="E419" s="13" t="s">
        <v>154</v>
      </c>
      <c r="F419" s="22" t="s">
        <v>34</v>
      </c>
      <c r="G419" s="27">
        <v>46085</v>
      </c>
      <c r="H419" s="27">
        <v>46173</v>
      </c>
      <c r="I419" s="13" t="s">
        <v>23</v>
      </c>
      <c r="J419" s="13" t="s">
        <v>24</v>
      </c>
      <c r="K419" s="13" t="s">
        <v>36</v>
      </c>
      <c r="L419" s="3" t="s">
        <v>292</v>
      </c>
      <c r="M419" s="3" t="s">
        <v>1621</v>
      </c>
      <c r="N419" s="3">
        <v>936802156</v>
      </c>
      <c r="O419" s="3" t="s">
        <v>28</v>
      </c>
      <c r="P419" s="1" t="s">
        <v>5</v>
      </c>
      <c r="Q419" s="3" t="s">
        <v>29</v>
      </c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1"/>
      <c r="AC419" s="1"/>
      <c r="AD419" s="1"/>
      <c r="AE419" s="1"/>
      <c r="AF419" s="3"/>
      <c r="AG419" s="3"/>
      <c r="AH419" s="3"/>
      <c r="AI419" s="3"/>
      <c r="AJ419" s="13"/>
      <c r="AK419" s="13"/>
      <c r="AL419" s="13"/>
      <c r="AM419" s="3"/>
      <c r="AN419" s="3"/>
      <c r="AO419" s="1"/>
      <c r="AP419" s="1"/>
      <c r="AQ419" s="1"/>
      <c r="AR419" s="1"/>
      <c r="AS419" s="1"/>
      <c r="AT419" s="3">
        <f t="shared" si="96"/>
        <v>0</v>
      </c>
      <c r="AU419" s="3">
        <f t="shared" si="97"/>
        <v>1</v>
      </c>
      <c r="AV419" s="3">
        <f t="shared" si="98"/>
        <v>0</v>
      </c>
      <c r="AW419" s="3">
        <f t="shared" si="99"/>
        <v>0</v>
      </c>
      <c r="AX419" s="3">
        <f t="shared" si="100"/>
        <v>0</v>
      </c>
      <c r="AY419" s="3">
        <f t="shared" si="101"/>
        <v>1</v>
      </c>
      <c r="AZ419" s="3">
        <f t="shared" si="102"/>
        <v>0</v>
      </c>
      <c r="BA419" s="3">
        <f t="shared" si="103"/>
        <v>0</v>
      </c>
      <c r="BB419" s="3">
        <f t="shared" si="104"/>
        <v>0</v>
      </c>
      <c r="BC419" s="3">
        <f t="shared" si="105"/>
        <v>0</v>
      </c>
      <c r="BD419" s="3">
        <f t="shared" si="106"/>
        <v>0</v>
      </c>
      <c r="BE419" s="3">
        <f t="shared" si="107"/>
        <v>0</v>
      </c>
      <c r="BF419" s="3">
        <f t="shared" si="108"/>
        <v>0</v>
      </c>
      <c r="BG419" s="3">
        <f t="shared" si="109"/>
        <v>0</v>
      </c>
      <c r="BH419" s="3">
        <f t="shared" si="110"/>
        <v>0</v>
      </c>
      <c r="BI419" s="3">
        <f t="shared" si="111"/>
        <v>2</v>
      </c>
    </row>
    <row r="420" spans="1:61" x14ac:dyDescent="0.25">
      <c r="A420" s="29">
        <v>425</v>
      </c>
      <c r="B420" s="3" t="s">
        <v>1622</v>
      </c>
      <c r="C420" s="3" t="s">
        <v>821</v>
      </c>
      <c r="D420" s="3" t="s">
        <v>1626</v>
      </c>
      <c r="E420" s="3" t="s">
        <v>1627</v>
      </c>
      <c r="F420" s="26" t="s">
        <v>1523</v>
      </c>
      <c r="G420" s="27">
        <v>46085</v>
      </c>
      <c r="H420" s="27">
        <v>46173</v>
      </c>
      <c r="I420" s="13" t="s">
        <v>23</v>
      </c>
      <c r="J420" s="13" t="s">
        <v>24</v>
      </c>
      <c r="K420" s="3" t="s">
        <v>25</v>
      </c>
      <c r="L420" s="3" t="s">
        <v>292</v>
      </c>
      <c r="M420" s="3" t="s">
        <v>1621</v>
      </c>
      <c r="N420" s="3">
        <v>968495712</v>
      </c>
      <c r="O420" s="3" t="s">
        <v>28</v>
      </c>
      <c r="P420" s="1" t="s">
        <v>5</v>
      </c>
      <c r="Q420" s="3" t="s">
        <v>39</v>
      </c>
      <c r="R420" s="3" t="s">
        <v>39</v>
      </c>
      <c r="S420" s="3"/>
      <c r="T420" s="3"/>
      <c r="U420" s="3"/>
      <c r="V420" s="3"/>
      <c r="W420" s="3"/>
      <c r="X420" s="3"/>
      <c r="Y420" s="3"/>
      <c r="Z420" s="3"/>
      <c r="AA420" s="3"/>
      <c r="AB420" s="1"/>
      <c r="AC420" s="1"/>
      <c r="AD420" s="1"/>
      <c r="AE420" s="1"/>
      <c r="AF420" s="3"/>
      <c r="AG420" s="3"/>
      <c r="AH420" s="3"/>
      <c r="AI420" s="3"/>
      <c r="AJ420" s="13"/>
      <c r="AK420" s="13"/>
      <c r="AL420" s="13"/>
      <c r="AM420" s="3"/>
      <c r="AN420" s="3"/>
      <c r="AO420" s="1"/>
      <c r="AP420" s="1"/>
      <c r="AQ420" s="1"/>
      <c r="AR420" s="1"/>
      <c r="AS420" s="1"/>
      <c r="AT420" s="3">
        <f t="shared" si="96"/>
        <v>2</v>
      </c>
      <c r="AU420" s="3">
        <f t="shared" si="97"/>
        <v>0</v>
      </c>
      <c r="AV420" s="3">
        <f t="shared" si="98"/>
        <v>0</v>
      </c>
      <c r="AW420" s="3">
        <f t="shared" si="99"/>
        <v>0</v>
      </c>
      <c r="AX420" s="3">
        <f t="shared" si="100"/>
        <v>0</v>
      </c>
      <c r="AY420" s="3">
        <f t="shared" si="101"/>
        <v>1</v>
      </c>
      <c r="AZ420" s="3">
        <f t="shared" si="102"/>
        <v>0</v>
      </c>
      <c r="BA420" s="3">
        <f t="shared" si="103"/>
        <v>0</v>
      </c>
      <c r="BB420" s="3">
        <f t="shared" si="104"/>
        <v>0</v>
      </c>
      <c r="BC420" s="3">
        <f t="shared" si="105"/>
        <v>0</v>
      </c>
      <c r="BD420" s="3">
        <f t="shared" si="106"/>
        <v>0</v>
      </c>
      <c r="BE420" s="3">
        <f t="shared" si="107"/>
        <v>0</v>
      </c>
      <c r="BF420" s="3">
        <f t="shared" si="108"/>
        <v>0</v>
      </c>
      <c r="BG420" s="3">
        <f t="shared" si="109"/>
        <v>0</v>
      </c>
      <c r="BH420" s="3">
        <f t="shared" si="110"/>
        <v>0</v>
      </c>
      <c r="BI420" s="3">
        <f t="shared" si="111"/>
        <v>3</v>
      </c>
    </row>
    <row r="421" spans="1:61" x14ac:dyDescent="0.25">
      <c r="A421" s="29">
        <v>427</v>
      </c>
      <c r="B421" s="3" t="s">
        <v>1623</v>
      </c>
      <c r="C421" s="3" t="s">
        <v>717</v>
      </c>
      <c r="D421" s="3" t="s">
        <v>525</v>
      </c>
      <c r="E421" s="3" t="s">
        <v>1628</v>
      </c>
      <c r="F421" s="26" t="s">
        <v>1630</v>
      </c>
      <c r="G421" s="27">
        <v>46085</v>
      </c>
      <c r="H421" s="27">
        <v>46173</v>
      </c>
      <c r="I421" s="13" t="s">
        <v>23</v>
      </c>
      <c r="J421" s="13" t="s">
        <v>24</v>
      </c>
      <c r="K421" s="13" t="s">
        <v>377</v>
      </c>
      <c r="L421" s="3" t="s">
        <v>372</v>
      </c>
      <c r="M421" s="3" t="s">
        <v>1621</v>
      </c>
      <c r="N421" s="30"/>
      <c r="O421" s="30" t="s">
        <v>28</v>
      </c>
      <c r="P421" s="30" t="s">
        <v>92</v>
      </c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1"/>
      <c r="AI421" s="30"/>
      <c r="AJ421" s="31"/>
      <c r="AK421" s="31"/>
      <c r="AL421" s="30"/>
      <c r="AM421" s="30"/>
      <c r="AN421" s="30"/>
      <c r="AO421" s="30"/>
      <c r="AP421" s="30"/>
      <c r="AQ421" s="1"/>
      <c r="AR421" s="1"/>
      <c r="AS421" s="30"/>
      <c r="AT421" s="30">
        <f t="shared" si="96"/>
        <v>0</v>
      </c>
      <c r="AU421" s="30">
        <f t="shared" si="97"/>
        <v>0</v>
      </c>
      <c r="AV421" s="30">
        <f t="shared" si="98"/>
        <v>0</v>
      </c>
      <c r="AW421" s="30">
        <f t="shared" si="99"/>
        <v>0</v>
      </c>
      <c r="AX421" s="30">
        <f t="shared" si="100"/>
        <v>0</v>
      </c>
      <c r="AY421" s="30">
        <f t="shared" si="101"/>
        <v>0</v>
      </c>
      <c r="AZ421" s="30">
        <f t="shared" si="102"/>
        <v>0</v>
      </c>
      <c r="BA421" s="30">
        <f t="shared" si="103"/>
        <v>1</v>
      </c>
      <c r="BB421" s="30">
        <f t="shared" si="104"/>
        <v>0</v>
      </c>
      <c r="BC421" s="30">
        <f t="shared" si="105"/>
        <v>0</v>
      </c>
      <c r="BD421" s="30">
        <f t="shared" si="106"/>
        <v>0</v>
      </c>
      <c r="BE421" s="30">
        <f t="shared" si="107"/>
        <v>0</v>
      </c>
      <c r="BF421" s="30">
        <f t="shared" si="108"/>
        <v>0</v>
      </c>
      <c r="BG421" s="30">
        <f t="shared" si="109"/>
        <v>0</v>
      </c>
      <c r="BH421" s="30">
        <f t="shared" si="110"/>
        <v>0</v>
      </c>
      <c r="BI421" s="30">
        <f t="shared" si="111"/>
        <v>0</v>
      </c>
    </row>
    <row r="422" spans="1:61" x14ac:dyDescent="0.25">
      <c r="A422" s="29">
        <v>428</v>
      </c>
      <c r="B422" s="3" t="s">
        <v>1624</v>
      </c>
      <c r="C422" s="3" t="s">
        <v>129</v>
      </c>
      <c r="D422" s="3" t="s">
        <v>291</v>
      </c>
      <c r="E422" s="3" t="s">
        <v>1629</v>
      </c>
      <c r="F422" s="26" t="s">
        <v>1631</v>
      </c>
      <c r="G422" s="27">
        <v>46085</v>
      </c>
      <c r="H422" s="27">
        <v>46173</v>
      </c>
      <c r="I422" s="13" t="s">
        <v>23</v>
      </c>
      <c r="J422" s="13" t="s">
        <v>24</v>
      </c>
      <c r="K422" s="3" t="s">
        <v>43</v>
      </c>
      <c r="L422" s="13" t="s">
        <v>216</v>
      </c>
      <c r="M422" s="3" t="s">
        <v>1621</v>
      </c>
      <c r="N422" s="3">
        <v>974924306</v>
      </c>
      <c r="O422" s="3" t="s">
        <v>28</v>
      </c>
      <c r="P422" s="1" t="s">
        <v>29</v>
      </c>
      <c r="Q422" s="1" t="s">
        <v>5</v>
      </c>
      <c r="R422" s="1" t="s">
        <v>5</v>
      </c>
      <c r="S422" s="1" t="s">
        <v>5</v>
      </c>
      <c r="T422" s="1" t="s">
        <v>5</v>
      </c>
      <c r="U422" s="1" t="s">
        <v>5</v>
      </c>
      <c r="V422" s="1" t="s">
        <v>5</v>
      </c>
      <c r="W422" s="1" t="s">
        <v>5</v>
      </c>
      <c r="X422" s="3"/>
      <c r="Y422" s="3"/>
      <c r="Z422" s="3"/>
      <c r="AA422" s="3"/>
      <c r="AB422" s="1"/>
      <c r="AC422" s="1"/>
      <c r="AD422" s="1"/>
      <c r="AE422" s="1"/>
      <c r="AF422" s="3"/>
      <c r="AG422" s="3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3">
        <f t="shared" si="96"/>
        <v>0</v>
      </c>
      <c r="AU422" s="3">
        <f t="shared" si="97"/>
        <v>1</v>
      </c>
      <c r="AV422" s="3">
        <f t="shared" si="98"/>
        <v>0</v>
      </c>
      <c r="AW422" s="3">
        <f t="shared" si="99"/>
        <v>0</v>
      </c>
      <c r="AX422" s="3">
        <f t="shared" si="100"/>
        <v>0</v>
      </c>
      <c r="AY422" s="3">
        <f t="shared" si="101"/>
        <v>7</v>
      </c>
      <c r="AZ422" s="3">
        <f t="shared" si="102"/>
        <v>0</v>
      </c>
      <c r="BA422" s="3">
        <f t="shared" si="103"/>
        <v>0</v>
      </c>
      <c r="BB422" s="3">
        <f t="shared" si="104"/>
        <v>0</v>
      </c>
      <c r="BC422" s="3">
        <f t="shared" si="105"/>
        <v>0</v>
      </c>
      <c r="BD422" s="3">
        <f t="shared" si="106"/>
        <v>0</v>
      </c>
      <c r="BE422" s="3">
        <f t="shared" si="107"/>
        <v>0</v>
      </c>
      <c r="BF422" s="3">
        <f t="shared" si="108"/>
        <v>0</v>
      </c>
      <c r="BG422" s="3">
        <f t="shared" si="109"/>
        <v>0</v>
      </c>
      <c r="BH422" s="3">
        <f t="shared" si="110"/>
        <v>0</v>
      </c>
      <c r="BI422" s="3">
        <f t="shared" si="111"/>
        <v>8</v>
      </c>
    </row>
    <row r="423" spans="1:61" x14ac:dyDescent="0.25">
      <c r="A423" s="29">
        <v>429</v>
      </c>
      <c r="B423" s="32" t="s">
        <v>1632</v>
      </c>
      <c r="C423" s="32" t="s">
        <v>1673</v>
      </c>
      <c r="D423" s="32" t="s">
        <v>308</v>
      </c>
      <c r="E423" s="32" t="s">
        <v>1639</v>
      </c>
      <c r="F423" s="33" t="s">
        <v>1644</v>
      </c>
      <c r="G423" s="34">
        <v>46099</v>
      </c>
      <c r="H423" s="35">
        <v>46173</v>
      </c>
      <c r="I423" s="13" t="s">
        <v>23</v>
      </c>
      <c r="J423" s="13" t="s">
        <v>24</v>
      </c>
      <c r="K423" s="13" t="s">
        <v>84</v>
      </c>
      <c r="L423" s="3" t="s">
        <v>68</v>
      </c>
      <c r="M423" s="3" t="s">
        <v>1621</v>
      </c>
      <c r="N423" s="3">
        <v>983617236</v>
      </c>
      <c r="O423" s="32" t="s">
        <v>84</v>
      </c>
      <c r="P423" s="3" t="s">
        <v>39</v>
      </c>
      <c r="Q423" s="3" t="s">
        <v>39</v>
      </c>
      <c r="R423" s="1" t="s">
        <v>5</v>
      </c>
      <c r="S423" s="1" t="s">
        <v>5</v>
      </c>
      <c r="T423" s="1" t="s">
        <v>5</v>
      </c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>
        <f t="shared" si="96"/>
        <v>2</v>
      </c>
      <c r="AU423" s="3">
        <f t="shared" si="97"/>
        <v>0</v>
      </c>
      <c r="AV423" s="3">
        <f t="shared" si="98"/>
        <v>0</v>
      </c>
      <c r="AW423" s="3">
        <f t="shared" si="99"/>
        <v>0</v>
      </c>
      <c r="AX423" s="3">
        <f t="shared" si="100"/>
        <v>0</v>
      </c>
      <c r="AY423" s="3">
        <f t="shared" si="101"/>
        <v>3</v>
      </c>
      <c r="AZ423" s="3">
        <f t="shared" si="102"/>
        <v>0</v>
      </c>
      <c r="BA423" s="3">
        <f t="shared" si="103"/>
        <v>0</v>
      </c>
      <c r="BB423" s="3">
        <f t="shared" si="104"/>
        <v>0</v>
      </c>
      <c r="BC423" s="3">
        <f t="shared" si="105"/>
        <v>0</v>
      </c>
      <c r="BD423" s="3">
        <f t="shared" si="106"/>
        <v>0</v>
      </c>
      <c r="BE423" s="3">
        <f t="shared" si="107"/>
        <v>0</v>
      </c>
      <c r="BF423" s="3">
        <f t="shared" si="108"/>
        <v>0</v>
      </c>
      <c r="BG423" s="3">
        <f t="shared" si="109"/>
        <v>0</v>
      </c>
      <c r="BH423" s="3">
        <f t="shared" si="110"/>
        <v>0</v>
      </c>
      <c r="BI423" s="3">
        <f t="shared" si="111"/>
        <v>5</v>
      </c>
    </row>
    <row r="424" spans="1:61" x14ac:dyDescent="0.25">
      <c r="A424" s="29">
        <v>433</v>
      </c>
      <c r="B424" s="32" t="s">
        <v>1634</v>
      </c>
      <c r="C424" s="32" t="s">
        <v>230</v>
      </c>
      <c r="D424" s="32" t="s">
        <v>1219</v>
      </c>
      <c r="E424" s="32" t="s">
        <v>1641</v>
      </c>
      <c r="F424" s="33" t="s">
        <v>1645</v>
      </c>
      <c r="G424" s="34">
        <v>46099</v>
      </c>
      <c r="H424" s="35">
        <v>46173</v>
      </c>
      <c r="I424" s="13" t="s">
        <v>23</v>
      </c>
      <c r="J424" s="13" t="s">
        <v>24</v>
      </c>
      <c r="K424" s="32" t="s">
        <v>1420</v>
      </c>
      <c r="L424" s="3" t="s">
        <v>68</v>
      </c>
      <c r="M424" s="3" t="s">
        <v>1621</v>
      </c>
      <c r="N424" s="3" t="s">
        <v>1650</v>
      </c>
      <c r="O424" s="32" t="s">
        <v>28</v>
      </c>
      <c r="P424" s="3" t="s">
        <v>5</v>
      </c>
      <c r="Q424" s="3" t="s">
        <v>39</v>
      </c>
      <c r="R424" s="3" t="s">
        <v>39</v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1"/>
      <c r="AP424" s="1"/>
      <c r="AQ424" s="1"/>
      <c r="AR424" s="1"/>
      <c r="AS424" s="1"/>
      <c r="AT424" s="3">
        <f t="shared" si="96"/>
        <v>2</v>
      </c>
      <c r="AU424" s="3">
        <f t="shared" si="97"/>
        <v>0</v>
      </c>
      <c r="AV424" s="3">
        <f t="shared" si="98"/>
        <v>0</v>
      </c>
      <c r="AW424" s="3">
        <f t="shared" si="99"/>
        <v>0</v>
      </c>
      <c r="AX424" s="3">
        <f t="shared" si="100"/>
        <v>0</v>
      </c>
      <c r="AY424" s="3">
        <f t="shared" si="101"/>
        <v>1</v>
      </c>
      <c r="AZ424" s="3">
        <f t="shared" si="102"/>
        <v>0</v>
      </c>
      <c r="BA424" s="3">
        <f t="shared" si="103"/>
        <v>0</v>
      </c>
      <c r="BB424" s="3">
        <f t="shared" si="104"/>
        <v>0</v>
      </c>
      <c r="BC424" s="3">
        <f t="shared" si="105"/>
        <v>0</v>
      </c>
      <c r="BD424" s="3">
        <f t="shared" si="106"/>
        <v>0</v>
      </c>
      <c r="BE424" s="3">
        <f t="shared" si="107"/>
        <v>0</v>
      </c>
      <c r="BF424" s="3">
        <f t="shared" si="108"/>
        <v>0</v>
      </c>
      <c r="BG424" s="3">
        <f t="shared" si="109"/>
        <v>0</v>
      </c>
      <c r="BH424" s="3">
        <f t="shared" si="110"/>
        <v>0</v>
      </c>
      <c r="BI424" s="3">
        <f t="shared" si="111"/>
        <v>3</v>
      </c>
    </row>
    <row r="425" spans="1:61" x14ac:dyDescent="0.25">
      <c r="A425" s="29">
        <v>430</v>
      </c>
      <c r="B425" s="32" t="s">
        <v>1635</v>
      </c>
      <c r="C425" s="32" t="s">
        <v>1638</v>
      </c>
      <c r="D425" s="32" t="s">
        <v>473</v>
      </c>
      <c r="E425" s="32" t="s">
        <v>1642</v>
      </c>
      <c r="F425" s="33" t="s">
        <v>1646</v>
      </c>
      <c r="G425" s="34">
        <v>46099</v>
      </c>
      <c r="H425" s="35">
        <v>46173</v>
      </c>
      <c r="I425" s="13" t="s">
        <v>23</v>
      </c>
      <c r="J425" s="13" t="s">
        <v>24</v>
      </c>
      <c r="K425" s="32" t="s">
        <v>25</v>
      </c>
      <c r="L425" s="3" t="s">
        <v>292</v>
      </c>
      <c r="M425" s="3" t="s">
        <v>1621</v>
      </c>
      <c r="N425" s="3" t="s">
        <v>1651</v>
      </c>
      <c r="O425" s="32" t="s">
        <v>28</v>
      </c>
      <c r="P425" s="3" t="s">
        <v>373</v>
      </c>
      <c r="Q425" s="3" t="s">
        <v>39</v>
      </c>
      <c r="R425" s="3" t="s">
        <v>39</v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1"/>
      <c r="AP425" s="1"/>
      <c r="AQ425" s="1"/>
      <c r="AR425" s="1"/>
      <c r="AS425" s="1"/>
      <c r="AT425" s="3">
        <f t="shared" si="96"/>
        <v>2</v>
      </c>
      <c r="AU425" s="3">
        <f t="shared" si="97"/>
        <v>0</v>
      </c>
      <c r="AV425" s="3">
        <f t="shared" si="98"/>
        <v>0</v>
      </c>
      <c r="AW425" s="3">
        <f t="shared" si="99"/>
        <v>0</v>
      </c>
      <c r="AX425" s="3">
        <f t="shared" si="100"/>
        <v>0</v>
      </c>
      <c r="AY425" s="3">
        <f t="shared" si="101"/>
        <v>0</v>
      </c>
      <c r="AZ425" s="3">
        <f t="shared" si="102"/>
        <v>0</v>
      </c>
      <c r="BA425" s="3">
        <f t="shared" si="103"/>
        <v>0</v>
      </c>
      <c r="BB425" s="3">
        <f t="shared" si="104"/>
        <v>0</v>
      </c>
      <c r="BC425" s="3">
        <f t="shared" si="105"/>
        <v>0</v>
      </c>
      <c r="BD425" s="3">
        <f t="shared" si="106"/>
        <v>0</v>
      </c>
      <c r="BE425" s="3">
        <f t="shared" si="107"/>
        <v>0</v>
      </c>
      <c r="BF425" s="3">
        <f t="shared" si="108"/>
        <v>0</v>
      </c>
      <c r="BG425" s="3">
        <f t="shared" si="109"/>
        <v>0</v>
      </c>
      <c r="BH425" s="3">
        <f t="shared" si="110"/>
        <v>1</v>
      </c>
      <c r="BI425" s="3">
        <f t="shared" si="111"/>
        <v>3</v>
      </c>
    </row>
    <row r="426" spans="1:61" x14ac:dyDescent="0.25">
      <c r="A426" s="29">
        <v>431</v>
      </c>
      <c r="B426" s="32" t="s">
        <v>1636</v>
      </c>
      <c r="C426" s="32" t="s">
        <v>419</v>
      </c>
      <c r="D426" s="32" t="s">
        <v>360</v>
      </c>
      <c r="E426" s="32" t="s">
        <v>1643</v>
      </c>
      <c r="F426" s="33" t="s">
        <v>1647</v>
      </c>
      <c r="G426" s="34">
        <v>46099</v>
      </c>
      <c r="H426" s="35">
        <v>46173</v>
      </c>
      <c r="I426" s="13" t="s">
        <v>23</v>
      </c>
      <c r="J426" s="13" t="s">
        <v>24</v>
      </c>
      <c r="K426" s="13" t="s">
        <v>84</v>
      </c>
      <c r="L426" s="3" t="s">
        <v>85</v>
      </c>
      <c r="M426" s="3" t="s">
        <v>1621</v>
      </c>
      <c r="N426" s="3" t="s">
        <v>1652</v>
      </c>
      <c r="O426" s="32" t="s">
        <v>84</v>
      </c>
      <c r="P426" s="3" t="s">
        <v>39</v>
      </c>
      <c r="Q426" s="3" t="s">
        <v>39</v>
      </c>
      <c r="R426" s="1" t="s">
        <v>5</v>
      </c>
      <c r="S426" s="1" t="s">
        <v>5</v>
      </c>
      <c r="T426" s="1" t="s">
        <v>5</v>
      </c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>
        <f t="shared" si="96"/>
        <v>2</v>
      </c>
      <c r="AU426" s="3">
        <f t="shared" si="97"/>
        <v>0</v>
      </c>
      <c r="AV426" s="3">
        <f t="shared" si="98"/>
        <v>0</v>
      </c>
      <c r="AW426" s="3">
        <f t="shared" si="99"/>
        <v>0</v>
      </c>
      <c r="AX426" s="3">
        <f t="shared" si="100"/>
        <v>0</v>
      </c>
      <c r="AY426" s="3">
        <f t="shared" si="101"/>
        <v>3</v>
      </c>
      <c r="AZ426" s="3">
        <f t="shared" si="102"/>
        <v>0</v>
      </c>
      <c r="BA426" s="3">
        <f t="shared" si="103"/>
        <v>0</v>
      </c>
      <c r="BB426" s="3">
        <f t="shared" si="104"/>
        <v>0</v>
      </c>
      <c r="BC426" s="3">
        <f t="shared" si="105"/>
        <v>0</v>
      </c>
      <c r="BD426" s="3">
        <f t="shared" si="106"/>
        <v>0</v>
      </c>
      <c r="BE426" s="3">
        <f t="shared" si="107"/>
        <v>0</v>
      </c>
      <c r="BF426" s="3">
        <f t="shared" si="108"/>
        <v>0</v>
      </c>
      <c r="BG426" s="3">
        <f t="shared" si="109"/>
        <v>0</v>
      </c>
      <c r="BH426" s="3">
        <f t="shared" si="110"/>
        <v>0</v>
      </c>
      <c r="BI426" s="3">
        <f t="shared" si="111"/>
        <v>5</v>
      </c>
    </row>
    <row r="427" spans="1:61" x14ac:dyDescent="0.25">
      <c r="A427" s="29">
        <v>432</v>
      </c>
      <c r="B427" s="32" t="s">
        <v>1633</v>
      </c>
      <c r="C427" s="32" t="s">
        <v>1637</v>
      </c>
      <c r="D427" s="32" t="s">
        <v>821</v>
      </c>
      <c r="E427" s="32" t="s">
        <v>1640</v>
      </c>
      <c r="F427" s="33" t="s">
        <v>1535</v>
      </c>
      <c r="G427" s="34">
        <v>46099</v>
      </c>
      <c r="H427" s="35">
        <v>46173</v>
      </c>
      <c r="I427" s="13" t="s">
        <v>23</v>
      </c>
      <c r="J427" s="13" t="s">
        <v>24</v>
      </c>
      <c r="K427" s="32" t="s">
        <v>43</v>
      </c>
      <c r="L427" s="3" t="s">
        <v>216</v>
      </c>
      <c r="M427" s="3" t="s">
        <v>1621</v>
      </c>
      <c r="N427" s="3" t="s">
        <v>1649</v>
      </c>
      <c r="O427" s="32" t="s">
        <v>28</v>
      </c>
      <c r="P427" s="1" t="s">
        <v>29</v>
      </c>
      <c r="Q427" s="31" t="s">
        <v>5</v>
      </c>
      <c r="R427" s="31" t="s">
        <v>5</v>
      </c>
      <c r="S427" s="31" t="s">
        <v>5</v>
      </c>
      <c r="T427" s="31" t="s">
        <v>5</v>
      </c>
      <c r="U427" s="31" t="s">
        <v>5</v>
      </c>
      <c r="V427" s="31" t="s">
        <v>5</v>
      </c>
      <c r="W427" s="31" t="s">
        <v>5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>
        <f t="shared" si="96"/>
        <v>0</v>
      </c>
      <c r="AU427" s="3">
        <f t="shared" si="97"/>
        <v>1</v>
      </c>
      <c r="AV427" s="3">
        <f t="shared" si="98"/>
        <v>0</v>
      </c>
      <c r="AW427" s="3">
        <f t="shared" si="99"/>
        <v>0</v>
      </c>
      <c r="AX427" s="3">
        <f t="shared" si="100"/>
        <v>0</v>
      </c>
      <c r="AY427" s="3">
        <f t="shared" si="101"/>
        <v>7</v>
      </c>
      <c r="AZ427" s="3">
        <f t="shared" si="102"/>
        <v>0</v>
      </c>
      <c r="BA427" s="3">
        <f t="shared" si="103"/>
        <v>0</v>
      </c>
      <c r="BB427" s="3">
        <f t="shared" si="104"/>
        <v>0</v>
      </c>
      <c r="BC427" s="3">
        <f t="shared" si="105"/>
        <v>0</v>
      </c>
      <c r="BD427" s="3">
        <f t="shared" si="106"/>
        <v>0</v>
      </c>
      <c r="BE427" s="3">
        <f t="shared" si="107"/>
        <v>0</v>
      </c>
      <c r="BF427" s="3">
        <f t="shared" si="108"/>
        <v>0</v>
      </c>
      <c r="BG427" s="3">
        <f t="shared" si="109"/>
        <v>0</v>
      </c>
      <c r="BH427" s="3">
        <f t="shared" si="110"/>
        <v>0</v>
      </c>
      <c r="BI427" s="3">
        <f t="shared" si="111"/>
        <v>8</v>
      </c>
    </row>
    <row r="428" spans="1:61" x14ac:dyDescent="0.25">
      <c r="A428" s="29">
        <v>439</v>
      </c>
      <c r="B428" s="32" t="s">
        <v>1661</v>
      </c>
      <c r="C428" s="32" t="s">
        <v>41</v>
      </c>
      <c r="D428" s="32" t="s">
        <v>1145</v>
      </c>
      <c r="E428" s="32" t="s">
        <v>1667</v>
      </c>
      <c r="F428" s="32" t="s">
        <v>55</v>
      </c>
      <c r="G428" s="34">
        <v>46106</v>
      </c>
      <c r="H428" s="34">
        <v>46203</v>
      </c>
      <c r="I428" s="13" t="s">
        <v>23</v>
      </c>
      <c r="J428" s="13" t="s">
        <v>24</v>
      </c>
      <c r="K428" s="13" t="s">
        <v>36</v>
      </c>
      <c r="L428" s="3" t="s">
        <v>292</v>
      </c>
      <c r="M428" s="3" t="s">
        <v>1621</v>
      </c>
      <c r="N428" s="3">
        <v>942542091</v>
      </c>
      <c r="O428" s="32" t="s">
        <v>28</v>
      </c>
      <c r="P428" s="3" t="s">
        <v>39</v>
      </c>
      <c r="Q428" s="3" t="s">
        <v>29</v>
      </c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>
        <f t="shared" si="96"/>
        <v>1</v>
      </c>
      <c r="AU428" s="3">
        <f t="shared" si="97"/>
        <v>1</v>
      </c>
      <c r="AV428" s="3">
        <f t="shared" si="98"/>
        <v>0</v>
      </c>
      <c r="AW428" s="3">
        <f t="shared" si="99"/>
        <v>0</v>
      </c>
      <c r="AX428" s="3">
        <f t="shared" si="100"/>
        <v>0</v>
      </c>
      <c r="AY428" s="3">
        <f t="shared" si="101"/>
        <v>0</v>
      </c>
      <c r="AZ428" s="3">
        <f t="shared" si="102"/>
        <v>0</v>
      </c>
      <c r="BA428" s="3">
        <f t="shared" si="103"/>
        <v>0</v>
      </c>
      <c r="BB428" s="3">
        <f t="shared" si="104"/>
        <v>0</v>
      </c>
      <c r="BC428" s="3">
        <f t="shared" si="105"/>
        <v>0</v>
      </c>
      <c r="BD428" s="3">
        <f t="shared" si="106"/>
        <v>0</v>
      </c>
      <c r="BE428" s="3">
        <f t="shared" si="107"/>
        <v>0</v>
      </c>
      <c r="BF428" s="3">
        <f t="shared" si="108"/>
        <v>0</v>
      </c>
      <c r="BG428" s="3">
        <f t="shared" si="109"/>
        <v>0</v>
      </c>
      <c r="BH428" s="3">
        <f t="shared" si="110"/>
        <v>0</v>
      </c>
      <c r="BI428" s="3">
        <f t="shared" si="111"/>
        <v>2</v>
      </c>
    </row>
    <row r="429" spans="1:61" x14ac:dyDescent="0.25">
      <c r="A429" s="29">
        <v>435</v>
      </c>
      <c r="B429" s="32" t="s">
        <v>1657</v>
      </c>
      <c r="C429" s="32" t="s">
        <v>507</v>
      </c>
      <c r="D429" s="32" t="s">
        <v>821</v>
      </c>
      <c r="E429" s="32" t="s">
        <v>624</v>
      </c>
      <c r="F429" s="32" t="s">
        <v>55</v>
      </c>
      <c r="G429" s="34">
        <v>46106</v>
      </c>
      <c r="H429" s="34">
        <v>46203</v>
      </c>
      <c r="I429" s="13" t="s">
        <v>23</v>
      </c>
      <c r="J429" s="13" t="s">
        <v>24</v>
      </c>
      <c r="K429" s="13" t="s">
        <v>25</v>
      </c>
      <c r="L429" s="3" t="s">
        <v>292</v>
      </c>
      <c r="M429" s="3" t="s">
        <v>1621</v>
      </c>
      <c r="N429" s="3">
        <v>942267503</v>
      </c>
      <c r="O429" s="3" t="s">
        <v>28</v>
      </c>
      <c r="P429" s="3" t="s">
        <v>39</v>
      </c>
      <c r="Q429" s="3" t="s">
        <v>39</v>
      </c>
      <c r="R429" s="3" t="s">
        <v>39</v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>
        <f t="shared" si="96"/>
        <v>3</v>
      </c>
      <c r="AU429" s="3">
        <f t="shared" si="97"/>
        <v>0</v>
      </c>
      <c r="AV429" s="3">
        <f t="shared" si="98"/>
        <v>0</v>
      </c>
      <c r="AW429" s="3">
        <f t="shared" si="99"/>
        <v>0</v>
      </c>
      <c r="AX429" s="3">
        <f t="shared" si="100"/>
        <v>0</v>
      </c>
      <c r="AY429" s="3">
        <f t="shared" si="101"/>
        <v>0</v>
      </c>
      <c r="AZ429" s="3">
        <f t="shared" si="102"/>
        <v>0</v>
      </c>
      <c r="BA429" s="3">
        <f t="shared" si="103"/>
        <v>0</v>
      </c>
      <c r="BB429" s="3">
        <f t="shared" si="104"/>
        <v>0</v>
      </c>
      <c r="BC429" s="3">
        <f t="shared" si="105"/>
        <v>0</v>
      </c>
      <c r="BD429" s="3">
        <f t="shared" si="106"/>
        <v>0</v>
      </c>
      <c r="BE429" s="3">
        <f t="shared" si="107"/>
        <v>0</v>
      </c>
      <c r="BF429" s="3">
        <f t="shared" si="108"/>
        <v>0</v>
      </c>
      <c r="BG429" s="3">
        <f t="shared" si="109"/>
        <v>0</v>
      </c>
      <c r="BH429" s="3">
        <f t="shared" si="110"/>
        <v>0</v>
      </c>
      <c r="BI429" s="3">
        <f t="shared" si="111"/>
        <v>3</v>
      </c>
    </row>
    <row r="430" spans="1:61" x14ac:dyDescent="0.25">
      <c r="A430" s="29">
        <v>434</v>
      </c>
      <c r="B430" s="32" t="s">
        <v>1656</v>
      </c>
      <c r="C430" s="32" t="s">
        <v>1579</v>
      </c>
      <c r="D430" s="32" t="s">
        <v>81</v>
      </c>
      <c r="E430" s="32" t="s">
        <v>1663</v>
      </c>
      <c r="F430" s="32" t="s">
        <v>1540</v>
      </c>
      <c r="G430" s="34">
        <v>46106</v>
      </c>
      <c r="H430" s="34">
        <v>46203</v>
      </c>
      <c r="I430" s="13" t="s">
        <v>23</v>
      </c>
      <c r="J430" s="13" t="s">
        <v>24</v>
      </c>
      <c r="K430" s="13" t="s">
        <v>1604</v>
      </c>
      <c r="L430" s="3" t="s">
        <v>68</v>
      </c>
      <c r="M430" s="3" t="s">
        <v>1621</v>
      </c>
      <c r="N430" s="3">
        <v>953897544</v>
      </c>
      <c r="O430" s="32" t="s">
        <v>28</v>
      </c>
      <c r="P430" s="3" t="s">
        <v>39</v>
      </c>
      <c r="Q430" s="3" t="s">
        <v>5</v>
      </c>
      <c r="R430" s="3" t="s">
        <v>5</v>
      </c>
      <c r="S430" s="3" t="s">
        <v>5</v>
      </c>
      <c r="T430" s="3" t="s">
        <v>5</v>
      </c>
      <c r="U430" s="3" t="s">
        <v>5</v>
      </c>
      <c r="V430" s="3" t="s">
        <v>5</v>
      </c>
      <c r="W430" s="3" t="s">
        <v>5</v>
      </c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</row>
    <row r="431" spans="1:61" x14ac:dyDescent="0.25">
      <c r="A431" s="29">
        <v>436</v>
      </c>
      <c r="B431" s="32" t="s">
        <v>1658</v>
      </c>
      <c r="C431" s="32" t="s">
        <v>1169</v>
      </c>
      <c r="D431" s="32" t="s">
        <v>106</v>
      </c>
      <c r="E431" s="32" t="s">
        <v>1664</v>
      </c>
      <c r="F431" s="32" t="s">
        <v>1540</v>
      </c>
      <c r="G431" s="34">
        <v>46106</v>
      </c>
      <c r="H431" s="34">
        <v>46203</v>
      </c>
      <c r="I431" s="13" t="s">
        <v>23</v>
      </c>
      <c r="J431" s="13" t="s">
        <v>24</v>
      </c>
      <c r="K431" s="13" t="s">
        <v>405</v>
      </c>
      <c r="L431" s="3" t="s">
        <v>68</v>
      </c>
      <c r="M431" s="3" t="s">
        <v>1621</v>
      </c>
      <c r="N431" s="3">
        <v>932980570</v>
      </c>
      <c r="O431" s="32" t="s">
        <v>28</v>
      </c>
      <c r="P431" s="3" t="s">
        <v>39</v>
      </c>
      <c r="Q431" s="3" t="s">
        <v>39</v>
      </c>
      <c r="R431" s="3" t="s">
        <v>39</v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</row>
    <row r="432" spans="1:61" x14ac:dyDescent="0.25">
      <c r="A432" s="29">
        <v>437</v>
      </c>
      <c r="B432" s="32" t="s">
        <v>1659</v>
      </c>
      <c r="C432" s="32" t="s">
        <v>1669</v>
      </c>
      <c r="D432" s="32" t="s">
        <v>1671</v>
      </c>
      <c r="E432" s="32" t="s">
        <v>1665</v>
      </c>
      <c r="F432" s="32" t="s">
        <v>67</v>
      </c>
      <c r="G432" s="34">
        <v>46106</v>
      </c>
      <c r="H432" s="34">
        <v>46203</v>
      </c>
      <c r="I432" s="13" t="s">
        <v>23</v>
      </c>
      <c r="J432" s="13" t="s">
        <v>24</v>
      </c>
      <c r="K432" s="13" t="s">
        <v>1648</v>
      </c>
      <c r="L432" s="3" t="s">
        <v>216</v>
      </c>
      <c r="M432" s="3" t="s">
        <v>1621</v>
      </c>
      <c r="N432" s="3">
        <v>956354948</v>
      </c>
      <c r="O432" s="13" t="s">
        <v>1648</v>
      </c>
      <c r="P432" s="3" t="s">
        <v>39</v>
      </c>
      <c r="Q432" s="3" t="s">
        <v>5</v>
      </c>
      <c r="R432" s="3" t="s">
        <v>5</v>
      </c>
      <c r="S432" s="3" t="s">
        <v>5</v>
      </c>
      <c r="T432" s="3" t="s">
        <v>5</v>
      </c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</row>
    <row r="433" spans="1:61" x14ac:dyDescent="0.25">
      <c r="A433" s="29">
        <v>438</v>
      </c>
      <c r="B433" s="32" t="s">
        <v>1660</v>
      </c>
      <c r="C433" s="32" t="s">
        <v>1670</v>
      </c>
      <c r="D433" s="32" t="s">
        <v>343</v>
      </c>
      <c r="E433" s="32" t="s">
        <v>1666</v>
      </c>
      <c r="F433" s="32" t="s">
        <v>1540</v>
      </c>
      <c r="G433" s="34">
        <v>46106</v>
      </c>
      <c r="H433" s="34">
        <v>46203</v>
      </c>
      <c r="I433" s="13" t="s">
        <v>23</v>
      </c>
      <c r="J433" s="13" t="s">
        <v>24</v>
      </c>
      <c r="K433" s="13" t="s">
        <v>377</v>
      </c>
      <c r="L433" s="3" t="s">
        <v>68</v>
      </c>
      <c r="M433" s="3" t="s">
        <v>1621</v>
      </c>
      <c r="N433" s="3">
        <v>990714278</v>
      </c>
      <c r="O433" s="32" t="s">
        <v>28</v>
      </c>
      <c r="P433" s="3" t="s">
        <v>39</v>
      </c>
      <c r="Q433" s="3" t="s">
        <v>39</v>
      </c>
      <c r="R433" s="1" t="s">
        <v>5</v>
      </c>
      <c r="S433" s="1" t="s">
        <v>5</v>
      </c>
      <c r="T433" s="1" t="s">
        <v>5</v>
      </c>
      <c r="U433" s="1" t="s">
        <v>5</v>
      </c>
      <c r="V433" s="1" t="s">
        <v>5</v>
      </c>
      <c r="W433" s="1" t="s">
        <v>5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</row>
    <row r="434" spans="1:61" x14ac:dyDescent="0.25">
      <c r="A434" s="29">
        <v>440</v>
      </c>
      <c r="B434" s="32" t="s">
        <v>1662</v>
      </c>
      <c r="C434" s="32" t="s">
        <v>409</v>
      </c>
      <c r="D434" s="32" t="s">
        <v>287</v>
      </c>
      <c r="E434" s="32" t="s">
        <v>1668</v>
      </c>
      <c r="F434" s="32" t="s">
        <v>34</v>
      </c>
      <c r="G434" s="34">
        <v>46106</v>
      </c>
      <c r="H434" s="34">
        <v>46203</v>
      </c>
      <c r="I434" s="13" t="s">
        <v>23</v>
      </c>
      <c r="J434" s="13" t="s">
        <v>24</v>
      </c>
      <c r="K434" s="13" t="s">
        <v>25</v>
      </c>
      <c r="L434" s="3" t="s">
        <v>292</v>
      </c>
      <c r="M434" s="3" t="s">
        <v>1621</v>
      </c>
      <c r="N434" s="3">
        <v>959940802</v>
      </c>
      <c r="O434" s="32" t="s">
        <v>28</v>
      </c>
      <c r="P434" s="3" t="s">
        <v>39</v>
      </c>
      <c r="Q434" s="3" t="s">
        <v>39</v>
      </c>
      <c r="R434" s="1" t="s">
        <v>5</v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</row>
  </sheetData>
  <phoneticPr fontId="7" type="noConversion"/>
  <conditionalFormatting sqref="P433">
    <cfRule type="containsText" dxfId="62" priority="8" operator="containsText" text="LM">
      <formula>NOT(ISERROR(SEARCH("LM",P433)))</formula>
    </cfRule>
    <cfRule type="containsText" dxfId="61" priority="7" operator="containsText" text="F">
      <formula>NOT(ISERROR(SEARCH("F",P433)))</formula>
    </cfRule>
    <cfRule type="containsText" dxfId="60" priority="9" operator="containsText" text="D">
      <formula>NOT(ISERROR(SEARCH("D",P433)))</formula>
    </cfRule>
  </conditionalFormatting>
  <conditionalFormatting sqref="P421:AE422">
    <cfRule type="containsText" dxfId="59" priority="75" operator="containsText" text="D">
      <formula>NOT(ISERROR(SEARCH("D",P421)))</formula>
    </cfRule>
    <cfRule type="containsText" dxfId="58" priority="74" operator="containsText" text="LM">
      <formula>NOT(ISERROR(SEARCH("LM",P421)))</formula>
    </cfRule>
    <cfRule type="containsText" dxfId="57" priority="73" operator="containsText" text="F">
      <formula>NOT(ISERROR(SEARCH("F",P421)))</formula>
    </cfRule>
  </conditionalFormatting>
  <conditionalFormatting sqref="P7:AS407 P408 P410:Z411 P413:P414 P417:P420 AB418:AE419 Q419:AA420 P426:W426">
    <cfRule type="containsText" dxfId="56" priority="88" operator="containsText" text="F">
      <formula>NOT(ISERROR(SEARCH("F",P7)))</formula>
    </cfRule>
    <cfRule type="containsText" dxfId="55" priority="89" operator="containsText" text="LM">
      <formula>NOT(ISERROR(SEARCH("LM",P7)))</formula>
    </cfRule>
    <cfRule type="containsText" dxfId="54" priority="90" operator="containsText" text="D">
      <formula>NOT(ISERROR(SEARCH("D",P7)))</formula>
    </cfRule>
  </conditionalFormatting>
  <conditionalFormatting sqref="Q409:W409 Q429:W429">
    <cfRule type="containsText" dxfId="53" priority="4" operator="containsText" text="F">
      <formula>NOT(ISERROR(SEARCH("F",Q409)))</formula>
    </cfRule>
    <cfRule type="containsText" dxfId="52" priority="5" operator="containsText" text="LM">
      <formula>NOT(ISERROR(SEARCH("LM",Q409)))</formula>
    </cfRule>
    <cfRule type="containsText" dxfId="51" priority="6" operator="containsText" text="D">
      <formula>NOT(ISERROR(SEARCH("D",Q409)))</formula>
    </cfRule>
  </conditionalFormatting>
  <conditionalFormatting sqref="Q427:W427">
    <cfRule type="containsText" dxfId="50" priority="2" operator="containsText" text="LM">
      <formula>NOT(ISERROR(SEARCH("LM",Q427)))</formula>
    </cfRule>
    <cfRule type="containsText" dxfId="49" priority="3" operator="containsText" text="D">
      <formula>NOT(ISERROR(SEARCH("D",Q427)))</formula>
    </cfRule>
    <cfRule type="containsText" dxfId="48" priority="1" operator="containsText" text="F">
      <formula>NOT(ISERROR(SEARCH("F",Q427)))</formula>
    </cfRule>
  </conditionalFormatting>
  <conditionalFormatting sqref="R434">
    <cfRule type="containsText" dxfId="47" priority="10" operator="containsText" text="F">
      <formula>NOT(ISERROR(SEARCH("F",R434)))</formula>
    </cfRule>
    <cfRule type="containsText" dxfId="46" priority="11" operator="containsText" text="LM">
      <formula>NOT(ISERROR(SEARCH("LM",R434)))</formula>
    </cfRule>
    <cfRule type="containsText" dxfId="45" priority="12" operator="containsText" text="D">
      <formula>NOT(ISERROR(SEARCH("D",R434)))</formula>
    </cfRule>
  </conditionalFormatting>
  <conditionalFormatting sqref="R412:T412 R415:T416 R423:T423">
    <cfRule type="containsText" dxfId="44" priority="13" operator="containsText" text="F">
      <formula>NOT(ISERROR(SEARCH("F",R412)))</formula>
    </cfRule>
    <cfRule type="containsText" dxfId="43" priority="14" operator="containsText" text="LM">
      <formula>NOT(ISERROR(SEARCH("LM",R412)))</formula>
    </cfRule>
    <cfRule type="containsText" dxfId="42" priority="15" operator="containsText" text="D">
      <formula>NOT(ISERROR(SEARCH("D",R412)))</formula>
    </cfRule>
  </conditionalFormatting>
  <conditionalFormatting sqref="R428:W428">
    <cfRule type="containsText" dxfId="41" priority="19" operator="containsText" text="F">
      <formula>NOT(ISERROR(SEARCH("F",R428)))</formula>
    </cfRule>
    <cfRule type="containsText" dxfId="40" priority="20" operator="containsText" text="LM">
      <formula>NOT(ISERROR(SEARCH("LM",R428)))</formula>
    </cfRule>
    <cfRule type="containsText" dxfId="39" priority="21" operator="containsText" text="D">
      <formula>NOT(ISERROR(SEARCH("D",R428)))</formula>
    </cfRule>
  </conditionalFormatting>
  <conditionalFormatting sqref="R432:W432">
    <cfRule type="containsText" dxfId="38" priority="16" operator="containsText" text="F">
      <formula>NOT(ISERROR(SEARCH("F",R432)))</formula>
    </cfRule>
    <cfRule type="containsText" dxfId="37" priority="17" operator="containsText" text="LM">
      <formula>NOT(ISERROR(SEARCH("LM",R432)))</formula>
    </cfRule>
    <cfRule type="containsText" dxfId="36" priority="18" operator="containsText" text="D">
      <formula>NOT(ISERROR(SEARCH("D",R432)))</formula>
    </cfRule>
  </conditionalFormatting>
  <conditionalFormatting sqref="V408:W408 V414:W414 U416 T418:AA418">
    <cfRule type="containsText" dxfId="35" priority="98" operator="containsText" text="LM">
      <formula>NOT(ISERROR(SEARCH("LM",T408)))</formula>
    </cfRule>
    <cfRule type="containsText" dxfId="34" priority="97" operator="containsText" text="F">
      <formula>NOT(ISERROR(SEARCH("F",T408)))</formula>
    </cfRule>
    <cfRule type="containsText" dxfId="33" priority="99" operator="containsText" text="D">
      <formula>NOT(ISERROR(SEARCH("D",T408)))</formula>
    </cfRule>
  </conditionalFormatting>
  <conditionalFormatting sqref="V412:W412">
    <cfRule type="containsText" dxfId="32" priority="55" operator="containsText" text="F">
      <formula>NOT(ISERROR(SEARCH("F",V412)))</formula>
    </cfRule>
    <cfRule type="containsText" dxfId="31" priority="57" operator="containsText" text="D">
      <formula>NOT(ISERROR(SEARCH("D",V412)))</formula>
    </cfRule>
    <cfRule type="containsText" dxfId="30" priority="56" operator="containsText" text="LM">
      <formula>NOT(ISERROR(SEARCH("LM",V412)))</formula>
    </cfRule>
  </conditionalFormatting>
  <conditionalFormatting sqref="AA409:AG409 AA413:AG413 AF418:AG418">
    <cfRule type="containsText" dxfId="29" priority="84" operator="containsText" text="D">
      <formula>NOT(ISERROR(SEARCH("D",AA409)))</formula>
    </cfRule>
    <cfRule type="containsText" dxfId="28" priority="83" operator="containsText" text="LM">
      <formula>NOT(ISERROR(SEARCH("LM",AA409)))</formula>
    </cfRule>
    <cfRule type="containsText" dxfId="27" priority="82" operator="containsText" text="F">
      <formula>NOT(ISERROR(SEARCH("F",AA409)))</formula>
    </cfRule>
  </conditionalFormatting>
  <conditionalFormatting sqref="AA416:AG416">
    <cfRule type="containsText" dxfId="26" priority="63" operator="containsText" text="D">
      <formula>NOT(ISERROR(SEARCH("D",AA416)))</formula>
    </cfRule>
    <cfRule type="containsText" dxfId="25" priority="62" operator="containsText" text="LM">
      <formula>NOT(ISERROR(SEARCH("LM",AA416)))</formula>
    </cfRule>
    <cfRule type="containsText" dxfId="24" priority="61" operator="containsText" text="F">
      <formula>NOT(ISERROR(SEARCH("F",AA416)))</formula>
    </cfRule>
  </conditionalFormatting>
  <conditionalFormatting sqref="AB410:AN411">
    <cfRule type="containsText" dxfId="23" priority="67" operator="containsText" text="F">
      <formula>NOT(ISERROR(SEARCH("F",AB410)))</formula>
    </cfRule>
    <cfRule type="containsText" dxfId="22" priority="68" operator="containsText" text="LM">
      <formula>NOT(ISERROR(SEARCH("LM",AB410)))</formula>
    </cfRule>
    <cfRule type="containsText" dxfId="21" priority="69" operator="containsText" text="D">
      <formula>NOT(ISERROR(SEARCH("D",AB410)))</formula>
    </cfRule>
  </conditionalFormatting>
  <conditionalFormatting sqref="AC414:AF414">
    <cfRule type="containsText" dxfId="20" priority="46" operator="containsText" text="F">
      <formula>NOT(ISERROR(SEARCH("F",AC414)))</formula>
    </cfRule>
    <cfRule type="containsText" dxfId="19" priority="47" operator="containsText" text="LM">
      <formula>NOT(ISERROR(SEARCH("LM",AC414)))</formula>
    </cfRule>
    <cfRule type="containsText" dxfId="18" priority="48" operator="containsText" text="D">
      <formula>NOT(ISERROR(SEARCH("D",AC414)))</formula>
    </cfRule>
  </conditionalFormatting>
  <conditionalFormatting sqref="AH408 AJ408:AK408 AO409:AS409 AD412 AH412 AQ412:AR412 AO413:AS414 AH415 AJ415:AK415 AO415:AP415 AS415 AQ415:AR416 AH417 AJ417:AK417 AO417:AS417 AH420 AJ420:AK420 AQ421:AR421 AH421:AN422">
    <cfRule type="containsText" dxfId="17" priority="94" operator="containsText" text="F">
      <formula>NOT(ISERROR(SEARCH("F",AD408)))</formula>
    </cfRule>
    <cfRule type="containsText" dxfId="16" priority="95" operator="containsText" text="LM">
      <formula>NOT(ISERROR(SEARCH("LM",AD408)))</formula>
    </cfRule>
    <cfRule type="containsText" dxfId="15" priority="96" operator="containsText" text="D">
      <formula>NOT(ISERROR(SEARCH("D",AD408)))</formula>
    </cfRule>
  </conditionalFormatting>
  <conditionalFormatting sqref="AJ412:AK412">
    <cfRule type="containsText" dxfId="14" priority="42" operator="containsText" text="D">
      <formula>NOT(ISERROR(SEARCH("D",AJ412)))</formula>
    </cfRule>
    <cfRule type="containsText" dxfId="13" priority="41" operator="containsText" text="LM">
      <formula>NOT(ISERROR(SEARCH("LM",AJ412)))</formula>
    </cfRule>
    <cfRule type="containsText" dxfId="12" priority="40" operator="containsText" text="F">
      <formula>NOT(ISERROR(SEARCH("F",AJ412)))</formula>
    </cfRule>
  </conditionalFormatting>
  <conditionalFormatting sqref="AK418:AL418">
    <cfRule type="containsText" dxfId="11" priority="37" operator="containsText" text="F">
      <formula>NOT(ISERROR(SEARCH("F",AK418)))</formula>
    </cfRule>
    <cfRule type="containsText" dxfId="10" priority="39" operator="containsText" text="D">
      <formula>NOT(ISERROR(SEARCH("D",AK418)))</formula>
    </cfRule>
    <cfRule type="containsText" dxfId="9" priority="38" operator="containsText" text="LM">
      <formula>NOT(ISERROR(SEARCH("LM",AK418)))</formula>
    </cfRule>
  </conditionalFormatting>
  <conditionalFormatting sqref="AO422:AS422">
    <cfRule type="containsText" dxfId="8" priority="24" operator="containsText" text="D">
      <formula>NOT(ISERROR(SEARCH("D",AO422)))</formula>
    </cfRule>
    <cfRule type="containsText" dxfId="7" priority="23" operator="containsText" text="LM">
      <formula>NOT(ISERROR(SEARCH("LM",AO422)))</formula>
    </cfRule>
    <cfRule type="containsText" dxfId="6" priority="22" operator="containsText" text="F">
      <formula>NOT(ISERROR(SEARCH("F",AO422)))</formula>
    </cfRule>
  </conditionalFormatting>
  <conditionalFormatting sqref="AO425:AS426">
    <cfRule type="containsText" dxfId="5" priority="36" operator="containsText" text="D">
      <formula>NOT(ISERROR(SEARCH("D",AO425)))</formula>
    </cfRule>
    <cfRule type="containsText" dxfId="4" priority="34" operator="containsText" text="F">
      <formula>NOT(ISERROR(SEARCH("F",AO425)))</formula>
    </cfRule>
    <cfRule type="containsText" dxfId="3" priority="35" operator="containsText" text="LM">
      <formula>NOT(ISERROR(SEARCH("LM",AO425)))</formula>
    </cfRule>
  </conditionalFormatting>
  <conditionalFormatting sqref="AP410:AR411">
    <cfRule type="containsText" dxfId="2" priority="25" operator="containsText" text="F">
      <formula>NOT(ISERROR(SEARCH("F",AP410)))</formula>
    </cfRule>
    <cfRule type="containsText" dxfId="1" priority="26" operator="containsText" text="LM">
      <formula>NOT(ISERROR(SEARCH("LM",AP410)))</formula>
    </cfRule>
    <cfRule type="containsText" dxfId="0" priority="27" operator="containsText" text="D">
      <formula>NOT(ISERROR(SEARCH("D",AP410)))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JEREZ</dc:creator>
  <cp:lastModifiedBy>larry cereceda barrera</cp:lastModifiedBy>
  <dcterms:created xsi:type="dcterms:W3CDTF">2025-12-11T15:55:48Z</dcterms:created>
  <dcterms:modified xsi:type="dcterms:W3CDTF">2026-04-03T23:58:18Z</dcterms:modified>
</cp:coreProperties>
</file>