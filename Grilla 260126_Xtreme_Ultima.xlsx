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C:\Users\Dell\Desktop\Xtreme\Reparacionex xtreem\Grilla\Grilla\"/>
    </mc:Choice>
  </mc:AlternateContent>
  <xr:revisionPtr revIDLastSave="0" documentId="13_ncr:1_{8B544D29-FB8F-41EB-AC3A-1E64C8B8D7A0}" xr6:coauthVersionLast="47" xr6:coauthVersionMax="47" xr10:uidLastSave="{00000000-0000-0000-0000-000000000000}"/>
  <bookViews>
    <workbookView xWindow="28680" yWindow="-120" windowWidth="29040" windowHeight="15720" firstSheet="2" activeTab="2" xr2:uid="{31EA064E-1DD4-44D8-BF29-8E2A1381EF89}"/>
  </bookViews>
  <sheets>
    <sheet name="Dotación Obra" sheetId="1" state="hidden" r:id="rId1"/>
    <sheet name="Grilla ODS" sheetId="19" state="hidden" r:id="rId2"/>
    <sheet name="MANO DE OBRA" sheetId="30" r:id="rId3"/>
    <sheet name="RESUMEN" sheetId="6" r:id="rId4"/>
    <sheet name="Hoja2" sheetId="29" state="hidden" r:id="rId5"/>
    <sheet name="Hoja4" sheetId="27" state="hidden" r:id="rId6"/>
    <sheet name="Personal en Proceso a Contratar" sheetId="26" state="hidden" r:id="rId7"/>
    <sheet name="Modificacion MO " sheetId="8" state="hidden" r:id="rId8"/>
    <sheet name="Sindicato y LM" sheetId="22" r:id="rId9"/>
    <sheet name="Detalle" sheetId="14" state="hidden" r:id="rId10"/>
    <sheet name="Vacantes" sheetId="17" state="hidden" r:id="rId11"/>
    <sheet name="Dinamica Grupos" sheetId="11" state="hidden" r:id="rId12"/>
    <sheet name="Dinamica 7x7TA" sheetId="15" state="hidden" r:id="rId13"/>
    <sheet name="Dinamica 5x2 TA" sheetId="16" state="hidden" r:id="rId14"/>
    <sheet name="Dotación Ampliación" sheetId="2" state="hidden" r:id="rId15"/>
    <sheet name="Dotación por Depto" sheetId="3" state="hidden" r:id="rId16"/>
    <sheet name="Resumen Vacantes" sheetId="31" r:id="rId17"/>
  </sheets>
  <externalReferences>
    <externalReference r:id="rId18"/>
  </externalReferences>
  <definedNames>
    <definedName name="_xlnm._FilterDatabase" localSheetId="14" hidden="1">'Dotación Ampliación'!$B$2:$C$2</definedName>
    <definedName name="_xlnm._FilterDatabase" localSheetId="0" hidden="1">'Dotación Obra'!$B$2:$C$2</definedName>
    <definedName name="_xlnm._FilterDatabase" localSheetId="15" hidden="1">'Dotación por Depto'!$B$2:$C$2</definedName>
    <definedName name="_xlnm._FilterDatabase" localSheetId="1" hidden="1">'Grilla ODS'!$B$2:$T$193</definedName>
    <definedName name="_xlnm._FilterDatabase" localSheetId="2" hidden="1">'MANO DE OBRA'!$B$3:$N$121</definedName>
    <definedName name="_xlnm._FilterDatabase" localSheetId="6" hidden="1">'Personal en Proceso a Contratar'!$B$1:$D$34</definedName>
    <definedName name="_xlnm.Print_Area" localSheetId="3">RESUMEN!$B$2:$N$30</definedName>
  </definedNames>
  <calcPr calcId="191029"/>
  <pivotCaches>
    <pivotCache cacheId="10" r:id="rId19"/>
    <pivotCache cacheId="11" r:id="rId20"/>
    <pivotCache cacheId="12" r:id="rId21"/>
    <pivotCache cacheId="13" r:id="rId22"/>
    <pivotCache cacheId="14" r:id="rId2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0" i="31" l="1" a="1"/>
  <c r="B50" i="31" s="1"/>
  <c r="B42" i="31" a="1"/>
  <c r="B42" i="31" s="1"/>
  <c r="B34" i="31" a="1"/>
  <c r="B34" i="31" s="1"/>
  <c r="B26" i="31" a="1"/>
  <c r="B26" i="31" s="1"/>
  <c r="F50" i="31" a="1"/>
  <c r="F50" i="31" s="1"/>
  <c r="A50" i="31" a="1"/>
  <c r="A50" i="31" s="1"/>
  <c r="F42" i="31" a="1"/>
  <c r="F42" i="31" s="1"/>
  <c r="F34" i="31" a="1"/>
  <c r="F34" i="31" s="1"/>
  <c r="A34" i="31" a="1"/>
  <c r="A34" i="31" s="1"/>
  <c r="F26" i="31" a="1"/>
  <c r="F26" i="31" s="1"/>
  <c r="A26" i="31" a="1"/>
  <c r="A26" i="31" s="1"/>
  <c r="E50" i="31" a="1"/>
  <c r="E50" i="31" s="1"/>
  <c r="D50" i="31" a="1"/>
  <c r="D50" i="31" s="1"/>
  <c r="C50" i="31" a="1"/>
  <c r="C50" i="31" s="1"/>
  <c r="E42" i="31" a="1"/>
  <c r="E42" i="31" s="1"/>
  <c r="D42" i="31" a="1"/>
  <c r="D42" i="31" s="1"/>
  <c r="C42" i="31" a="1"/>
  <c r="C42" i="31" s="1"/>
  <c r="E34" i="31" a="1"/>
  <c r="E34" i="31" s="1"/>
  <c r="D34" i="31" a="1"/>
  <c r="D34" i="31" s="1"/>
  <c r="C34" i="31" a="1"/>
  <c r="C34" i="31" s="1"/>
  <c r="E26" i="31" a="1"/>
  <c r="E26" i="31" s="1"/>
  <c r="D26" i="31" a="1"/>
  <c r="D26" i="31" s="1"/>
  <c r="C26" i="31" a="1"/>
  <c r="C26" i="31" s="1"/>
  <c r="C19" i="31"/>
  <c r="C18" i="31"/>
  <c r="C17" i="31"/>
  <c r="C16" i="31"/>
  <c r="C15" i="31"/>
  <c r="C14" i="31"/>
  <c r="B10" i="31"/>
  <c r="F9" i="31"/>
  <c r="E9" i="31"/>
  <c r="D9" i="31"/>
  <c r="C9" i="31" s="1"/>
  <c r="B9" i="31"/>
  <c r="D8" i="31"/>
  <c r="C8" i="31" s="1"/>
  <c r="C10" i="31" s="1"/>
  <c r="E10" i="31" s="1"/>
  <c r="B8" i="31"/>
  <c r="F7" i="31"/>
  <c r="E7" i="31"/>
  <c r="D7" i="31"/>
  <c r="C7" i="31" s="1"/>
  <c r="B7" i="31"/>
  <c r="F6" i="31"/>
  <c r="E6" i="31"/>
  <c r="D6" i="31"/>
  <c r="C6" i="31" s="1"/>
  <c r="B6" i="31"/>
  <c r="F132" i="30"/>
  <c r="H137" i="30"/>
  <c r="A12" i="22"/>
  <c r="A9" i="22"/>
  <c r="A10" i="22"/>
  <c r="A11" i="22"/>
  <c r="A42" i="31" l="1" a="1"/>
  <c r="A42" i="31" s="1"/>
  <c r="E8" i="31"/>
  <c r="D10" i="31"/>
  <c r="F8" i="31"/>
  <c r="D16" i="22"/>
  <c r="F212" i="30"/>
  <c r="F211" i="30"/>
  <c r="P210" i="30"/>
  <c r="F210" i="30"/>
  <c r="F209" i="30"/>
  <c r="P208" i="30"/>
  <c r="O208" i="30"/>
  <c r="F208" i="30"/>
  <c r="R204" i="30"/>
  <c r="Q204" i="30"/>
  <c r="R203" i="30"/>
  <c r="Q203" i="30"/>
  <c r="R202" i="30"/>
  <c r="R201" i="30"/>
  <c r="Q201" i="30"/>
  <c r="R200" i="30"/>
  <c r="R199" i="30"/>
  <c r="R198" i="30"/>
  <c r="R197" i="30"/>
  <c r="R196" i="30"/>
  <c r="R195" i="30"/>
  <c r="R194" i="30"/>
  <c r="R193" i="30"/>
  <c r="R192" i="30"/>
  <c r="R190" i="30"/>
  <c r="Q190" i="30"/>
  <c r="R189" i="30"/>
  <c r="Q189" i="30"/>
  <c r="R188" i="30"/>
  <c r="R187" i="30"/>
  <c r="R186" i="30"/>
  <c r="R185" i="30"/>
  <c r="R184" i="30"/>
  <c r="Q184" i="30"/>
  <c r="R182" i="30"/>
  <c r="Q182" i="30"/>
  <c r="R181" i="30"/>
  <c r="Q181" i="30"/>
  <c r="R180" i="30"/>
  <c r="R179" i="30"/>
  <c r="R178" i="30"/>
  <c r="R177" i="30"/>
  <c r="R176" i="30"/>
  <c r="Q176" i="30"/>
  <c r="R175" i="30"/>
  <c r="Q175" i="30"/>
  <c r="R174" i="30"/>
  <c r="R173" i="30"/>
  <c r="R172" i="30"/>
  <c r="Q172" i="30"/>
  <c r="R171" i="30"/>
  <c r="R170" i="30"/>
  <c r="R169" i="30"/>
  <c r="Q169" i="30"/>
  <c r="N138" i="30"/>
  <c r="K138" i="30"/>
  <c r="T137" i="30"/>
  <c r="N137" i="30"/>
  <c r="L137" i="30"/>
  <c r="K137" i="30"/>
  <c r="I137" i="30"/>
  <c r="N136" i="30"/>
  <c r="K136" i="30"/>
  <c r="H136" i="30"/>
  <c r="N135" i="30"/>
  <c r="K135" i="30"/>
  <c r="H135" i="30"/>
  <c r="N134" i="30"/>
  <c r="K134" i="30"/>
  <c r="H134" i="30"/>
  <c r="N133" i="30"/>
  <c r="K133" i="30"/>
  <c r="H133" i="30"/>
  <c r="N132" i="30"/>
  <c r="K132" i="30"/>
  <c r="H132" i="30"/>
  <c r="N131" i="30"/>
  <c r="K131" i="30"/>
  <c r="H131" i="30"/>
  <c r="F131" i="30"/>
  <c r="N130" i="30"/>
  <c r="K130" i="30"/>
  <c r="H130" i="30"/>
  <c r="F130" i="30"/>
  <c r="N129" i="30"/>
  <c r="K129" i="30"/>
  <c r="H129" i="30"/>
  <c r="F129" i="30"/>
  <c r="K128" i="30"/>
  <c r="F128" i="30"/>
  <c r="N127" i="30"/>
  <c r="K127" i="30"/>
  <c r="H127" i="30"/>
  <c r="F127" i="30"/>
  <c r="N126" i="30"/>
  <c r="K126" i="30"/>
  <c r="H126" i="30"/>
  <c r="F126" i="30"/>
  <c r="N125" i="30"/>
  <c r="K125" i="30"/>
  <c r="H125" i="30"/>
  <c r="F125" i="30"/>
  <c r="K124" i="30"/>
  <c r="H124" i="30"/>
  <c r="H138" i="30" s="1"/>
  <c r="F124" i="30"/>
  <c r="R116" i="30"/>
  <c r="Q116" i="30"/>
  <c r="R115" i="30"/>
  <c r="Q115" i="30"/>
  <c r="R114" i="30"/>
  <c r="Q114" i="30"/>
  <c r="R113" i="30"/>
  <c r="Q113" i="30"/>
  <c r="R112" i="30"/>
  <c r="Q112" i="30"/>
  <c r="R111" i="30"/>
  <c r="Q111" i="30"/>
  <c r="R110" i="30"/>
  <c r="Q110" i="30"/>
  <c r="R109" i="30"/>
  <c r="Q109" i="30"/>
  <c r="R108" i="30"/>
  <c r="Q108" i="30"/>
  <c r="R107" i="30"/>
  <c r="Q107" i="30"/>
  <c r="R106" i="30"/>
  <c r="Q106" i="30"/>
  <c r="R105" i="30"/>
  <c r="Q105" i="30"/>
  <c r="R104" i="30"/>
  <c r="Q104" i="30"/>
  <c r="R103" i="30"/>
  <c r="Q103" i="30"/>
  <c r="R102" i="30"/>
  <c r="Q102" i="30"/>
  <c r="R101" i="30"/>
  <c r="Q101" i="30"/>
  <c r="R100" i="30"/>
  <c r="Q100" i="30"/>
  <c r="R99" i="30"/>
  <c r="Q99" i="30"/>
  <c r="R98" i="30"/>
  <c r="Q98" i="30"/>
  <c r="R97" i="30"/>
  <c r="Q97" i="30"/>
  <c r="R96" i="30"/>
  <c r="Q96" i="30"/>
  <c r="R95" i="30"/>
  <c r="Q95" i="30"/>
  <c r="R94" i="30"/>
  <c r="Q94" i="30"/>
  <c r="R93" i="30"/>
  <c r="Q93" i="30"/>
  <c r="R92" i="30"/>
  <c r="Q92" i="30"/>
  <c r="R91" i="30"/>
  <c r="Q91" i="30"/>
  <c r="R90" i="30"/>
  <c r="Q90" i="30"/>
  <c r="R89" i="30"/>
  <c r="Q89" i="30"/>
  <c r="R88" i="30"/>
  <c r="Q88" i="30"/>
  <c r="R87" i="30"/>
  <c r="Q87" i="30"/>
  <c r="R86" i="30"/>
  <c r="R85" i="30"/>
  <c r="R84" i="30"/>
  <c r="R83" i="30"/>
  <c r="R82" i="30"/>
  <c r="R81" i="30"/>
  <c r="R80" i="30"/>
  <c r="R79" i="30"/>
  <c r="R78" i="30"/>
  <c r="R77" i="30"/>
  <c r="R76" i="30"/>
  <c r="R75" i="30"/>
  <c r="R74" i="30"/>
  <c r="R73" i="30"/>
  <c r="R72" i="30"/>
  <c r="R71" i="30"/>
  <c r="R70" i="30"/>
  <c r="R69" i="30"/>
  <c r="R68" i="30"/>
  <c r="R67" i="30"/>
  <c r="R66" i="30"/>
  <c r="R65" i="30"/>
  <c r="R64" i="30"/>
  <c r="R63" i="30"/>
  <c r="R62" i="30"/>
  <c r="R61" i="30"/>
  <c r="R60" i="30"/>
  <c r="R59" i="30"/>
  <c r="R58" i="30"/>
  <c r="R57" i="30"/>
  <c r="R56" i="30"/>
  <c r="R55" i="30"/>
  <c r="R54" i="30"/>
  <c r="R53" i="30"/>
  <c r="R52" i="30"/>
  <c r="R51" i="30"/>
  <c r="R50" i="30"/>
  <c r="R49" i="30"/>
  <c r="R48" i="30"/>
  <c r="R47" i="30"/>
  <c r="R46" i="30"/>
  <c r="R45" i="30"/>
  <c r="R44" i="30"/>
  <c r="R43" i="30"/>
  <c r="R41" i="30"/>
  <c r="R40" i="30"/>
  <c r="Q40" i="30"/>
  <c r="R39" i="30"/>
  <c r="Q39" i="30"/>
  <c r="R38" i="30"/>
  <c r="R37" i="30"/>
  <c r="R36" i="30"/>
  <c r="Q36" i="30"/>
  <c r="R35" i="30"/>
  <c r="R34" i="30"/>
  <c r="R33" i="30"/>
  <c r="R32" i="30"/>
  <c r="Q32" i="30"/>
  <c r="R31" i="30"/>
  <c r="R30" i="30"/>
  <c r="Q30" i="30"/>
  <c r="R29" i="30"/>
  <c r="R28" i="30"/>
  <c r="R27" i="30"/>
  <c r="Q27" i="30"/>
  <c r="R24" i="30"/>
  <c r="R23" i="30"/>
  <c r="R22" i="30"/>
  <c r="R21" i="30"/>
  <c r="R20" i="30"/>
  <c r="R19" i="30"/>
  <c r="R18" i="30"/>
  <c r="R17" i="30"/>
  <c r="Q17" i="30"/>
  <c r="R15" i="30"/>
  <c r="Q15" i="30"/>
  <c r="R14" i="30"/>
  <c r="Q14" i="30"/>
  <c r="R13" i="30"/>
  <c r="R12" i="30"/>
  <c r="R11" i="30"/>
  <c r="R10" i="30"/>
  <c r="Q10" i="30"/>
  <c r="R9" i="30"/>
  <c r="R8" i="30"/>
  <c r="Q8" i="30"/>
  <c r="R7" i="30"/>
  <c r="R6" i="30"/>
  <c r="Q6" i="30"/>
  <c r="R5" i="30"/>
  <c r="C20" i="31" l="1"/>
  <c r="C21" i="31" s="1"/>
  <c r="F10" i="31"/>
  <c r="E223" i="30"/>
  <c r="Q208" i="30"/>
  <c r="Q212" i="30" s="1"/>
  <c r="E221" i="30"/>
  <c r="K139" i="30"/>
  <c r="K141" i="30" s="1"/>
  <c r="H139" i="30"/>
  <c r="H141" i="30" s="1"/>
  <c r="R208" i="30"/>
  <c r="Q210" i="30"/>
  <c r="Q211" i="30" s="1"/>
  <c r="N124" i="30"/>
  <c r="E219" i="30"/>
  <c r="E220" i="30"/>
  <c r="D15" i="31" l="1"/>
  <c r="D18" i="31"/>
  <c r="D17" i="31"/>
  <c r="D20" i="31"/>
  <c r="D14" i="31"/>
  <c r="D19" i="31"/>
  <c r="D16" i="31"/>
  <c r="E222" i="30"/>
  <c r="E224" i="30" s="1"/>
  <c r="E226" i="30" s="1"/>
  <c r="N139" i="30"/>
  <c r="N141" i="30" s="1"/>
  <c r="D21" i="31" l="1"/>
  <c r="A6" i="22"/>
  <c r="A7" i="22"/>
  <c r="A8" i="22"/>
  <c r="A4" i="22"/>
  <c r="A5" i="22"/>
  <c r="A3" i="22"/>
  <c r="J18" i="6" l="1"/>
  <c r="K18" i="6" l="1"/>
  <c r="J20" i="6" l="1"/>
  <c r="I17" i="6"/>
  <c r="I16" i="6"/>
  <c r="I15" i="6"/>
  <c r="I14" i="6"/>
  <c r="H17" i="6"/>
  <c r="G17" i="6"/>
  <c r="F17" i="6"/>
  <c r="E17" i="6"/>
  <c r="H16" i="6"/>
  <c r="G16" i="6"/>
  <c r="F16" i="6"/>
  <c r="E16" i="6"/>
  <c r="H15" i="6"/>
  <c r="G15" i="6"/>
  <c r="F15" i="6"/>
  <c r="H14" i="6"/>
  <c r="E14" i="6"/>
  <c r="F13" i="6"/>
  <c r="E13" i="6"/>
  <c r="G14" i="6" l="1"/>
  <c r="K16" i="6"/>
  <c r="G13" i="6"/>
  <c r="E15" i="6"/>
  <c r="E20" i="6" s="1"/>
  <c r="I13" i="6"/>
  <c r="I20" i="6" s="1"/>
  <c r="F14" i="6"/>
  <c r="F20" i="6" s="1"/>
  <c r="G20" i="6" l="1"/>
  <c r="H13" i="6"/>
  <c r="H20" i="6" s="1"/>
  <c r="E21" i="6"/>
  <c r="S108" i="19" l="1"/>
  <c r="S109" i="19"/>
  <c r="S110" i="19"/>
  <c r="S111" i="19"/>
  <c r="S112" i="19"/>
  <c r="S193" i="19"/>
  <c r="S191" i="19"/>
  <c r="S186" i="19"/>
  <c r="S185" i="19"/>
  <c r="S184" i="19"/>
  <c r="S174" i="19"/>
  <c r="S173" i="19"/>
  <c r="S167" i="19"/>
  <c r="S166" i="19"/>
  <c r="S162" i="19"/>
  <c r="S161" i="19"/>
  <c r="S159" i="19"/>
  <c r="S156" i="19"/>
  <c r="S144" i="19"/>
  <c r="S143" i="19"/>
  <c r="S142" i="19"/>
  <c r="S141" i="19"/>
  <c r="S140" i="19"/>
  <c r="S139" i="19"/>
  <c r="S138" i="19"/>
  <c r="S137" i="19"/>
  <c r="S136" i="19"/>
  <c r="S133" i="19"/>
  <c r="S131" i="19"/>
  <c r="S130" i="19"/>
  <c r="S121" i="19"/>
  <c r="S120" i="19"/>
  <c r="S119" i="19"/>
  <c r="S118" i="19"/>
  <c r="S117" i="19"/>
  <c r="S116" i="19"/>
  <c r="S115" i="19"/>
  <c r="S114" i="19"/>
  <c r="S106" i="19"/>
  <c r="S105" i="19"/>
  <c r="S104" i="19"/>
  <c r="S103" i="19"/>
  <c r="S102" i="19"/>
  <c r="S100" i="19"/>
  <c r="S99" i="19"/>
  <c r="S98" i="19"/>
  <c r="S97" i="19"/>
  <c r="S96" i="19"/>
  <c r="S94" i="19"/>
  <c r="S93" i="19"/>
  <c r="S92" i="19"/>
  <c r="S91" i="19"/>
  <c r="S90" i="19"/>
  <c r="S88" i="19"/>
  <c r="S87" i="19"/>
  <c r="S86" i="19"/>
  <c r="S85" i="19"/>
  <c r="S84" i="19"/>
  <c r="S38" i="19"/>
  <c r="S37" i="19"/>
  <c r="S36" i="19"/>
  <c r="S33" i="19"/>
  <c r="S29" i="19"/>
  <c r="S27" i="19"/>
  <c r="S23" i="19"/>
  <c r="S15" i="19"/>
  <c r="S14" i="19"/>
  <c r="S13" i="19"/>
  <c r="S10" i="19"/>
  <c r="S7" i="19"/>
  <c r="S5" i="19"/>
  <c r="R195" i="19"/>
  <c r="F199" i="19"/>
  <c r="E198" i="19"/>
  <c r="E197" i="19"/>
  <c r="E196" i="19"/>
  <c r="Q195" i="19"/>
  <c r="P195" i="19"/>
  <c r="E195" i="19"/>
  <c r="T193" i="19"/>
  <c r="T191" i="19"/>
  <c r="T190" i="19"/>
  <c r="T189" i="19"/>
  <c r="T188" i="19"/>
  <c r="T187" i="19"/>
  <c r="T186" i="19"/>
  <c r="T185" i="19"/>
  <c r="T184" i="19"/>
  <c r="T183" i="19"/>
  <c r="T182" i="19"/>
  <c r="T181" i="19"/>
  <c r="T180" i="19"/>
  <c r="T179" i="19"/>
  <c r="T178" i="19"/>
  <c r="T177" i="19"/>
  <c r="T176" i="19"/>
  <c r="T174" i="19"/>
  <c r="T173" i="19"/>
  <c r="T172" i="19"/>
  <c r="T171" i="19"/>
  <c r="T170" i="19"/>
  <c r="T169" i="19"/>
  <c r="T168" i="19"/>
  <c r="T167" i="19"/>
  <c r="T166" i="19"/>
  <c r="T165" i="19"/>
  <c r="T164" i="19"/>
  <c r="T163" i="19"/>
  <c r="T162" i="19"/>
  <c r="T161" i="19"/>
  <c r="T160" i="19"/>
  <c r="T159" i="19"/>
  <c r="T158" i="19"/>
  <c r="T157" i="19"/>
  <c r="T156" i="19"/>
  <c r="T155" i="19"/>
  <c r="T154" i="19"/>
  <c r="T153" i="19"/>
  <c r="T152" i="19"/>
  <c r="T151" i="19"/>
  <c r="T150" i="19"/>
  <c r="T149" i="19"/>
  <c r="T148" i="19"/>
  <c r="T147" i="19"/>
  <c r="T146" i="19"/>
  <c r="T145" i="19"/>
  <c r="T144" i="19"/>
  <c r="T143" i="19"/>
  <c r="T142" i="19"/>
  <c r="T141" i="19"/>
  <c r="T140" i="19"/>
  <c r="T139" i="19"/>
  <c r="T138" i="19"/>
  <c r="T137" i="19"/>
  <c r="T136" i="19"/>
  <c r="T135" i="19"/>
  <c r="T134" i="19"/>
  <c r="T133" i="19"/>
  <c r="T132" i="19"/>
  <c r="T131" i="19"/>
  <c r="T130" i="19"/>
  <c r="T129" i="19"/>
  <c r="T128" i="19"/>
  <c r="T127" i="19"/>
  <c r="T126" i="19"/>
  <c r="T125" i="19"/>
  <c r="T124" i="19"/>
  <c r="T121" i="19"/>
  <c r="T120" i="19"/>
  <c r="T119" i="19"/>
  <c r="T118" i="19"/>
  <c r="T117" i="19"/>
  <c r="T116" i="19"/>
  <c r="T115" i="19"/>
  <c r="T114" i="19"/>
  <c r="D206" i="19"/>
  <c r="T112" i="19"/>
  <c r="T111" i="19"/>
  <c r="T110" i="19"/>
  <c r="T109" i="19"/>
  <c r="T108" i="19"/>
  <c r="T107" i="19"/>
  <c r="T106" i="19"/>
  <c r="T105" i="19"/>
  <c r="T104" i="19"/>
  <c r="T103" i="19"/>
  <c r="T102" i="19"/>
  <c r="T101" i="19"/>
  <c r="T100" i="19"/>
  <c r="T99" i="19"/>
  <c r="T98" i="19"/>
  <c r="T97" i="19"/>
  <c r="T96" i="19"/>
  <c r="T95" i="19"/>
  <c r="T94" i="19"/>
  <c r="T93" i="19"/>
  <c r="T92" i="19"/>
  <c r="T91" i="19"/>
  <c r="T90" i="19"/>
  <c r="T89" i="19"/>
  <c r="T88" i="19"/>
  <c r="T87" i="19"/>
  <c r="T86" i="19"/>
  <c r="T85" i="19"/>
  <c r="T84" i="19"/>
  <c r="T83" i="19"/>
  <c r="T82" i="19"/>
  <c r="T81" i="19"/>
  <c r="T80" i="19"/>
  <c r="T79" i="19"/>
  <c r="T78" i="19"/>
  <c r="T77" i="19"/>
  <c r="T76" i="19"/>
  <c r="T75" i="19"/>
  <c r="T74" i="19"/>
  <c r="T73" i="19"/>
  <c r="T72" i="19"/>
  <c r="T71" i="19"/>
  <c r="T70" i="19"/>
  <c r="T69" i="19"/>
  <c r="T68" i="19"/>
  <c r="T67" i="19"/>
  <c r="T66" i="19"/>
  <c r="T65" i="19"/>
  <c r="T64" i="19"/>
  <c r="T63" i="19"/>
  <c r="T62" i="19"/>
  <c r="T61" i="19"/>
  <c r="T60" i="19"/>
  <c r="T59" i="19"/>
  <c r="T58" i="19"/>
  <c r="T57" i="19"/>
  <c r="T56" i="19"/>
  <c r="T55" i="19"/>
  <c r="T54" i="19"/>
  <c r="T53" i="19"/>
  <c r="T52" i="19"/>
  <c r="T51" i="19"/>
  <c r="T50" i="19"/>
  <c r="T49" i="19"/>
  <c r="T48" i="19"/>
  <c r="T47" i="19"/>
  <c r="T46" i="19"/>
  <c r="T45" i="19"/>
  <c r="T44" i="19"/>
  <c r="T43" i="19"/>
  <c r="T42" i="19"/>
  <c r="T41" i="19"/>
  <c r="T40" i="19"/>
  <c r="T39" i="19"/>
  <c r="T38" i="19"/>
  <c r="T37" i="19"/>
  <c r="T36" i="19"/>
  <c r="T35" i="19"/>
  <c r="T34" i="19"/>
  <c r="T33" i="19"/>
  <c r="T32" i="19"/>
  <c r="T31" i="19"/>
  <c r="T30" i="19"/>
  <c r="T29" i="19"/>
  <c r="T28" i="19"/>
  <c r="T27" i="19"/>
  <c r="T26" i="19"/>
  <c r="T25" i="19"/>
  <c r="T24" i="19"/>
  <c r="T23" i="19"/>
  <c r="T22" i="19"/>
  <c r="T21" i="19"/>
  <c r="T20" i="19"/>
  <c r="T19" i="19"/>
  <c r="T18" i="19"/>
  <c r="T17" i="19"/>
  <c r="T16" i="19"/>
  <c r="T15" i="19"/>
  <c r="T14" i="19"/>
  <c r="T13" i="19"/>
  <c r="T12" i="19"/>
  <c r="T11" i="19"/>
  <c r="T10" i="19"/>
  <c r="T9" i="19"/>
  <c r="T8" i="19"/>
  <c r="T7" i="19"/>
  <c r="T6" i="19"/>
  <c r="T5" i="19"/>
  <c r="T4" i="19"/>
  <c r="C76" i="14"/>
  <c r="M74" i="14"/>
  <c r="M44" i="14"/>
  <c r="M4" i="14"/>
  <c r="J44" i="14"/>
  <c r="G47" i="14"/>
  <c r="G76" i="14" s="1"/>
  <c r="G23" i="14"/>
  <c r="G4" i="14"/>
  <c r="C21" i="14"/>
  <c r="C49" i="14"/>
  <c r="R197" i="19" l="1"/>
  <c r="S195" i="19"/>
  <c r="S197" i="19" s="1"/>
  <c r="D209" i="19"/>
  <c r="D207" i="19"/>
  <c r="D208" i="19"/>
  <c r="T195" i="19"/>
  <c r="E200" i="19"/>
  <c r="D205" i="19"/>
  <c r="D210" i="19" s="1"/>
  <c r="D212" i="19" s="1"/>
  <c r="D10" i="17"/>
  <c r="C108" i="14"/>
  <c r="C79" i="14"/>
  <c r="J73" i="14"/>
  <c r="G79" i="14" l="1"/>
  <c r="G95" i="14" s="1"/>
  <c r="C77" i="14"/>
  <c r="J74" i="14"/>
  <c r="H5" i="17"/>
  <c r="H21" i="6" l="1"/>
  <c r="F21" i="6"/>
  <c r="D77" i="2"/>
  <c r="D46" i="2"/>
  <c r="I21" i="6" l="1"/>
  <c r="E60" i="3"/>
  <c r="E59" i="3"/>
  <c r="E37" i="3"/>
  <c r="E36" i="3"/>
  <c r="E22" i="2" l="1"/>
  <c r="E21" i="2"/>
  <c r="E20" i="2"/>
  <c r="D87" i="3" l="1"/>
  <c r="E41" i="3"/>
  <c r="E40" i="3"/>
  <c r="E39" i="3"/>
  <c r="E51" i="3"/>
  <c r="E56" i="3"/>
  <c r="E86" i="3"/>
  <c r="E85" i="3"/>
  <c r="E84" i="3"/>
  <c r="E83" i="3"/>
  <c r="E81" i="3"/>
  <c r="E80" i="3"/>
  <c r="E79" i="3"/>
  <c r="E78" i="3"/>
  <c r="E76" i="3"/>
  <c r="E70" i="3"/>
  <c r="E74" i="3"/>
  <c r="E73" i="3"/>
  <c r="E72" i="3"/>
  <c r="E71" i="3"/>
  <c r="E69" i="3"/>
  <c r="E68" i="3"/>
  <c r="E66" i="3"/>
  <c r="E65" i="3"/>
  <c r="E64" i="3"/>
  <c r="E63" i="3"/>
  <c r="E62" i="3"/>
  <c r="E7" i="3"/>
  <c r="E6" i="3"/>
  <c r="E4" i="3"/>
  <c r="E26" i="3"/>
  <c r="E25" i="3"/>
  <c r="E24" i="3"/>
  <c r="E23" i="3"/>
  <c r="E22" i="3"/>
  <c r="E20" i="3"/>
  <c r="E19" i="3"/>
  <c r="E18" i="3"/>
  <c r="E17" i="3"/>
  <c r="E16" i="3"/>
  <c r="E13" i="3"/>
  <c r="C87" i="3"/>
  <c r="E11" i="3"/>
  <c r="E10" i="3"/>
  <c r="E14" i="3"/>
  <c r="E31" i="3"/>
  <c r="E35" i="3"/>
  <c r="E34" i="3"/>
  <c r="E33" i="3"/>
  <c r="E32" i="3"/>
  <c r="E30" i="3"/>
  <c r="E29" i="3"/>
  <c r="E28" i="3"/>
  <c r="E58" i="3"/>
  <c r="E57" i="3"/>
  <c r="E42" i="3"/>
  <c r="E54" i="3"/>
  <c r="E47" i="3"/>
  <c r="E49" i="3"/>
  <c r="E48" i="3"/>
  <c r="E46" i="3"/>
  <c r="E45" i="3"/>
  <c r="E44" i="3"/>
  <c r="E43" i="3"/>
  <c r="E53" i="3"/>
  <c r="E52" i="3"/>
  <c r="E67" i="3"/>
  <c r="E77" i="3"/>
  <c r="E8" i="3"/>
  <c r="C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19" i="2"/>
  <c r="E18" i="2"/>
  <c r="E17" i="2"/>
  <c r="E16" i="2"/>
  <c r="E8" i="2"/>
  <c r="E15" i="2"/>
  <c r="E14" i="2"/>
  <c r="E13" i="2"/>
  <c r="E12" i="2"/>
  <c r="E11" i="2"/>
  <c r="E10" i="2"/>
  <c r="E9" i="2"/>
  <c r="E7" i="2"/>
  <c r="E6" i="2"/>
  <c r="E5" i="2"/>
  <c r="E4" i="2"/>
  <c r="E3" i="2"/>
  <c r="G7" i="1"/>
  <c r="E77" i="1"/>
  <c r="G77" i="1" s="1"/>
  <c r="F81" i="1"/>
  <c r="D79" i="1"/>
  <c r="D81" i="1" s="1"/>
  <c r="E69" i="1"/>
  <c r="G69" i="1" s="1"/>
  <c r="E68" i="1"/>
  <c r="G68" i="1" s="1"/>
  <c r="E63" i="1"/>
  <c r="G63" i="1" s="1"/>
  <c r="E62" i="1"/>
  <c r="G62" i="1" s="1"/>
  <c r="E59" i="1"/>
  <c r="G59" i="1" s="1"/>
  <c r="E57" i="1"/>
  <c r="G57" i="1" s="1"/>
  <c r="D45" i="1"/>
  <c r="E44" i="1"/>
  <c r="G44" i="1" s="1"/>
  <c r="E43" i="1"/>
  <c r="G43" i="1" s="1"/>
  <c r="E42" i="1"/>
  <c r="G42" i="1" s="1"/>
  <c r="E41" i="1"/>
  <c r="G41" i="1" s="1"/>
  <c r="E40" i="1"/>
  <c r="G40" i="1" s="1"/>
  <c r="E35" i="1"/>
  <c r="G35" i="1" s="1"/>
  <c r="E34" i="1"/>
  <c r="G34" i="1" s="1"/>
  <c r="E29" i="1"/>
  <c r="G29" i="1" s="1"/>
  <c r="E28" i="1"/>
  <c r="G28" i="1" s="1"/>
  <c r="E23" i="1"/>
  <c r="G23" i="1" s="1"/>
  <c r="E19" i="1"/>
  <c r="G19" i="1" s="1"/>
  <c r="E17" i="1"/>
  <c r="G17" i="1" s="1"/>
  <c r="E77" i="2" l="1"/>
  <c r="E46" i="2"/>
  <c r="D79" i="2"/>
  <c r="E12" i="3"/>
  <c r="E87" i="3" s="1"/>
  <c r="C46" i="2"/>
  <c r="C79" i="2" s="1"/>
  <c r="E79" i="2" l="1"/>
  <c r="E51" i="1" l="1"/>
  <c r="G51" i="1" s="1"/>
  <c r="E52" i="1"/>
  <c r="G52" i="1" s="1"/>
  <c r="E53" i="1"/>
  <c r="G53" i="1" s="1"/>
  <c r="E54" i="1"/>
  <c r="G54" i="1" s="1"/>
  <c r="E55" i="1"/>
  <c r="G55" i="1" s="1"/>
  <c r="E56" i="1"/>
  <c r="G56" i="1" s="1"/>
  <c r="E58" i="1"/>
  <c r="G58" i="1" s="1"/>
  <c r="E60" i="1"/>
  <c r="G60" i="1" s="1"/>
  <c r="E61" i="1"/>
  <c r="G61" i="1" s="1"/>
  <c r="E64" i="1"/>
  <c r="G64" i="1" s="1"/>
  <c r="E65" i="1"/>
  <c r="G65" i="1" s="1"/>
  <c r="E66" i="1"/>
  <c r="G66" i="1" s="1"/>
  <c r="E67" i="1"/>
  <c r="G67" i="1" s="1"/>
  <c r="E70" i="1"/>
  <c r="G70" i="1" s="1"/>
  <c r="E71" i="1"/>
  <c r="G71" i="1" s="1"/>
  <c r="E72" i="1"/>
  <c r="G72" i="1" s="1"/>
  <c r="E73" i="1"/>
  <c r="G73" i="1" s="1"/>
  <c r="E74" i="1"/>
  <c r="G74" i="1" s="1"/>
  <c r="E75" i="1"/>
  <c r="G75" i="1" s="1"/>
  <c r="E76" i="1"/>
  <c r="G76" i="1" s="1"/>
  <c r="E78" i="1"/>
  <c r="G78" i="1" s="1"/>
  <c r="E50" i="1"/>
  <c r="G50" i="1" s="1"/>
  <c r="E4" i="1"/>
  <c r="G4" i="1" s="1"/>
  <c r="E5" i="1"/>
  <c r="G5" i="1" s="1"/>
  <c r="E6" i="1"/>
  <c r="G6" i="1" s="1"/>
  <c r="E8" i="1"/>
  <c r="E9" i="1"/>
  <c r="G9" i="1" s="1"/>
  <c r="E10" i="1"/>
  <c r="G10" i="1" s="1"/>
  <c r="E11" i="1"/>
  <c r="G11" i="1" s="1"/>
  <c r="E12" i="1"/>
  <c r="G12" i="1" s="1"/>
  <c r="E13" i="1"/>
  <c r="G13" i="1" s="1"/>
  <c r="E14" i="1"/>
  <c r="G14" i="1" s="1"/>
  <c r="E15" i="1"/>
  <c r="G15" i="1" s="1"/>
  <c r="E16" i="1"/>
  <c r="G16" i="1" s="1"/>
  <c r="E18" i="1"/>
  <c r="G18" i="1" s="1"/>
  <c r="E20" i="1"/>
  <c r="G20" i="1" s="1"/>
  <c r="E21" i="1"/>
  <c r="G21" i="1" s="1"/>
  <c r="E22" i="1"/>
  <c r="G22" i="1" s="1"/>
  <c r="E24" i="1"/>
  <c r="G24" i="1" s="1"/>
  <c r="E25" i="1"/>
  <c r="G25" i="1" s="1"/>
  <c r="E26" i="1"/>
  <c r="E27" i="1"/>
  <c r="G27" i="1" s="1"/>
  <c r="E30" i="1"/>
  <c r="G30" i="1" s="1"/>
  <c r="E31" i="1"/>
  <c r="G31" i="1" s="1"/>
  <c r="E32" i="1"/>
  <c r="G32" i="1" s="1"/>
  <c r="E36" i="1"/>
  <c r="G36" i="1" s="1"/>
  <c r="E37" i="1"/>
  <c r="G37" i="1" s="1"/>
  <c r="E38" i="1"/>
  <c r="G38" i="1" s="1"/>
  <c r="E39" i="1"/>
  <c r="G39" i="1" s="1"/>
  <c r="E3" i="1"/>
  <c r="C79" i="1"/>
  <c r="C33" i="1"/>
  <c r="E33" i="1" s="1"/>
  <c r="G33" i="1" s="1"/>
  <c r="C7" i="1"/>
  <c r="G79" i="1" l="1"/>
  <c r="E79" i="1"/>
  <c r="C45" i="1"/>
  <c r="C81" i="1" s="1"/>
  <c r="G3" i="1"/>
  <c r="E7" i="1"/>
  <c r="E45" i="1" l="1"/>
  <c r="E81" i="1" s="1"/>
  <c r="G45" i="1"/>
  <c r="G81" i="1" s="1"/>
  <c r="K17" i="6"/>
  <c r="K15" i="6"/>
  <c r="K14" i="6"/>
  <c r="K13" i="6" l="1"/>
  <c r="G21" i="6"/>
  <c r="K20" i="6" l="1"/>
  <c r="E25" i="6"/>
  <c r="E26" i="6" l="1"/>
  <c r="F141" i="30"/>
  <c r="F139" i="30"/>
  <c r="F134" i="30"/>
  <c r="F138" i="30"/>
  <c r="F137" i="30"/>
  <c r="F135" i="30"/>
  <c r="F133" i="30"/>
  <c r="F136" i="30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DIEGO ARAYA</author>
    <author>KARO</author>
  </authors>
  <commentList>
    <comment ref="J34" authorId="0" shapeId="0" xr:uid="{815AEB49-927E-4EF1-9C62-7306AC974779}">
      <text>
        <r>
          <rPr>
            <b/>
            <sz val="9"/>
            <color indexed="81"/>
            <rFont val="Tahoma"/>
            <family val="2"/>
          </rPr>
          <t>DIEGO ARAYA:</t>
        </r>
        <r>
          <rPr>
            <sz val="9"/>
            <color indexed="81"/>
            <rFont val="Tahoma"/>
            <family val="2"/>
          </rPr>
          <t xml:space="preserve">
CUBREN PUESTO DE OPERADOR DE GRUA PARA CUADRILLAS
</t>
        </r>
      </text>
    </comment>
    <comment ref="V61" authorId="1" shapeId="0" xr:uid="{7BBBCEA5-E21E-469E-AA6D-2F9B7B75E927}">
      <text>
        <r>
          <rPr>
            <b/>
            <sz val="9"/>
            <color indexed="81"/>
            <rFont val="Tahoma"/>
            <family val="2"/>
          </rPr>
          <t xml:space="preserve">DISPONIBLE DESDE EL MIERCOLES 3-12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62" authorId="0" shapeId="0" xr:uid="{30CF3E3D-F2EF-4DAA-9750-855AC21E3A60}">
      <text>
        <r>
          <rPr>
            <b/>
            <sz val="9"/>
            <color indexed="81"/>
            <rFont val="Tahoma"/>
            <family val="2"/>
          </rPr>
          <t>DIEGO ARAYA:</t>
        </r>
        <r>
          <rPr>
            <sz val="9"/>
            <color indexed="81"/>
            <rFont val="Tahoma"/>
            <family val="2"/>
          </rPr>
          <t xml:space="preserve">
pasa a operador de brokk</t>
        </r>
      </text>
    </comment>
    <comment ref="G62" authorId="0" shapeId="0" xr:uid="{39F74880-7F9B-4912-BE5E-78E9DB510DE5}">
      <text>
        <r>
          <rPr>
            <b/>
            <sz val="9"/>
            <color indexed="81"/>
            <rFont val="Tahoma"/>
            <family val="2"/>
          </rPr>
          <t>DIEGO ARAYA:</t>
        </r>
        <r>
          <rPr>
            <sz val="9"/>
            <color indexed="81"/>
            <rFont val="Tahoma"/>
            <family val="2"/>
          </rPr>
          <t xml:space="preserve">
Pasa a operador de mixer
</t>
        </r>
      </text>
    </comment>
    <comment ref="G77" authorId="0" shapeId="0" xr:uid="{9B974808-591F-464B-86EE-74F0387E349C}">
      <text>
        <r>
          <rPr>
            <b/>
            <sz val="9"/>
            <color indexed="81"/>
            <rFont val="Tahoma"/>
            <family val="2"/>
          </rPr>
          <t xml:space="preserve">DIEGO ARAYA¨:
Pasa a operador brokk
</t>
        </r>
      </text>
    </comment>
    <comment ref="G82" authorId="0" shapeId="0" xr:uid="{0E535EC8-6673-42C1-87BB-5A9BBD0439DD}">
      <text>
        <r>
          <rPr>
            <b/>
            <sz val="9"/>
            <color indexed="81"/>
            <rFont val="Tahoma"/>
            <family val="2"/>
          </rPr>
          <t>DIEGO ARAYA:</t>
        </r>
        <r>
          <rPr>
            <sz val="9"/>
            <color indexed="81"/>
            <rFont val="Tahoma"/>
            <family val="2"/>
          </rPr>
          <t xml:space="preserve">
pasa a operador de mixer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CONTROL DOCUMENT 29207</author>
    <author>Dell</author>
    <author>tc={E75F20E7-D1BF-43D6-92AA-D610F2299B7D}</author>
    <author>Barbara Miranda</author>
    <author>tc={6D72AE4F-1A14-446B-8992-2D6C1BE38A94}</author>
    <author>tc={E464F1EB-951F-4AB1-9C71-69C3549D0EC9}</author>
    <author>tc={886B6643-CFD0-46B9-8F38-D4B7A4D9B39B}</author>
    <author>tc={70BF7156-DD76-45B6-B59E-245A4E31A558}</author>
    <author>DIEGO ARAYA</author>
    <author>tc={1E1D4F05-6D4A-48E3-ABAB-7EC7B873898B}</author>
    <author>FMAÑAN</author>
  </authors>
  <commentList>
    <comment ref="J23" authorId="0" shapeId="0" xr:uid="{DB9C6DE3-3A3A-45D8-801A-6ED75D9CBA1A}">
      <text>
        <r>
          <rPr>
            <b/>
            <sz val="9"/>
            <color indexed="81"/>
            <rFont val="Tahoma"/>
            <family val="2"/>
          </rPr>
          <t>C</t>
        </r>
        <r>
          <rPr>
            <b/>
            <sz val="11"/>
            <color indexed="81"/>
            <rFont val="Tahoma"/>
            <family val="2"/>
          </rPr>
          <t>ontrato operador equipo levante</t>
        </r>
      </text>
    </comment>
    <comment ref="E26" authorId="1" shapeId="0" xr:uid="{70C3F5CD-D81E-47A9-8BED-1572924A0C7B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En espera certificacion y licencias</t>
        </r>
      </text>
    </comment>
    <comment ref="G26" authorId="1" shapeId="0" xr:uid="{4A290375-4409-4608-90E9-B5A5BBBA9F17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Falta certificar y licencias</t>
        </r>
      </text>
    </comment>
    <comment ref="M32" authorId="2" shapeId="0" xr:uid="{E75F20E7-D1BF-43D6-92AA-D610F2299B7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Falta acreditar y licencia para operar</t>
      </text>
    </comment>
    <comment ref="E37" authorId="3" shapeId="0" xr:uid="{6BF8BD6A-BC8B-4D4A-A13C-EA4F4AA995BC}">
      <text>
        <r>
          <rPr>
            <b/>
            <sz val="9"/>
            <color indexed="81"/>
            <rFont val="Tahoma"/>
            <family val="2"/>
          </rPr>
          <t>Barbara Miranda:</t>
        </r>
        <r>
          <rPr>
            <sz val="9"/>
            <color indexed="81"/>
            <rFont val="Tahoma"/>
            <family val="2"/>
          </rPr>
          <t xml:space="preserve">
En proceso como Op Eq Levante</t>
        </r>
      </text>
    </comment>
    <comment ref="G40" authorId="4" shapeId="0" xr:uid="{6D72AE4F-1A14-446B-8992-2D6C1BE38A94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Falta licencia y certificar</t>
      </text>
    </comment>
    <comment ref="M40" authorId="1" shapeId="0" xr:uid="{4584359E-F47A-4038-8CC2-01D4CAEEE157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Falta certificacion y licencias
</t>
        </r>
      </text>
    </comment>
    <comment ref="E47" authorId="5" shapeId="0" xr:uid="{E464F1EB-951F-4AB1-9C71-69C3549D0EC9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LM</t>
      </text>
    </comment>
    <comment ref="G54" authorId="1" shapeId="0" xr:uid="{43ADB6AE-346E-4835-9F84-180C97E29412}">
      <text>
        <r>
          <rPr>
            <b/>
            <sz val="9"/>
            <color indexed="81"/>
            <rFont val="Tahoma"/>
            <family val="2"/>
          </rPr>
          <t>Dell:</t>
        </r>
        <r>
          <rPr>
            <sz val="9"/>
            <color indexed="81"/>
            <rFont val="Tahoma"/>
            <family val="2"/>
          </rPr>
          <t xml:space="preserve">
Falta certificar y licencias</t>
        </r>
      </text>
    </comment>
    <comment ref="E60" authorId="6" shapeId="0" xr:uid="{886B6643-CFD0-46B9-8F38-D4B7A4D9B39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Falta certificar y licencia</t>
      </text>
    </comment>
    <comment ref="J66" authorId="0" shapeId="0" xr:uid="{7AAB33AB-0498-42B4-8D0A-2DA6DCC65427}">
      <text>
        <r>
          <rPr>
            <sz val="9"/>
            <color indexed="81"/>
            <rFont val="Tahoma"/>
            <family val="2"/>
          </rPr>
          <t xml:space="preserve">REVISAR CARGO
</t>
        </r>
      </text>
    </comment>
    <comment ref="J75" authorId="7" shapeId="0" xr:uid="{70BF7156-DD76-45B6-B59E-245A4E31A558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IMM</t>
      </text>
    </comment>
    <comment ref="G86" authorId="8" shapeId="0" xr:uid="{6EDF3AA2-E5C1-4674-84C2-9298A34FFDF3}">
      <text>
        <r>
          <rPr>
            <b/>
            <sz val="9"/>
            <color indexed="81"/>
            <rFont val="Tahoma"/>
            <family val="2"/>
          </rPr>
          <t>DIEGO ARAYA:</t>
        </r>
        <r>
          <rPr>
            <sz val="9"/>
            <color indexed="81"/>
            <rFont val="Tahoma"/>
            <family val="2"/>
          </rPr>
          <t xml:space="preserve">
pasa a operador de mixer
</t>
        </r>
      </text>
    </comment>
    <comment ref="G104" authorId="9" shapeId="0" xr:uid="{1E1D4F05-6D4A-48E3-ABAB-7EC7B873898B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Falta licencia y acreditar</t>
      </text>
    </comment>
    <comment ref="G112" authorId="10" shapeId="0" xr:uid="{D225ABDD-B129-4659-9BF9-A2274F9B8919}">
      <text>
        <r>
          <rPr>
            <b/>
            <sz val="9"/>
            <color indexed="81"/>
            <rFont val="Tahoma"/>
            <family val="2"/>
          </rPr>
          <t>FMAÑAN:</t>
        </r>
        <r>
          <rPr>
            <sz val="9"/>
            <color indexed="81"/>
            <rFont val="Tahoma"/>
            <family val="2"/>
          </rPr>
          <t xml:space="preserve">
Sera desvinculado.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<sst xmlns="http://schemas.openxmlformats.org/spreadsheetml/2006/main" count="4608" uniqueCount="1203">
  <si>
    <t>JEFE DE TURNO</t>
  </si>
  <si>
    <t>PREVENCIONISTA DE TURNO</t>
  </si>
  <si>
    <t>INGENIERO SALA DE CONTROL</t>
  </si>
  <si>
    <t xml:space="preserve">LIDER ELECTRICISTA </t>
  </si>
  <si>
    <t xml:space="preserve">MAESTRO ELECTRICISTAS </t>
  </si>
  <si>
    <t>AYUDANTE ELECTRICISTA</t>
  </si>
  <si>
    <t>MAESTRO MONTAJE</t>
  </si>
  <si>
    <t xml:space="preserve">LIDER MECÁNICO </t>
  </si>
  <si>
    <t>AYUDANTE MONTAJE</t>
  </si>
  <si>
    <t xml:space="preserve">MAESTRO MECANICO </t>
  </si>
  <si>
    <t>SOLDADOR MONTAJE</t>
  </si>
  <si>
    <t>MECÁNICO ESPECIALISTA</t>
  </si>
  <si>
    <t xml:space="preserve">MECANICO MANTENCIÓN </t>
  </si>
  <si>
    <t xml:space="preserve">VULCANIZADOR </t>
  </si>
  <si>
    <t xml:space="preserve">OPERADOR SCOOP </t>
  </si>
  <si>
    <t xml:space="preserve">SOLDADOR MANTENCION </t>
  </si>
  <si>
    <t>OPERADOR EQUIPO LEVANTE</t>
  </si>
  <si>
    <t>ELECTROMECANICO</t>
  </si>
  <si>
    <t>ELECTRONICO</t>
  </si>
  <si>
    <t>BODEGUERO</t>
  </si>
  <si>
    <t xml:space="preserve">CHOFER SERVICIOS </t>
  </si>
  <si>
    <t xml:space="preserve">OPERADOR JUMBO FORTIFICACION </t>
  </si>
  <si>
    <t xml:space="preserve">OPERADOR ROBOSHOT </t>
  </si>
  <si>
    <t>OPERADOR JUMBO RADIAL</t>
  </si>
  <si>
    <t xml:space="preserve">OPERADOR BOMBA DE HORMIGÓN </t>
  </si>
  <si>
    <t>OPERADOR RETROEXCAVADORA - ACUÑADOR</t>
  </si>
  <si>
    <t xml:space="preserve">OPERADOR EQUIPO LEVANTE/ MINI CARGADOR </t>
  </si>
  <si>
    <t>CAPATAZ MINERIA - OOCC</t>
  </si>
  <si>
    <t>MAESTRO MINERÍA - OOCC</t>
  </si>
  <si>
    <t>AYUDANTE MINERÍA - OOCC</t>
  </si>
  <si>
    <t>CAPATAZ MONTAJE</t>
  </si>
  <si>
    <t>CD+CI</t>
  </si>
  <si>
    <t>CONTROL DOCUMENTOS</t>
  </si>
  <si>
    <t>ADMINISTRADOR DE CONTRATO</t>
  </si>
  <si>
    <t xml:space="preserve">JEFE DE TERRENO </t>
  </si>
  <si>
    <t>JEFE DE OPERACIONES</t>
  </si>
  <si>
    <t>INGENIERO PROGRAMACION Y CONTROL</t>
  </si>
  <si>
    <t>INGENIERO OF. TECNICA A</t>
  </si>
  <si>
    <t>INGENIERO OF. TECNICA B</t>
  </si>
  <si>
    <t>ENCARGADO DE CALIDAD</t>
  </si>
  <si>
    <t>TOPOGRAFO</t>
  </si>
  <si>
    <t xml:space="preserve">ENCARGADO DE BODEGA </t>
  </si>
  <si>
    <t>ALARIFE</t>
  </si>
  <si>
    <t>LABORATORISTA</t>
  </si>
  <si>
    <t>JEFE ADMINISTRATIVO</t>
  </si>
  <si>
    <t>JEFE SSO</t>
  </si>
  <si>
    <t>ENCARGADO HERRAM. GESTION</t>
  </si>
  <si>
    <t>ASISTENTE ADMINISTRATIVO</t>
  </si>
  <si>
    <t xml:space="preserve">PASATIEMPO </t>
  </si>
  <si>
    <t>ASISTENTE DE ASEO</t>
  </si>
  <si>
    <t>JEFE ELECTRICO</t>
  </si>
  <si>
    <t xml:space="preserve">SECRETARIO TECNICO MANTENCION </t>
  </si>
  <si>
    <t>ADMINISTRATIVOS</t>
  </si>
  <si>
    <t>TOTAL</t>
  </si>
  <si>
    <t>ODS N°1</t>
  </si>
  <si>
    <t>CARGO</t>
  </si>
  <si>
    <t>INSTRUCTOR BOLTEC</t>
  </si>
  <si>
    <t>BODEGUERO/COMPRADOR</t>
  </si>
  <si>
    <t>OPERADOR BOLTEC</t>
  </si>
  <si>
    <t>OPERADOR MIXER</t>
  </si>
  <si>
    <t>OPERADOR BROKK</t>
  </si>
  <si>
    <t>SOLDADOR MONTAJE (MINERÍA Y OOCC)</t>
  </si>
  <si>
    <t>SUPERVISOR MONTAJE</t>
  </si>
  <si>
    <t>CAPATAZ MISCELÁNEOS</t>
  </si>
  <si>
    <t>MAESTRO AVANZADO MISCELÁNEOS</t>
  </si>
  <si>
    <t>MAESTRO OOCC MISCELÁNEOS</t>
  </si>
  <si>
    <t>AYUDANTE MISCELÁNEOS</t>
  </si>
  <si>
    <t>SOLDADOR MONTAJE MISCELÁNEOS</t>
  </si>
  <si>
    <t>DOT. TOTAL AJUSTADA</t>
  </si>
  <si>
    <t>JEFE OFICINA TECNICA</t>
  </si>
  <si>
    <t>JEFE SALA DE CONTROL</t>
  </si>
  <si>
    <t>INSPECTOR DE CALIDAD</t>
  </si>
  <si>
    <t>NIVELADOR</t>
  </si>
  <si>
    <t>ESPECIALISTA DIBUJANTE</t>
  </si>
  <si>
    <t>ENCARGADO RESSO</t>
  </si>
  <si>
    <t>ENCARGADO MA</t>
  </si>
  <si>
    <t>JEFE MAQUINARIA</t>
  </si>
  <si>
    <t>SUPERVISOR MECÁNICO</t>
  </si>
  <si>
    <t xml:space="preserve">ECO05 </t>
  </si>
  <si>
    <t>TOTAL DOTACIÓN OBRA</t>
  </si>
  <si>
    <t>CUADRILLAS MINERÍA Y OOCC</t>
  </si>
  <si>
    <t>CUADRILLA MONTAJE</t>
  </si>
  <si>
    <t>CUADRILLA MISCELÁNEOS</t>
  </si>
  <si>
    <t>OPERADORES</t>
  </si>
  <si>
    <t>SECRETARIO TECNICO MAQUINARIA</t>
  </si>
  <si>
    <t>ÁREA MAQUINARIA</t>
  </si>
  <si>
    <t>ÁREA OPERACIONES</t>
  </si>
  <si>
    <t>ÁREA ELÉCTRICA</t>
  </si>
  <si>
    <t>ÁREA ABASTECIMIENTO Y LOGÍSTICA</t>
  </si>
  <si>
    <t>OFICINA TÉCNICA</t>
  </si>
  <si>
    <t>SEGURIDAD Y MEDIO AMBIENTE</t>
  </si>
  <si>
    <t>RELACIONES LABORALES</t>
  </si>
  <si>
    <t>ADC</t>
  </si>
  <si>
    <t>CHOFER SERVICIOS (EXPLOSIVOS)</t>
  </si>
  <si>
    <t>CHOFER SERVICIOS (CAMIONETAS)</t>
  </si>
  <si>
    <t>CHOFER SERVICIOS (PLANO)</t>
  </si>
  <si>
    <t>CHOFER SERVICIOS (TOLVA)</t>
  </si>
  <si>
    <t>NIVELADOR TOPÓGRAFO</t>
  </si>
  <si>
    <t>*Dot. Ajustada ECO05</t>
  </si>
  <si>
    <t>SUPERVISIÓN</t>
  </si>
  <si>
    <t>SALA CONTROL</t>
  </si>
  <si>
    <t>JEFE DE TURNO 1</t>
  </si>
  <si>
    <t>JEFE DE TURNO 2</t>
  </si>
  <si>
    <t>APR 1</t>
  </si>
  <si>
    <t>APR 2</t>
  </si>
  <si>
    <t>GRUPO 1</t>
  </si>
  <si>
    <t>GRUPO 2</t>
  </si>
  <si>
    <t>GRUPO 3</t>
  </si>
  <si>
    <t>GRUPO 4</t>
  </si>
  <si>
    <t>SOPORTE OPERACIÓN</t>
  </si>
  <si>
    <t>LÍDER ELECTRICISTA</t>
  </si>
  <si>
    <t>MAESTRO ELECTRICISTA 1</t>
  </si>
  <si>
    <t>MAESTRO ELECTRICISTA 2</t>
  </si>
  <si>
    <t>MAESTRO ELECTRICISTA 3</t>
  </si>
  <si>
    <t>ELECTRÓNICO</t>
  </si>
  <si>
    <t>LÍDER MECÁNICO</t>
  </si>
  <si>
    <t>MAESTRO MECÁNICO 1</t>
  </si>
  <si>
    <t>MAESTRO MECÁNICO 2</t>
  </si>
  <si>
    <t>MAESTRO MECÁNICO 3</t>
  </si>
  <si>
    <t>ELECTROMECÁNICO</t>
  </si>
  <si>
    <t>BODEGUERO 1</t>
  </si>
  <si>
    <t>CHOFER DE SERVICIOS 1</t>
  </si>
  <si>
    <t>CHOFER DE SERVICIOS 2</t>
  </si>
  <si>
    <t>CHOFER DE SERVICIOS 3</t>
  </si>
  <si>
    <t>EQUIPOS MINERÍA Y OOCC</t>
  </si>
  <si>
    <t>OPERADOR JUMBO FORTIFICACION 1</t>
  </si>
  <si>
    <t>OPERADOR JUMBO FORTIFICACION 2</t>
  </si>
  <si>
    <t>OPERADOR SCOOP 1</t>
  </si>
  <si>
    <t>OPERADOR SCOOP 2</t>
  </si>
  <si>
    <t>OPERADOR ROBOSHOT 1</t>
  </si>
  <si>
    <t>OPERADOR ROBOSHOT 2</t>
  </si>
  <si>
    <t>OPERADOR JUMBO BOLTEC</t>
  </si>
  <si>
    <t>OPERADOR JUMBO FORTIFICACION 3</t>
  </si>
  <si>
    <t>CUADRILLA 1</t>
  </si>
  <si>
    <t>CAPATAZ MINERÍA - OOCC</t>
  </si>
  <si>
    <t>MAESTRO M1</t>
  </si>
  <si>
    <t>AYUDANTE</t>
  </si>
  <si>
    <t xml:space="preserve">OPERADOR DE EQUIPO DE LEVANTE </t>
  </si>
  <si>
    <t>CUADRILLA 2</t>
  </si>
  <si>
    <t>CUADRILLA 3</t>
  </si>
  <si>
    <t>CUADRILLA 4</t>
  </si>
  <si>
    <t>CUADRILLA 5</t>
  </si>
  <si>
    <t>CUADRILLA 6</t>
  </si>
  <si>
    <t>CUADRILLA 7</t>
  </si>
  <si>
    <t>CUADRILLA 8</t>
  </si>
  <si>
    <t>CUADRILLA 9</t>
  </si>
  <si>
    <t>SOLDADOR</t>
  </si>
  <si>
    <t>CUADRILLA 10</t>
  </si>
  <si>
    <t>CUADRILLA 11</t>
  </si>
  <si>
    <t>CUADRILLA 12</t>
  </si>
  <si>
    <t>MAESTRO MONTAJE 1</t>
  </si>
  <si>
    <t>MAESTRO MONTAJE 2</t>
  </si>
  <si>
    <t>ACREDITADOS</t>
  </si>
  <si>
    <t>CONTRATADOS SIN ACREDITAR</t>
  </si>
  <si>
    <t>EN PROCESO DE CONTRATACIÓN</t>
  </si>
  <si>
    <t>VACANTES</t>
  </si>
  <si>
    <t>LICENCIAS</t>
  </si>
  <si>
    <t>SOPORTE OPERACIÓN 7x7 T°A</t>
  </si>
  <si>
    <t>MAESTRO MECÁNICO 4 G1-G2</t>
  </si>
  <si>
    <t>MAESTRO MECÁNICO 4 G3-G4</t>
  </si>
  <si>
    <t>CHOFER CAMIÓN PLANO 1 G1-G2</t>
  </si>
  <si>
    <t>CHOFER CAMIÓN PLANO 1 G2-G3</t>
  </si>
  <si>
    <t>CHOFER CAMIÓN PLANO 2 G1-G2</t>
  </si>
  <si>
    <t>CHOFER CAMIÓN PLANO 2 G3-G4</t>
  </si>
  <si>
    <t>CHOFER CAMIÓN TOLVA G1-G2</t>
  </si>
  <si>
    <t>CHOFER CAMIÓN TOLVA G3 - G4</t>
  </si>
  <si>
    <t>SOPORTE OPERACIÓN 5x2</t>
  </si>
  <si>
    <t xml:space="preserve">CHOFER CAMIÓN PLANO 3 </t>
  </si>
  <si>
    <t>MECÁNICO MANTENCIÓN G1-G2</t>
  </si>
  <si>
    <t>MECÁNICO MANTENCIÓN G3-G4</t>
  </si>
  <si>
    <t>ADMINISTRACIÓN 5x2</t>
  </si>
  <si>
    <t>OPERACIONES</t>
  </si>
  <si>
    <t>JEFE DE TERRENO 8x6 G1-G2</t>
  </si>
  <si>
    <t>JEFE DE TERRENO 8x6 G3-G4</t>
  </si>
  <si>
    <t>INSPECTOR DE CALIDAD 7x7 G1-G2</t>
  </si>
  <si>
    <t>ARRAÑO MORALES JOSE ANTONIO</t>
  </si>
  <si>
    <t>MAÑAN QUERALTO FRANCO ESTEBAN</t>
  </si>
  <si>
    <t>DROGUETT PAVEZ MARCO ANTONIO</t>
  </si>
  <si>
    <t>MIRANDA FUENTES BARBARA VALENTINA</t>
  </si>
  <si>
    <t>LEPEZ VILLAGRAN JOSE IGNACIO</t>
  </si>
  <si>
    <t>SANHUEZA ORDENES FRANCISCO</t>
  </si>
  <si>
    <t>ARAYA BERRIOS DIEGO IGNACIO</t>
  </si>
  <si>
    <t>HUAICO DONOSO FELIPE ALONSO</t>
  </si>
  <si>
    <t>PINO REVECO GONZALO JAVIER</t>
  </si>
  <si>
    <t>SILVA PEREZ JONATHAN ALEJANDRO</t>
  </si>
  <si>
    <t>ASISTENTE OFICINA TÉCNICA</t>
  </si>
  <si>
    <t>FOURNIER MUÑOZ ALEJANDRA CAROLINA</t>
  </si>
  <si>
    <t>ASTUDILLO TORO FRANCISCO JAVIER</t>
  </si>
  <si>
    <t>OLIVOS ALEGRIA DANIELA ALEXANDRA</t>
  </si>
  <si>
    <t>ALVARADO RAMIREZ NICKOL STEPHANY</t>
  </si>
  <si>
    <t>VERA GOMEZ BETZABE DEL CARMEN</t>
  </si>
  <si>
    <t>SANTIS MANZANO TERESA CAROLINA</t>
  </si>
  <si>
    <t>MOLINA PEÑA FRANCISCO EDUARDO</t>
  </si>
  <si>
    <t>MEDINA PINTO NELSON EMILIO</t>
  </si>
  <si>
    <t>ORELLANA SOLIS DAYRO ANDRES</t>
  </si>
  <si>
    <t>NECULMAN ARANGUIZ GUIDO ALBERTO</t>
  </si>
  <si>
    <t>HIDALGO CERDA FRANCISCO ANDRES</t>
  </si>
  <si>
    <t>CASTILLO LIZANA JUAN PEDRO</t>
  </si>
  <si>
    <t>BODEGUERO PLAT 12</t>
  </si>
  <si>
    <t>CELIS SOTO ARNALDO ANDRES</t>
  </si>
  <si>
    <t>A</t>
  </si>
  <si>
    <t>L</t>
  </si>
  <si>
    <t>BASE</t>
  </si>
  <si>
    <t>ODS1</t>
  </si>
  <si>
    <t>DOT. TOTAL</t>
  </si>
  <si>
    <t>MECÁNICO ESPECIALISTA G1-G2</t>
  </si>
  <si>
    <t>MECÁNICO ESPECIALISTA G3-G4</t>
  </si>
  <si>
    <t>SOLDADOR MANTENCIÓN G1-G2</t>
  </si>
  <si>
    <t>SOLDADOR MANTENCIÓN G3-G4</t>
  </si>
  <si>
    <t>ELECTROMECÁNICO G1-G2</t>
  </si>
  <si>
    <t>ELECTROMECÁNICO G3-G4</t>
  </si>
  <si>
    <t>CHOFER CAMIÓN TOLVA 2</t>
  </si>
  <si>
    <t>|</t>
  </si>
  <si>
    <t>SINDICATO</t>
  </si>
  <si>
    <t>URZUA DELGADO RODRIGO ISMAEL</t>
  </si>
  <si>
    <t>HORMAZABAL SOTO HERNAN ENRIQUE</t>
  </si>
  <si>
    <t>ROJAS HERNANDEZ MARIO ANIBAL</t>
  </si>
  <si>
    <t>OPAZO PALMA KAREN GRACIELA</t>
  </si>
  <si>
    <t>CAIFAL DURAN JUAN PABLO</t>
  </si>
  <si>
    <t>ARRIAZA VIDAL MARTIN ENRIQUE</t>
  </si>
  <si>
    <t>COLOMA TOLEDO ALVARO ALBERTO</t>
  </si>
  <si>
    <t>HENRIQUEZ ORTIZ MARCELO JAVIER</t>
  </si>
  <si>
    <t>SEGUEL CISTERNA JEAN LESTER</t>
  </si>
  <si>
    <t>SOTO SEVERINO ROBERTO ANTONIO</t>
  </si>
  <si>
    <t>RIVERA URRA DIXON ANTONIO</t>
  </si>
  <si>
    <t>FONSECA FARIAS ANGEL DANIEL</t>
  </si>
  <si>
    <t>GUTIERREZ VALENZUELA CARLOS ANDRES</t>
  </si>
  <si>
    <t>SANDOVAL CANTILLANA BRIAN DANIEL</t>
  </si>
  <si>
    <t>PEREZ BOBADILLA LUIS ALEJANDRO</t>
  </si>
  <si>
    <t>AYALA PINO FERNANDO ANTONIO</t>
  </si>
  <si>
    <t>SANDOVAL CANTILLANA MATIAS NICOLAS</t>
  </si>
  <si>
    <t>LOPEZ BARRAZA ALEXANDER ESTEBAN</t>
  </si>
  <si>
    <t>CARRASCO GUTIERREZ PABLO JAVIER</t>
  </si>
  <si>
    <t>PONCE JAÑA PABLO ENRIQUE</t>
  </si>
  <si>
    <t>V</t>
  </si>
  <si>
    <t>REDONDO JIMENEZ FELIPE ANDRES</t>
  </si>
  <si>
    <t>NUÑEZ LEON VICTOR MANUEL</t>
  </si>
  <si>
    <t>TORRES TORRES EDUARDO ANDRES</t>
  </si>
  <si>
    <t>ABARCA ESPINOZA JUAN JOSE</t>
  </si>
  <si>
    <t>CATEJO RIQUELME LUIS RODRIGO</t>
  </si>
  <si>
    <t>P</t>
  </si>
  <si>
    <t>FAUNDEZ ROMERO PATRICIO RICARDO</t>
  </si>
  <si>
    <t>VARGAS ORREGO PIA FRANCISCA</t>
  </si>
  <si>
    <t>MONSALVE VILLA RODRIGO IGNACIO</t>
  </si>
  <si>
    <t>GUAJARDO MIRANDA BRUNO SEBASTIAN</t>
  </si>
  <si>
    <t>ULLOA BERRIOS RICHARD ROSENDO</t>
  </si>
  <si>
    <t>GAJARDO CORDERO FERNANDO BASTIAN</t>
  </si>
  <si>
    <t>GUTIERREZ SOTO MAURICIO RENE</t>
  </si>
  <si>
    <t>MORENO PALMA OSVALDO ENRIQUE</t>
  </si>
  <si>
    <t>PEREZ YAÑEZ HECTOR EDUARDO</t>
  </si>
  <si>
    <t>YAÑEZ GARCIA ERASMO ERNESTO</t>
  </si>
  <si>
    <t>ADASME ROJAS LUIS MAURICIO</t>
  </si>
  <si>
    <t>GONZALEZ MORENO FRANCISCO JAVIER</t>
  </si>
  <si>
    <t>ZAMORA PINO VICTOR MANUEL</t>
  </si>
  <si>
    <t>HERNANDEZ ESPINOZA JOSE ANTONIO</t>
  </si>
  <si>
    <t>GONZALEZ QUISPE MARCO ANDRES</t>
  </si>
  <si>
    <t>MORENO MORENO ALEJANDRO ANTONIO</t>
  </si>
  <si>
    <t>CATALAN PARDO UNGER LUIS</t>
  </si>
  <si>
    <t>TAPIA MANCILLA WILDO ALEJANDRO</t>
  </si>
  <si>
    <t>FLORES LEON HECTOR MARIO</t>
  </si>
  <si>
    <t>VILLALEN HUAIQUILAO IVAN ENRIQUE</t>
  </si>
  <si>
    <t>GALLARDO LEON GUSTAVO ADOLFO</t>
  </si>
  <si>
    <t>MUÑOZ AHUMADA JUAN ANGELO</t>
  </si>
  <si>
    <t>MORALES PONCE CARLOS ALBERTO</t>
  </si>
  <si>
    <t>DONOSO ESPINOZA SEBASTIAN OSVALDO</t>
  </si>
  <si>
    <t>BARRIOS ROJAS PHILLIPE GUSTAVO</t>
  </si>
  <si>
    <t>RAMIREZ VALENCIA VALERIANO ROBERTO</t>
  </si>
  <si>
    <t>FUENTEALBA CORREA ERNESTO IVAN</t>
  </si>
  <si>
    <t>ABARCA AGUIRRE MIGUEL ANGEL</t>
  </si>
  <si>
    <t>SOTO ARRUE SERGIO ANTONIO</t>
  </si>
  <si>
    <t>VALENZUELA RIQUELME JUAN CARLOS</t>
  </si>
  <si>
    <t>LOPEZ DURAN RODRIGO ANDRES</t>
  </si>
  <si>
    <t>CHAVEZ POZO HECTOR RODRIGO</t>
  </si>
  <si>
    <t>IBARRA MONSALVE CESAR ANTONIO</t>
  </si>
  <si>
    <t>QUIROZ LOPEZ GERARDO SEBASTIAN</t>
  </si>
  <si>
    <t>ARANGUIZ ARANGUIZ MARCO ANTONIO</t>
  </si>
  <si>
    <t>VIDAL PAVEZ BASTIAN ALEXIS</t>
  </si>
  <si>
    <t>ROJAS PEREZ RICARDO ESTEBAN</t>
  </si>
  <si>
    <t>BERROCAL AGUILAR JOSE RUBEN</t>
  </si>
  <si>
    <t>DONOSO GONZALEZ ARMANDO</t>
  </si>
  <si>
    <t>RAMIREZ CERDA LUIS ALBERTO</t>
  </si>
  <si>
    <t>ESCOBAR ESCOBAR JUAN CARLOS</t>
  </si>
  <si>
    <t>URBINA POBLETE CRISTIAN MAURICIO(PASA A OPÉRADOR DE ROBOSHOT)</t>
  </si>
  <si>
    <t>CASTILLO PARRA JOSE MANUEL (M1 OOCC)</t>
  </si>
  <si>
    <t>MANRIQUEZ MARTINEZ ABELINO AMADOR</t>
  </si>
  <si>
    <t>QUEZADA UGALDE JOSE HERIBERTO</t>
  </si>
  <si>
    <t>LIZAMA MATURANA MAURICIO ALEJANDRO</t>
  </si>
  <si>
    <t>ROJAS BARRERA BRIAN ESTEBAN (M1 OOCC)</t>
  </si>
  <si>
    <t>SAAVEDRA ARRATIA SERGIO</t>
  </si>
  <si>
    <t>PEREZ AVILA SEBASTIAN SAMUEL</t>
  </si>
  <si>
    <t>VIVANCO ABARCA CRISTIAN ALEJANDRO</t>
  </si>
  <si>
    <t>TORO REYES JUAN NORBERTO (M1 NERO)</t>
  </si>
  <si>
    <t>ABARCA PEREZ JORGE ANTONIO (SOLDADOR)</t>
  </si>
  <si>
    <t>LOPEZ LOPEZ MARCELO PATRICIO</t>
  </si>
  <si>
    <t>QUIROZ MORAGA RODRIGO ELIAS</t>
  </si>
  <si>
    <t>DURAN RODRIGUEZ JONATHAN LUIS</t>
  </si>
  <si>
    <t>GONZALEZ MONSALVE CRISTIAN EDUARDO</t>
  </si>
  <si>
    <t>SILVA FARIAS KEVIN ANIBAL</t>
  </si>
  <si>
    <t>FICA MORALES FERNANDO RICARDO</t>
  </si>
  <si>
    <t>NAVARRO BURGOS SERGIO ANDRES</t>
  </si>
  <si>
    <t>MARTINEZ ZUÑIGA DANIEL DOMINGO</t>
  </si>
  <si>
    <t>DUARTE SEGURA MAURICIO ENRIQUE (M1 MINERO)</t>
  </si>
  <si>
    <t>LOPEZ UNION DAVID ANDRES</t>
  </si>
  <si>
    <t>LEIVA GONZALEZ FELIPE ARTURO</t>
  </si>
  <si>
    <t>CORNEJO MENDEZ FELIPE IGNACIO</t>
  </si>
  <si>
    <t>NUÑEZ LARA JOSE NICOLAS</t>
  </si>
  <si>
    <t>ARROYO LOBOS EDUARDO ENRIQUE</t>
  </si>
  <si>
    <t>TAPIA CAMPOS CLAUDIO HERNAN</t>
  </si>
  <si>
    <t>JIMENEZ NEIRA DIEGO NICOLAS  OP GRUA</t>
  </si>
  <si>
    <t>REUSSIER MANRIQUEZ OMAR JAMPIER</t>
  </si>
  <si>
    <t>SACRE ASTORGA SEBASTIAN ALEJANDRO (CAPATAZ)</t>
  </si>
  <si>
    <t>GONZALEZ JABANA JAVIER JOSE</t>
  </si>
  <si>
    <t>MUÑOZ VALENZUELA CLAUDIO FRANCISCO</t>
  </si>
  <si>
    <t>GONZALEZ HERRERA JULIO GABRIEL</t>
  </si>
  <si>
    <t>BUSTAMANTE REYES FERNANDO JERONIMO (M1 MNERO)</t>
  </si>
  <si>
    <t>ULLOA SILVA ARIEL SOCRATES  (M1)</t>
  </si>
  <si>
    <t>VALDIVIA REYES PEDRO ALEJANDRO</t>
  </si>
  <si>
    <t>SANCHEZ CASTRO HORACIO DE LA CRUZ</t>
  </si>
  <si>
    <t>ARREDONDO GONZALEZ LUIS ANTONIO</t>
  </si>
  <si>
    <t>MUÑOZ ARANGUIZ CRISTOBAL IGNACIO</t>
  </si>
  <si>
    <t>VERGARA MARTINEZ FELIPE ALEJANDRO(M1 MINERO)</t>
  </si>
  <si>
    <t>LOPEZ MACIAS CARLOS ANTONIO</t>
  </si>
  <si>
    <t>SANDOVAL DAZA FELIPE ADRIAN</t>
  </si>
  <si>
    <t>DONOSO CACERES MANUEL IRENIO (OP GRUA)</t>
  </si>
  <si>
    <t>SILVA ESCOBEDO ARIEL ESTEBAN OP GRUA</t>
  </si>
  <si>
    <t>CELEDON RODRIGUEZ MAURICIO OSVALDO</t>
  </si>
  <si>
    <t>LEIVA BECERRA JAVIER ANTONIO</t>
  </si>
  <si>
    <t>DIAZ AVENDAÑO MIGUEL IGNACIO</t>
  </si>
  <si>
    <t>CARMONA ALVAREZ NALDO ALBERTO</t>
  </si>
  <si>
    <t>OYARZUN GUAJARDO FRANCISCO JAVIER</t>
  </si>
  <si>
    <t>GONZALEZ CELIS FELIX ARNALDO</t>
  </si>
  <si>
    <t>ESCOBAR MUÑOZ ENZO ISRAEL</t>
  </si>
  <si>
    <t>FERNANDEZ AREVALO GUILLERMO IGNACIO</t>
  </si>
  <si>
    <t>RODRIGUEZ GONZALEZ HERIBERTO NERY (M1 MINERO)</t>
  </si>
  <si>
    <t>CASTRO GARCIA RODRIGO ESTEBAN</t>
  </si>
  <si>
    <t>BECERRA RIVEROS JUAN PATRICIO</t>
  </si>
  <si>
    <t>SAN CRISTOBAL VELIZ OSCAR HERNAN  OP GRUA</t>
  </si>
  <si>
    <t>GONZALEZ VARAS DAGOBERTO JOAQUIN</t>
  </si>
  <si>
    <t>BLANCO MARQUEZ PIERO ENRIQUE</t>
  </si>
  <si>
    <t>ALBORNOZ ALBORNOZ PABLO ANTONIO</t>
  </si>
  <si>
    <t>LASTRA MIRANDA MIGUEL ANGEL</t>
  </si>
  <si>
    <t>MIRANDA RIQUEROS JUAN FRANCISCO</t>
  </si>
  <si>
    <t>FIGUEROA OLIVOS BERNARDO ANTONIO</t>
  </si>
  <si>
    <t>LOPEZ LOPEZ CLAUDIO FELIPE</t>
  </si>
  <si>
    <t>CHAVEZ VALLEJOS CRISTIAN GUILLERMO</t>
  </si>
  <si>
    <t>GARRIDO VILLAGRA DANIEL MAURICIO</t>
  </si>
  <si>
    <t>ALLENDE ROBLES JAVIER FRANCISCO</t>
  </si>
  <si>
    <t>PARRAO REY RICARDO ESTEBAN</t>
  </si>
  <si>
    <t>PAILAÑIR JOFRE CARLOS ALBERTO</t>
  </si>
  <si>
    <t>HERNANDEZ BARRIA JUAN</t>
  </si>
  <si>
    <t>ALAMOS DIAZ SERGIO ISMAEL</t>
  </si>
  <si>
    <t>FLORES RIQUELME NASLO GIOVANNI</t>
  </si>
  <si>
    <t>GALLARDO ANDRADE JONATHAN ANDRES</t>
  </si>
  <si>
    <t>GUZMAN CELIS GONZALO ALBERTO</t>
  </si>
  <si>
    <t>OLMOS PEREIRA NELSON RODRIGO</t>
  </si>
  <si>
    <t>MOYA PEREZ JUAN CARLOS</t>
  </si>
  <si>
    <t>GARRIDO DIAZ ANTONIO ALFONSO</t>
  </si>
  <si>
    <t>VENEGAS ALARCON DAVIS PATRICIO</t>
  </si>
  <si>
    <t>SALINAS ARANCIBIA SERGIO ANDRES</t>
  </si>
  <si>
    <t>HERRERA SAN MARTIN JUAN PABLO</t>
  </si>
  <si>
    <t>SALAZAR RODRIGUEZ CARLOS ALBERTO</t>
  </si>
  <si>
    <t>CABEZAS MORENO MARCELO ALEJANDRO</t>
  </si>
  <si>
    <t>POBLETE AZOCAR FRANCISCO JAVIER   M1 MINERO</t>
  </si>
  <si>
    <t xml:space="preserve">LEIVA RIOS FELIPE ANDRES </t>
  </si>
  <si>
    <t>CABRERA CASTILLO JOSE MIGUEL</t>
  </si>
  <si>
    <t>MATURANA ARANGUIZ LUIS ROBERTO</t>
  </si>
  <si>
    <t>PRADO YAÑEZ JAIME ANTONIO (OP GRUA)</t>
  </si>
  <si>
    <t>MONCADA ARAYA CRISTOPHER EDUARDO</t>
  </si>
  <si>
    <t>RISCO RISCO JUAN ROLANDO</t>
  </si>
  <si>
    <t>CAMPOS MICHEA NAHUN ISAI</t>
  </si>
  <si>
    <t>CARMONA JIMENEZ JUAN GUILLERMO</t>
  </si>
  <si>
    <t>CANIUMIL SALGADO VICTOR MANUEL</t>
  </si>
  <si>
    <t>GUTIERREZ OYARZUN JUAN SEGUNDO</t>
  </si>
  <si>
    <t>ARAVENA BERRIOS PATRICIO EUGENIO</t>
  </si>
  <si>
    <t>ARAUCO GONZALEZ FLAVIO ALEXANDER  soldador</t>
  </si>
  <si>
    <t>JAQUE VALENZUELA LUIS ALBERTO</t>
  </si>
  <si>
    <t>SILVA ALBRECHT MARCO ANTONIO OP GRUA</t>
  </si>
  <si>
    <t>MOLINA CONTRERAS JUAN CARLOS</t>
  </si>
  <si>
    <t>GUTIERREZ TAUCAN GUSTAVO ALEXANDER</t>
  </si>
  <si>
    <t>BAEZA VERGARA JUAN MANUEL</t>
  </si>
  <si>
    <t xml:space="preserve">LORCA ARAYA RICARDO DEL CARMEN </t>
  </si>
  <si>
    <t>MARCHANT LARENAS CARLOS GUILLERMO</t>
  </si>
  <si>
    <t>FIGUEROA SALDIAS CESAR ALFREDO</t>
  </si>
  <si>
    <t>SOTO PINO SERGIO AGUSTIN</t>
  </si>
  <si>
    <t>FERNANDEZ SEPULVEDA IGNACIO NICOLAS</t>
  </si>
  <si>
    <t>BRAVO PASTEN JOSE LUIS</t>
  </si>
  <si>
    <t>MEZA VENEGAS DANILO MAURICIO</t>
  </si>
  <si>
    <t>NUÑEZ CAVIERES MAURO ENRIQUE</t>
  </si>
  <si>
    <t>CASTILLO VERGARA CAMILO FERNANDO  soldador</t>
  </si>
  <si>
    <t>MAUREIRA ROMERO FELIPE ANDRES</t>
  </si>
  <si>
    <t>CORDOVA ZUÑIGA CARLOS ALBERTO</t>
  </si>
  <si>
    <t>GARCIA ESQUIVEL MAURICIO ANDRES</t>
  </si>
  <si>
    <t>ARENAS ROJAS ROBINSON DARIO  OP GRUA RETRO</t>
  </si>
  <si>
    <t>FERNANDEZ CAIRE MARCELO IVAN</t>
  </si>
  <si>
    <t>SEPULVEDA OVIEDO JHON ANDRES</t>
  </si>
  <si>
    <t>ITURRIAGA GONZALEZ GUILLERMO ANTONIO</t>
  </si>
  <si>
    <t xml:space="preserve">ALCAINO ALBAES LEONARDO RENE </t>
  </si>
  <si>
    <t>SANDOVAL ARIAS JONATHAN GABRIEL</t>
  </si>
  <si>
    <t>CABEZAS BADILLA JOSE FERNANDO</t>
  </si>
  <si>
    <t>ARCE SALAS CARLOS ALBERTO</t>
  </si>
  <si>
    <t>PEREZ ZUÑIGA EMILIO JOSE</t>
  </si>
  <si>
    <t>CURIN CATRIPAN VICTOR RUBEN</t>
  </si>
  <si>
    <t>VIAL BARRIA CRISTIAN RODRIGO (Soldador)</t>
  </si>
  <si>
    <t>HERRERA OBERREUTER LUIS ALEJANDRO</t>
  </si>
  <si>
    <t>URZUA TROMO ALEJANDRO ANTONIO</t>
  </si>
  <si>
    <t>NAVARRETE MARTINEZ CELINO ERASMO</t>
  </si>
  <si>
    <t>REYNOSO ZAMORANO MIGUEL ANGEL</t>
  </si>
  <si>
    <t>FLORES SOTO ALEXIS FELIPE</t>
  </si>
  <si>
    <t>C</t>
  </si>
  <si>
    <t>REVECO REVECO RODRIGO SEBASTIAN</t>
  </si>
  <si>
    <t>ROJAS BAHAMONDES LUIS EDUARDO</t>
  </si>
  <si>
    <t>VARGAS OSORIO MARCO AURELO</t>
  </si>
  <si>
    <t>PINO LIZANA LEONARDO DEL CARMEN</t>
  </si>
  <si>
    <t xml:space="preserve">JAVIER IGNACIO VERGARA AGUILAR </t>
  </si>
  <si>
    <t>FELIPE SALAZAR</t>
  </si>
  <si>
    <t>JOSE RUBIO SAEZ</t>
  </si>
  <si>
    <t>PABLO VAZQUEZ MIRANDA</t>
  </si>
  <si>
    <t>VICTOR PARRA</t>
  </si>
  <si>
    <t>CRISTOBAL MUÑOZ TERAN</t>
  </si>
  <si>
    <t>EDSON MEDINA CORONADO</t>
  </si>
  <si>
    <t>VICENTE ALBIÑA</t>
  </si>
  <si>
    <t>RODRIGO POBLETE</t>
  </si>
  <si>
    <t>Puestos adicionales por Ampliacion</t>
  </si>
  <si>
    <t xml:space="preserve">Vacantes disponibles contrato actual </t>
  </si>
  <si>
    <t>ALVAREZ ALVAREZ PAOLO SEBASTIAN</t>
  </si>
  <si>
    <t>G1</t>
  </si>
  <si>
    <t>G2</t>
  </si>
  <si>
    <t>G3</t>
  </si>
  <si>
    <t>G4</t>
  </si>
  <si>
    <t>5x2 - 7x7 T°A</t>
  </si>
  <si>
    <t>CONTRERAS RIQUELME FABIAN</t>
  </si>
  <si>
    <t>CONTRATADOS</t>
  </si>
  <si>
    <t>ALARCON LOBOS MAURICIO ALEJANDRO</t>
  </si>
  <si>
    <t xml:space="preserve">CARVAJAL AHUMADA JUAN ENRIQUE </t>
  </si>
  <si>
    <t>GALVEZ CARRASCO VÍCTOR HUGO</t>
  </si>
  <si>
    <t>PACHECO HERRERA PABLO (5x2)</t>
  </si>
  <si>
    <t>MIGUEL ANGEL TAPIA PIZARRO</t>
  </si>
  <si>
    <t xml:space="preserve">CLAUDIO HERNAN TAPIA CAMPOS </t>
  </si>
  <si>
    <t xml:space="preserve">URZUA PIÑA ALEJANDRO ESTEBAN </t>
  </si>
  <si>
    <t>MARCHANT CHACON ELIAS ENRIQUE</t>
  </si>
  <si>
    <t>LOCH ALBORNOZ DIEGO ALEJANDRO</t>
  </si>
  <si>
    <t>REYES UBILLA GONZALO ADOLFO</t>
  </si>
  <si>
    <t>PALMA PALMA JHON ANTONIO</t>
  </si>
  <si>
    <t>DIAZ NAVARRO JAIRO ANDRES</t>
  </si>
  <si>
    <t>ALARCÓN PALMA RICARDO</t>
  </si>
  <si>
    <t>ESPINOZA VAZQUEZ JORGE</t>
  </si>
  <si>
    <t xml:space="preserve">MADRID ORDOÑEZ DANIEL ALBERTO   </t>
  </si>
  <si>
    <t>ROMO ZAMORANO ITALO AMERICO</t>
  </si>
  <si>
    <t>OPAZO OPAZO SANDRO AGUSTO</t>
  </si>
  <si>
    <t>GALAZ RÁMIREZ RIENCI</t>
  </si>
  <si>
    <t>MUÑOZ CASTILLO DANIEL</t>
  </si>
  <si>
    <t>LAGOS NORAMBUENA JOSÉ</t>
  </si>
  <si>
    <t xml:space="preserve">GUTIERREZ ROJAS PATRICIO </t>
  </si>
  <si>
    <t>MARQUEZ SANCHEZ MANUEL</t>
  </si>
  <si>
    <t>PEREZ ZAMORANO FRANCISCO</t>
  </si>
  <si>
    <t>RAMOS ROJAS ÁLVARO</t>
  </si>
  <si>
    <t>CHOFER DE SERVICIOS</t>
  </si>
  <si>
    <t xml:space="preserve">CONEJEROS AVILA WILSON ALEJANDRO </t>
  </si>
  <si>
    <t xml:space="preserve">SILVA GONZALEZ JOSE ENRIQUE </t>
  </si>
  <si>
    <t>VULCANIZADOR G1-G2</t>
  </si>
  <si>
    <t>ROJAS HORMAZABAL DANIEL ENRIQUE (5x2)</t>
  </si>
  <si>
    <t>VULCANIZADOR G3-G4</t>
  </si>
  <si>
    <t>LUIS ALBERTO DIAZ ROJAS</t>
  </si>
  <si>
    <t>PINO ORTEGA PATRICIO</t>
  </si>
  <si>
    <t>RAMIREZ PEÑA SERGIO ALEJANDRO</t>
  </si>
  <si>
    <t>VALDES FARÍAS MANUEL</t>
  </si>
  <si>
    <t>VALDIVIA GONZALEZ LUIS</t>
  </si>
  <si>
    <t>GOMEZ FERNANDEZ ALEJANDRO ENRIQUE</t>
  </si>
  <si>
    <t xml:space="preserve">RIVERA DIAZ RAUL ALEJANDRO </t>
  </si>
  <si>
    <t xml:space="preserve">ARCE ARCE HUGO HERNAN </t>
  </si>
  <si>
    <t>MEDINA MEDINA ALEXON DAIRON</t>
  </si>
  <si>
    <t>GONZALEZ VALENZUELA CARLOS FRANCISCO</t>
  </si>
  <si>
    <t xml:space="preserve">IBAÑEZ GALDAMES CARLOS ALEXIS </t>
  </si>
  <si>
    <t xml:space="preserve">PADILLA JARA CARLOS MIGUEL </t>
  </si>
  <si>
    <t>PONTIGO MILLAR CLAUDIO ANDRES</t>
  </si>
  <si>
    <t>CONTRERAS MIRANDA CRISTHOFER ALAN</t>
  </si>
  <si>
    <t>PARRAGUEZ SANDOVAL DUBAL ALEJANDRO A</t>
  </si>
  <si>
    <t>MATURANA ARAYA EUGENIO ALEJANDRO (soldador)</t>
  </si>
  <si>
    <t xml:space="preserve">GONZALEZ ALONSO FELIPE IGNACIO </t>
  </si>
  <si>
    <t>ALVARADO ZUÑIGA JAVIERA IGNACIA</t>
  </si>
  <si>
    <t xml:space="preserve">TORO MUÑOZ JORGE ANDRES </t>
  </si>
  <si>
    <t xml:space="preserve">NUÑEZ DIAZ JOSE RAMON </t>
  </si>
  <si>
    <t>JIMÉNEZ NEIRA WALTER FRANCISCO (Soldador)</t>
  </si>
  <si>
    <t>MORALES BOBADILLA RIGOBERTO ANTONIO</t>
  </si>
  <si>
    <t>CABELLO RIQUELME RAYMOND EDUARDO</t>
  </si>
  <si>
    <t xml:space="preserve">PONCE SAEZ PABLO CESAR </t>
  </si>
  <si>
    <t xml:space="preserve">PIZARRO CABEZAS NICOLÁS EDUARDO </t>
  </si>
  <si>
    <t>ORELLANA RIVEROS JUAN ANDRÉS</t>
  </si>
  <si>
    <t>BASULTO ADASME LEONARDO ALONSO</t>
  </si>
  <si>
    <t>BERRIOS GALAZ ROBERTO</t>
  </si>
  <si>
    <t>7x7 T°A - 5x2</t>
  </si>
  <si>
    <t>ESTATUS</t>
  </si>
  <si>
    <t>CARRASCO CERDA CARLOS</t>
  </si>
  <si>
    <t>SINDICATO, LM Y PRÁCTICAS</t>
  </si>
  <si>
    <t>OTROS</t>
  </si>
  <si>
    <t>BONET MEDINA JOSÉ</t>
  </si>
  <si>
    <t>FOLLERT ORMEÑO RICARDO PATRICIO</t>
  </si>
  <si>
    <t>NARBONA DUQUE BRIAN GUILLERMO</t>
  </si>
  <si>
    <t>ZAMORANO BERRIOS CRISTOPHER EMILIO</t>
  </si>
  <si>
    <t>TRIVIÑO CARDOZO LUIS ALBERTO</t>
  </si>
  <si>
    <t>ROZAS ROCO MAURICIO ESTEBAN</t>
  </si>
  <si>
    <t>LEIVA NAVARRO GERALD ALEXANDER</t>
  </si>
  <si>
    <t>HERRERA ROJAS GABRIEL ALEJANDRO</t>
  </si>
  <si>
    <t>ASTORGA CASTRO AARON BRANDON</t>
  </si>
  <si>
    <t xml:space="preserve">JARA BARRIOS ROBERTO SEBASTIAN </t>
  </si>
  <si>
    <t>REYES GONZALEZ JOSE IGNACIO</t>
  </si>
  <si>
    <t xml:space="preserve">VALDIVIA PEREZ HERNAN ALEJANDRO </t>
  </si>
  <si>
    <t xml:space="preserve">VERA BERRIOS FRANCISCO JAVIER </t>
  </si>
  <si>
    <t xml:space="preserve">LIZANA ARANGUIZ ALEJANDRO ANDRES </t>
  </si>
  <si>
    <t xml:space="preserve">DIAZ CONCHA DIEGO MARTIN </t>
  </si>
  <si>
    <t>QUINTANILLA DROGUETT JUAN JOSE</t>
  </si>
  <si>
    <t xml:space="preserve">RUBIO ZAMORANO LUIS ALEJANDRO </t>
  </si>
  <si>
    <t xml:space="preserve">CAMPOS MORALES MARCELO PABLO </t>
  </si>
  <si>
    <t xml:space="preserve">DIAZ HERNANDEZ MIGUEL EMILIO </t>
  </si>
  <si>
    <t>CATRILEO QUIROZ CLAUDIO ALEXIS</t>
  </si>
  <si>
    <t>HONDARZA SAEZ BENJAMIN MATIAS</t>
  </si>
  <si>
    <t>SANHUEZA SALGADO MIGUEL ANGEL</t>
  </si>
  <si>
    <t>MATURANA ROMO ÁLVARO EMILIO</t>
  </si>
  <si>
    <t>SOTO FIGUEROA LUCIANO ANDRES</t>
  </si>
  <si>
    <t>MUÑOZ MUÑOZ DAMIAN SEBASTIAN</t>
  </si>
  <si>
    <t xml:space="preserve">OJEDA MOLINA BERNARDO ARIEL </t>
  </si>
  <si>
    <t>ACEITUNO REYES CRISTOBAL ANTONIO (5X2)</t>
  </si>
  <si>
    <t>Nombre Completo</t>
  </si>
  <si>
    <t>GUZMAN ZAMORANO RAUL ANDRES</t>
  </si>
  <si>
    <t xml:space="preserve">AGURTO CUADRA LUIS DANIEL </t>
  </si>
  <si>
    <t>DIBUJANTE</t>
  </si>
  <si>
    <t xml:space="preserve">CEBALLOS BAEZA EMILIANO DE LA CRUZ </t>
  </si>
  <si>
    <t xml:space="preserve">MONSALVE ROJAS JORGE ANTONIO </t>
  </si>
  <si>
    <t>SUPERVISOR MECÁNICO (7X7 TA)</t>
  </si>
  <si>
    <t>ARREDONDO CARREÑO OSCAR ENRIQUE</t>
  </si>
  <si>
    <t>ASISTENTE BODEGA</t>
  </si>
  <si>
    <t>Cargo Futuro</t>
  </si>
  <si>
    <t>Cargo Actual</t>
  </si>
  <si>
    <t>CABEZAS MORENO JUAN CARLOS</t>
  </si>
  <si>
    <t>NORAMBUENA ORTIZ ORLANDO ANTONIO</t>
  </si>
  <si>
    <t>MORALES BUENO MAXIMILIANO ALEXIS</t>
  </si>
  <si>
    <t>GONZALEZ JARA MANUEL ALEJANDRO</t>
  </si>
  <si>
    <t>CORREA ZAVALA PATRICIO AGUSTIN</t>
  </si>
  <si>
    <t xml:space="preserve">CONTRERAS SILVA HECTOR FABIAN </t>
  </si>
  <si>
    <t xml:space="preserve">ROJAS MILLA JOSE LUIS </t>
  </si>
  <si>
    <t>MOLLO ARAYA EDUARDO WALTER</t>
  </si>
  <si>
    <t xml:space="preserve">CARQUIN MALDONADO CRISTIAN PASCUAL </t>
  </si>
  <si>
    <t>MUÑOZ GONZALEZ DANIEL DAVID</t>
  </si>
  <si>
    <t>DONOSO GREZ ALEX ANTONIO</t>
  </si>
  <si>
    <t>CASTILLO GONZALEZ RAUL RENE</t>
  </si>
  <si>
    <t>ASISTENTE SSOO</t>
  </si>
  <si>
    <t xml:space="preserve">ABARCA PALMA BRUNO ALEJADRNO </t>
  </si>
  <si>
    <t xml:space="preserve">VERA ROCHA RODRIGO ANTONIO </t>
  </si>
  <si>
    <t>CABEZAS QUINTEROS HERNAN ANTONIO</t>
  </si>
  <si>
    <t>CELIS CARQUIN VICTOR ALFONSO</t>
  </si>
  <si>
    <t>VILLARROEL NUÑEZ VICENTE ANTONIO</t>
  </si>
  <si>
    <t>DEPARTAMENTO</t>
  </si>
  <si>
    <t>OPERACIÓN</t>
  </si>
  <si>
    <t>SEGURIDAD</t>
  </si>
  <si>
    <t>OFICINA TECNICA</t>
  </si>
  <si>
    <t>ELECTRICO</t>
  </si>
  <si>
    <t>MECANICO</t>
  </si>
  <si>
    <t>OPERADOR</t>
  </si>
  <si>
    <t>EST G1</t>
  </si>
  <si>
    <t>LIC G1</t>
  </si>
  <si>
    <t>EST G2</t>
  </si>
  <si>
    <t>LIC G2</t>
  </si>
  <si>
    <t>EST G3</t>
  </si>
  <si>
    <t>LIC G3</t>
  </si>
  <si>
    <t>EST G4</t>
  </si>
  <si>
    <t>LIC G4</t>
  </si>
  <si>
    <t>Etiquetas de fila</t>
  </si>
  <si>
    <t>Total general</t>
  </si>
  <si>
    <t>Cuenta de GRUPO 1</t>
  </si>
  <si>
    <t>Cuenta de GRUPO 2</t>
  </si>
  <si>
    <t>Cuenta de GRUPO 3</t>
  </si>
  <si>
    <t>Cuenta de GRUPO 4</t>
  </si>
  <si>
    <t>(en blanco)</t>
  </si>
  <si>
    <t>EST 7X7 TA</t>
  </si>
  <si>
    <t>LIC 7X7 TA</t>
  </si>
  <si>
    <t>EST 5X2</t>
  </si>
  <si>
    <t>LIC 5X2 TA</t>
  </si>
  <si>
    <t>Cuenta de SOPORTE OPERACIÓN 7x7 T°A</t>
  </si>
  <si>
    <t>Cuenta de SOPORTE OPERACIÓN 5x2</t>
  </si>
  <si>
    <t>GARRIDO CASTILLO CRISTOFER NIVALDO</t>
  </si>
  <si>
    <t>CORTES MICHEA LUIS FERNANDO</t>
  </si>
  <si>
    <t>ZAMORANO DONOSO VICTOR EDUARDO</t>
  </si>
  <si>
    <t>MONSALVE AMPUERO PATRICIO ALEJANDRO</t>
  </si>
  <si>
    <t xml:space="preserve">RUBIO REY DIEGO ESTEBAN </t>
  </si>
  <si>
    <t>AHUMADA GUZMAN LEONARDO ENRIQUE</t>
  </si>
  <si>
    <t>MORALES RIVERA FELIPE ANDRES</t>
  </si>
  <si>
    <t>GONZALEZ CACERES PATRICIO OCTAVIO</t>
  </si>
  <si>
    <t>REYES OCAMPO MARIO RAFAEL</t>
  </si>
  <si>
    <t>URBINA POBLETE PATRICIO ANDRES (SOLDADOR)</t>
  </si>
  <si>
    <t>DIAZ ZAMORANO NICOLAS LUIS</t>
  </si>
  <si>
    <t>CORNEJO CARO ALEXIS ENRIQUE</t>
  </si>
  <si>
    <t>GONZALEZ CONTRERAS JONATHAN MARIANO</t>
  </si>
  <si>
    <t>CUADRA IBACETA DIEGO SAIT</t>
  </si>
  <si>
    <t>QUEZADA UGALDE ALEXIS ROBERT</t>
  </si>
  <si>
    <t>PEREZ ARAUCO ANIBAL CAMILO</t>
  </si>
  <si>
    <t>RODRIGUEZ ROJAS RICHARD OMAR</t>
  </si>
  <si>
    <t>COVARRUBIAS NAVARRO GUILLERMO ENRIQUE</t>
  </si>
  <si>
    <t>PINO AZUA JOSE MIGUEL</t>
  </si>
  <si>
    <t>NORAMBUENA VERA MICHAEL IGNACIO</t>
  </si>
  <si>
    <t>PEREZ CARO LORENZO CELEDONIO</t>
  </si>
  <si>
    <t xml:space="preserve">ORTIZ BRUNA JORGE FERNANDO </t>
  </si>
  <si>
    <t>ZAMORA TAPIA VALENTINA FERNANDA</t>
  </si>
  <si>
    <t>ORDENES ROJAS JUAN ENRIQUE</t>
  </si>
  <si>
    <t>MONCADA BARRERA HECTOR CRISTOPHER</t>
  </si>
  <si>
    <t>PAREDES EYZAGUIRRE JORGE IVAN</t>
  </si>
  <si>
    <t xml:space="preserve">SOTO IRRAZABAL MAURICIO SEBASTIAN </t>
  </si>
  <si>
    <t>JILBERTO GÓMEZ ANTONIO ALEJANDRO</t>
  </si>
  <si>
    <t>REYES VILLAGRA FRANCISCO ABDÓN</t>
  </si>
  <si>
    <t>ZAPATA URRA SERGIO GABRIEL</t>
  </si>
  <si>
    <t xml:space="preserve">VALENZUELA CONTRERAS FERNANDO MOISES </t>
  </si>
  <si>
    <t>DONOSO PARRA JONATHAN ANDRES</t>
  </si>
  <si>
    <t>Grupo 2</t>
  </si>
  <si>
    <t>Grupo 4</t>
  </si>
  <si>
    <t>Grupo 1</t>
  </si>
  <si>
    <t>Grupo 3</t>
  </si>
  <si>
    <t>5x2</t>
  </si>
  <si>
    <t>Soporte 
7x7 TA</t>
  </si>
  <si>
    <t>VALDIVIA MENARES SERGIO ANDRES</t>
  </si>
  <si>
    <t xml:space="preserve">ORTEGA HERRERA JUAN DANIEL </t>
  </si>
  <si>
    <t>CARRILLO GONZALEZ MAURICIO</t>
  </si>
  <si>
    <t xml:space="preserve">CUMINIQUIR POVEDA KEVIN ELIAS </t>
  </si>
  <si>
    <t>LUNA AMPUERO JOSE PEDRO</t>
  </si>
  <si>
    <t>INZUNZA ÓRDENES SANTIAGO ABRAHAM</t>
  </si>
  <si>
    <t>ALDUNCE DEVIA MIGUEL ANGEL</t>
  </si>
  <si>
    <t>DROGUETT MUÑOZ MARCOS ANTONIO</t>
  </si>
  <si>
    <t>REYES JOHNSON CLAUDIO ANDRÉS</t>
  </si>
  <si>
    <t>HUENCHUMÁN LÓPEZ ALAN FABIÁN ANDRÉS</t>
  </si>
  <si>
    <t>JERIA BASÁEZ JORGE ENRIQUE</t>
  </si>
  <si>
    <t>NARVÁEZ BÓRQUEZ CHRISTIAN MARCELO</t>
  </si>
  <si>
    <t>ARANDA ZENTENO CARLOS SEBASTIÁN</t>
  </si>
  <si>
    <t>BARRERA CASTRO SEBASTIÁN DEL CARMEN</t>
  </si>
  <si>
    <t>DUARTE PAILAMILLA CLAUDIO ERBAN</t>
  </si>
  <si>
    <t>GONZÁLEZ MORENO JOSÉ LUIS</t>
  </si>
  <si>
    <t>ILUFFI MORENO LEMMY  ZDRAVKO</t>
  </si>
  <si>
    <t>RÁMIREZ CANTILLANA LUIS ALBERTO</t>
  </si>
  <si>
    <t>TAPIA BARRÍA RICHARD OMAR</t>
  </si>
  <si>
    <t>TOBAR VERGARA JUAN PABLO</t>
  </si>
  <si>
    <t>GODOY BARRERA ROBERTO JAVIER</t>
  </si>
  <si>
    <t>PALOMINO COLLANTES EVA SOLEDAD</t>
  </si>
  <si>
    <t>CORREA GALDAMES MAURICIO ALFONSO</t>
  </si>
  <si>
    <t xml:space="preserve">LOPEZ BUSTAMANTE CARLOS ENRIQUE </t>
  </si>
  <si>
    <t>GOMEZ ARANGUIZ JORGE ENRIQUE</t>
  </si>
  <si>
    <t>SANCHEZ MALDONADO EDUARDO ANTONIO</t>
  </si>
  <si>
    <t xml:space="preserve">CERDA ROMERO MARCELO ALEJANDRO </t>
  </si>
  <si>
    <t>MARTINEZ NUÑEZ KEVIN FABRIZIO</t>
  </si>
  <si>
    <t>SAGREDO OCHOA JOSE EDUARDO</t>
  </si>
  <si>
    <t>PINILLA MONTECINOS CAROL ANDREA</t>
  </si>
  <si>
    <t>ARANGUIZ CASTRO JOSE MIGUEL</t>
  </si>
  <si>
    <t>SEPULVEDA MACAYA LUIS MIGUEL</t>
  </si>
  <si>
    <t>VIDAL VIDAL NICHOLAS DIEGO</t>
  </si>
  <si>
    <t>LEYTON NÚÑEZ CAMILO ANTONIO</t>
  </si>
  <si>
    <t xml:space="preserve">MEDINA VALENCIA OSCAR EDUARDO </t>
  </si>
  <si>
    <t>CHANCY RIOS JOHAN SEFANO</t>
  </si>
  <si>
    <t>CAPATAZ 7X7 TA G1 -G2</t>
  </si>
  <si>
    <t>NOMBRE ACTUAL</t>
  </si>
  <si>
    <t xml:space="preserve">NOMBRE FUTURO </t>
  </si>
  <si>
    <t>MOYA GALVEZ ORLANDO MISAEL</t>
  </si>
  <si>
    <t>MIRANDA RAMOS JAVIER ALEJANDRO</t>
  </si>
  <si>
    <t>MONTECINOS MEZA FERNANDO NICOLAS ALONSO</t>
  </si>
  <si>
    <t>RIQUELME ACEVEDO CRISTIAN ANTONIO</t>
  </si>
  <si>
    <t>CAPATAZ</t>
  </si>
  <si>
    <t>ORELLANA GOMEZ PABLO ANDRES</t>
  </si>
  <si>
    <t xml:space="preserve">HERNANDEZ CASTILLO GONZALO  FELIPE </t>
  </si>
  <si>
    <t>VALDES OLIVARES OSCAR ANDRES</t>
  </si>
  <si>
    <t>GUZMAN PEREZ SEBASTIAN ANDRES</t>
  </si>
  <si>
    <t>VELASQUEZ TRUFFI FREDY GONZALO</t>
  </si>
  <si>
    <t>VALENZUELA SEVERINO ANDRES ARMANDO</t>
  </si>
  <si>
    <t>BUGUEÑO CORDOVA ANDRES ALFONSO</t>
  </si>
  <si>
    <t>GUTIERREZ GUTIERREZ MIGUEL ANGEL</t>
  </si>
  <si>
    <t>ARAMBERRI ROLDÁN CRISTIAN IGNACIO</t>
  </si>
  <si>
    <t>Maestro Electricista 1</t>
  </si>
  <si>
    <t>v</t>
  </si>
  <si>
    <t>CABELLO TORRES JOSE ANTONIO</t>
  </si>
  <si>
    <t>ORREGO YAÑEZ LUIS ERASMO</t>
  </si>
  <si>
    <t xml:space="preserve">MUÑOZ SAN MARTIN RODRIGO ESTEBAN </t>
  </si>
  <si>
    <t>MORALES MORALES MAUICIO ALFONSO</t>
  </si>
  <si>
    <t xml:space="preserve">AREVALO SUAZO PEDRO ISAIAS </t>
  </si>
  <si>
    <t>FUENTES ORTEGA JESUS ALEJANDRO</t>
  </si>
  <si>
    <t xml:space="preserve">RAMIREZ CRUZ LUIS FERNANDO </t>
  </si>
  <si>
    <t>MONTERO CORTES ABRAHAM RICARDO</t>
  </si>
  <si>
    <t>VILLANUEVA VALDERAS BRYAN ESTEBAN</t>
  </si>
  <si>
    <t xml:space="preserve">GOMEZ TAPIA PABLO IGNACIO </t>
  </si>
  <si>
    <t>MIRANDA REYES  CESAR EDUARDO</t>
  </si>
  <si>
    <t>LIDER ELECTRICISTA</t>
  </si>
  <si>
    <t>ODS ok</t>
  </si>
  <si>
    <t>OF TECNICA</t>
  </si>
  <si>
    <t>PREVENCION</t>
  </si>
  <si>
    <t>BODEGA</t>
  </si>
  <si>
    <t>OK</t>
  </si>
  <si>
    <t>KAU MANDUJANO INGRID VALESKA</t>
  </si>
  <si>
    <t>CUMPLIMINETO POR GRUPO</t>
  </si>
  <si>
    <t>TOTAL A CUBRIR</t>
  </si>
  <si>
    <t>CUMPLIMINETO GLOBAL</t>
  </si>
  <si>
    <t>RRLL</t>
  </si>
  <si>
    <t>OF. TECNICA</t>
  </si>
  <si>
    <t>PENDIENTES SUCAL</t>
  </si>
  <si>
    <t>PENDIENTE APROBACIÓN SUCAL</t>
  </si>
  <si>
    <t>CUADRILLAS</t>
  </si>
  <si>
    <t>JIMENEZ NEIRA DIEGO NICOLAS</t>
  </si>
  <si>
    <t xml:space="preserve">MATURANA MATURANA CARLOS CHRISTIAN </t>
  </si>
  <si>
    <t>SALAS CARRASCO MOISES ANDRES (AY)</t>
  </si>
  <si>
    <t>CASTILLO IBÁÑEZ JOSÉ ALFREDO</t>
  </si>
  <si>
    <t>MENDEZ RODRIGUEZ JORGE LUIS</t>
  </si>
  <si>
    <t>MORALES MORALES MAURICIO ALFONSO</t>
  </si>
  <si>
    <t xml:space="preserve">RUBIO SAEZ JOSE ANTONIO </t>
  </si>
  <si>
    <t>RUBIO SAEZ JOSE OMAR</t>
  </si>
  <si>
    <t>HORMAZABAL IBACETA ALEJANDRO DANIEL</t>
  </si>
  <si>
    <t>CEBALLOS BAEZA EMILIANO DE LA CRUZ</t>
  </si>
  <si>
    <t>YAÑEZ VILLAGRAN RICARDO ANTONIO</t>
  </si>
  <si>
    <t xml:space="preserve">GONZALEZ FERRADA OSCAR ALEJANDRO </t>
  </si>
  <si>
    <t>HEVIA PÉREZ JORGE</t>
  </si>
  <si>
    <t>SILVA ESCOBEDO ARIEL ESTEBAN</t>
  </si>
  <si>
    <t>VILLARROEL MIRANDA HECTOR FRANCISCO JAVIER</t>
  </si>
  <si>
    <t>PAZ GALLARDO LUIS AGUSTIN</t>
  </si>
  <si>
    <t xml:space="preserve">BECERRA FERNANDEZ DIEGO MATIAS </t>
  </si>
  <si>
    <t>NEIRA CARREÑO DIEGO ANDRES</t>
  </si>
  <si>
    <t>DELGADO DELGADO FABIÁN</t>
  </si>
  <si>
    <t>ARAYA SALINAS ESTEBAN ANDRES</t>
  </si>
  <si>
    <t>SILVA ALBRECHT MARCO ANTONIO</t>
  </si>
  <si>
    <t>VALENZUELA CONTRERAS JOEL JARED</t>
  </si>
  <si>
    <t>GUTIERREZ ACOSTA SEBASTIAN DANILO</t>
  </si>
  <si>
    <t>JORDAN RIVERO MAXIMILIANO ESTEBAN</t>
  </si>
  <si>
    <t>RIVERA REYES JAVIER ANTONIO</t>
  </si>
  <si>
    <t>PONCE SAEZ PABLO CESAR</t>
  </si>
  <si>
    <t>SANCHEZ MALDONADO EDUARDO</t>
  </si>
  <si>
    <t>GAMBA HECTOR FABIAN</t>
  </si>
  <si>
    <t>JIMÉNEZ NEIRA WALTER FRANCISCO</t>
  </si>
  <si>
    <t xml:space="preserve">REMEDY VILLALÓN SEBASTIÁN ADOLFO </t>
  </si>
  <si>
    <t>ESCOBAR MARQUEZ LEONARDO FELIPE</t>
  </si>
  <si>
    <t xml:space="preserve">URBINA POBLETE PATRICIO ANDRES </t>
  </si>
  <si>
    <t xml:space="preserve">FARIAS GONZALEZ FELIPE TOMAS </t>
  </si>
  <si>
    <t>MUÑOZ HERNANDEZ MAURICIO LEONARDO</t>
  </si>
  <si>
    <t>Fecha estimada Contratación</t>
  </si>
  <si>
    <t xml:space="preserve">QUEZADA SEPULVEDA RODRIGO BENJAMIN </t>
  </si>
  <si>
    <t>KATHERINE GALDAMES</t>
  </si>
  <si>
    <t>CABEZAS VILLAGRA FERNANDO ANTONIO</t>
  </si>
  <si>
    <t>LUIS ALBERTO DIAZ ROJAS (EN PROCESO)</t>
  </si>
  <si>
    <t>CORNEJO CARO ALEXIS ENRIQUE (GRUPO 3/4)</t>
  </si>
  <si>
    <t>BUGUEÑO CORDOVA ANDRES ALFONSO (LICENCIA)</t>
  </si>
  <si>
    <t>MOLINA PINCHEIRA BENITO ANDRES (EN PROCESO)</t>
  </si>
  <si>
    <t xml:space="preserve">CONEJEROS AVILA WILSON </t>
  </si>
  <si>
    <t>ROZAS ROCO MAURICIO ESTEBAN(GRUPO 2)</t>
  </si>
  <si>
    <t>RAMIREZ CRUZ LUIS FERNANDO</t>
  </si>
  <si>
    <t>CARMONA JIMENEZ JUAN GUILLERMO (TEMA SALUD)</t>
  </si>
  <si>
    <t>DIAZ CONCHA DIEGO</t>
  </si>
  <si>
    <t>MONCADA ARAYA CRISTOPHER EDUARDO (HIJO DE MARCOS)</t>
  </si>
  <si>
    <t xml:space="preserve">MIGUEL ANGEL TAPIA PIZARRO </t>
  </si>
  <si>
    <t>CEPEDA BADILLA FELICIANO ALEJANDRO(EN PROCESO)</t>
  </si>
  <si>
    <t>VALENZUELA CONTRERAS FERNANDO MOISES (GRUPO 2)</t>
  </si>
  <si>
    <t xml:space="preserve">RODRIGUEZ ROJAS RICHARD OMAR </t>
  </si>
  <si>
    <t>VIAL BARRIA CRISTIAN RODRIGO</t>
  </si>
  <si>
    <t xml:space="preserve">BRICEÑO VALENZUELA CRISTOBAL SEBASTIAN </t>
  </si>
  <si>
    <t xml:space="preserve">LUCERO FIGUEROA CLAUDIO CRISTIAN </t>
  </si>
  <si>
    <t>RAMIREZ DIAZ EDUARDO CARLOS</t>
  </si>
  <si>
    <t>CARO GAETE DANIEL IGNACIO</t>
  </si>
  <si>
    <t xml:space="preserve">DIAZ LARA JUAN ROBERTO </t>
  </si>
  <si>
    <t>CARRERA VIDAL JOSE ISAAC</t>
  </si>
  <si>
    <t xml:space="preserve">MARCHANT RAMIREZ EDUARDO ANTONIO </t>
  </si>
  <si>
    <t xml:space="preserve">RIQUELME OVANDO MAIQUEL JONATHAN </t>
  </si>
  <si>
    <t>ROBLES HIDALGO BRYAN</t>
  </si>
  <si>
    <t>CABEZAS DONOSO BASTIAN ANDRES</t>
  </si>
  <si>
    <t xml:space="preserve">VASQUEZ TOLERO LUIS EDUARDO </t>
  </si>
  <si>
    <t>SALAZAR FELIPE</t>
  </si>
  <si>
    <t xml:space="preserve">PARRA VICTOR </t>
  </si>
  <si>
    <t xml:space="preserve">VAZQUEZ MIRANDA PABLO </t>
  </si>
  <si>
    <t xml:space="preserve">VERGARA AGUILAR JAVIER IGNACIO </t>
  </si>
  <si>
    <t xml:space="preserve">MEDINA CORONADO EDSON </t>
  </si>
  <si>
    <t xml:space="preserve">ALBIÑA VICENTE </t>
  </si>
  <si>
    <t xml:space="preserve">ROJAS HORMAZABAL DANIEL ENRIQUE </t>
  </si>
  <si>
    <t>RIQUELME CARRASCO CLAUDIO</t>
  </si>
  <si>
    <t>NOMBRE</t>
  </si>
  <si>
    <t>NAVARRO VARGAS LEONARDO ARTURO</t>
  </si>
  <si>
    <t xml:space="preserve">GALAZ ARAVENA RAUL ERNESTO </t>
  </si>
  <si>
    <t xml:space="preserve">ACEVEDO OSORIO JULIO FERNANDO </t>
  </si>
  <si>
    <t>ORTIZ DIAZ ROBINSON ISRAEL</t>
  </si>
  <si>
    <t>SANCHEZ CORDOVA LUIS ALBERTO</t>
  </si>
  <si>
    <t>CORREA MENESES CHRISTOFER ANDRES</t>
  </si>
  <si>
    <t>OPERADOR JUMBO</t>
  </si>
  <si>
    <t>OPERADOR RETROEXCAVADORA</t>
  </si>
  <si>
    <t>CHOFER CAMIÓN</t>
  </si>
  <si>
    <t>MAESTRO ELECTRICISTA</t>
  </si>
  <si>
    <t>CARGO 1</t>
  </si>
  <si>
    <t xml:space="preserve">CARGO </t>
  </si>
  <si>
    <t>MAESTRO MECÁNICO</t>
  </si>
  <si>
    <t xml:space="preserve">Cuenta de CARGO </t>
  </si>
  <si>
    <t>CEPEDA BADILLA FELICIANO ALEJANDRO</t>
  </si>
  <si>
    <t>PACHECO HERRERA PABLO</t>
  </si>
  <si>
    <t>CERECEDA BARRERA LARRY WILSON</t>
  </si>
  <si>
    <t>MONTERO CORTEZ ABRAHAM RICARDO</t>
  </si>
  <si>
    <t>LILLO CASTRO JUAN SEGUNDO</t>
  </si>
  <si>
    <t>FIGUEROA PULGARES JORGE ARMANDO</t>
  </si>
  <si>
    <t>URBINA POBLETE CRISTIAN MAURICIO</t>
  </si>
  <si>
    <t>GONZALEZ MORENO JOSE LUIS</t>
  </si>
  <si>
    <t>CONTRATADOS AL 26-01</t>
  </si>
  <si>
    <t xml:space="preserve">FUENTES CANIO DARIO JOSE </t>
  </si>
  <si>
    <t xml:space="preserve">MOLINA PINCHEIRA BENITO ANDRES </t>
  </si>
  <si>
    <t>Cuenta de NOMBRE</t>
  </si>
  <si>
    <t>ABARCA</t>
  </si>
  <si>
    <t>ACEITUNO</t>
  </si>
  <si>
    <t>ADASME</t>
  </si>
  <si>
    <t>AGURTO</t>
  </si>
  <si>
    <t>AHUMADA</t>
  </si>
  <si>
    <t>ALAMOS</t>
  </si>
  <si>
    <t>ALARCON</t>
  </si>
  <si>
    <t>ALBIÑA</t>
  </si>
  <si>
    <t>ALBORNOZ</t>
  </si>
  <si>
    <t>ALDUNCE</t>
  </si>
  <si>
    <t>ALLENDE</t>
  </si>
  <si>
    <t>ALVARADO</t>
  </si>
  <si>
    <t>ALVAREZ</t>
  </si>
  <si>
    <t>ARAMBERRI</t>
  </si>
  <si>
    <t>ARANDA</t>
  </si>
  <si>
    <t>ARANGUIZ</t>
  </si>
  <si>
    <t>ARAUCO</t>
  </si>
  <si>
    <t>ARAVENA</t>
  </si>
  <si>
    <t>ARAYA</t>
  </si>
  <si>
    <t>ARCE</t>
  </si>
  <si>
    <t>ARREDONDO</t>
  </si>
  <si>
    <t>ARRIAZA</t>
  </si>
  <si>
    <t>ARROYO</t>
  </si>
  <si>
    <t>ASTORGA</t>
  </si>
  <si>
    <t>ASTUDILLO</t>
  </si>
  <si>
    <t>AYALA</t>
  </si>
  <si>
    <t>BAEZA</t>
  </si>
  <si>
    <t>BARRERA</t>
  </si>
  <si>
    <t>BARRIOS</t>
  </si>
  <si>
    <t>BASULTO</t>
  </si>
  <si>
    <t>BECERRA</t>
  </si>
  <si>
    <t>BERRIOS</t>
  </si>
  <si>
    <t>BERROCAL</t>
  </si>
  <si>
    <t>BLANCO</t>
  </si>
  <si>
    <t>BONET</t>
  </si>
  <si>
    <t>BRAVO</t>
  </si>
  <si>
    <t>BRICEÑO</t>
  </si>
  <si>
    <t>BUGUEÑO</t>
  </si>
  <si>
    <t>BUSTAMANTE</t>
  </si>
  <si>
    <t>CABELLO</t>
  </si>
  <si>
    <t>CABEZAS</t>
  </si>
  <si>
    <t>CABRERA</t>
  </si>
  <si>
    <t>CAIFAL</t>
  </si>
  <si>
    <t>CAMPOS</t>
  </si>
  <si>
    <t>CANIUMIL</t>
  </si>
  <si>
    <t>CARMONA</t>
  </si>
  <si>
    <t>CARQUIN</t>
  </si>
  <si>
    <t>CARRASCO</t>
  </si>
  <si>
    <t>CARRILLO</t>
  </si>
  <si>
    <t>CARVAJAL</t>
  </si>
  <si>
    <t>CASTILLO</t>
  </si>
  <si>
    <t>CASTRO</t>
  </si>
  <si>
    <t>CATALAN</t>
  </si>
  <si>
    <t>CATRILEO</t>
  </si>
  <si>
    <t>CEBALLOS</t>
  </si>
  <si>
    <t>CELIS</t>
  </si>
  <si>
    <t xml:space="preserve">CELIS </t>
  </si>
  <si>
    <t>CERDA</t>
  </si>
  <si>
    <t>CERECEDA</t>
  </si>
  <si>
    <t>CHANCY</t>
  </si>
  <si>
    <t>CHAVEZ</t>
  </si>
  <si>
    <t>CHÁVEZ</t>
  </si>
  <si>
    <t>COLOMA</t>
  </si>
  <si>
    <t>CONEJEROS</t>
  </si>
  <si>
    <t>CONTRERAS</t>
  </si>
  <si>
    <t>CORDOVA</t>
  </si>
  <si>
    <t>CORNEJO</t>
  </si>
  <si>
    <t>CORREA</t>
  </si>
  <si>
    <t>CORTEZ</t>
  </si>
  <si>
    <t>COVARRUBIAS</t>
  </si>
  <si>
    <t>CUADRA</t>
  </si>
  <si>
    <t>CUMINIQUIR</t>
  </si>
  <si>
    <t>CURIN</t>
  </si>
  <si>
    <t>DIAZ</t>
  </si>
  <si>
    <t>DONOSO</t>
  </si>
  <si>
    <t>DROGUETT</t>
  </si>
  <si>
    <t>DUARTE</t>
  </si>
  <si>
    <t>DUQUE</t>
  </si>
  <si>
    <t>DURAN</t>
  </si>
  <si>
    <t>ESCOBAR</t>
  </si>
  <si>
    <t>ESPINOZA</t>
  </si>
  <si>
    <t>FARIAS</t>
  </si>
  <si>
    <t>FAUNDEZ</t>
  </si>
  <si>
    <t>FERNANDEZ</t>
  </si>
  <si>
    <t>FERNÁNDEZ</t>
  </si>
  <si>
    <t>FICA</t>
  </si>
  <si>
    <t>FIGUEROA</t>
  </si>
  <si>
    <t>FLORES</t>
  </si>
  <si>
    <t>FOLLERT</t>
  </si>
  <si>
    <t>FONSECA</t>
  </si>
  <si>
    <t>FOURNIER</t>
  </si>
  <si>
    <t>FUENTEALBA</t>
  </si>
  <si>
    <t>FUENTES</t>
  </si>
  <si>
    <t>GAJARDO</t>
  </si>
  <si>
    <t>GALAZ</t>
  </si>
  <si>
    <t>GALDAMES</t>
  </si>
  <si>
    <t>GALLARDO</t>
  </si>
  <si>
    <t>GALVEZ</t>
  </si>
  <si>
    <t>GAMBA</t>
  </si>
  <si>
    <t>GARCÍA</t>
  </si>
  <si>
    <t>GARRIDO</t>
  </si>
  <si>
    <t>GODOY</t>
  </si>
  <si>
    <t>GOMEZ</t>
  </si>
  <si>
    <t>GONZALEZ</t>
  </si>
  <si>
    <t>GONZÁLEZ</t>
  </si>
  <si>
    <t>GUAJARDO</t>
  </si>
  <si>
    <t>GUTIERREZ</t>
  </si>
  <si>
    <t>GUTIÉRREZ</t>
  </si>
  <si>
    <t>GUZMAN</t>
  </si>
  <si>
    <t>HENRIQUEZ</t>
  </si>
  <si>
    <t>HERNANDEZ</t>
  </si>
  <si>
    <t>HERRERA</t>
  </si>
  <si>
    <t>HIDALGO</t>
  </si>
  <si>
    <t>HONDARZA</t>
  </si>
  <si>
    <t>HORMAZABAL</t>
  </si>
  <si>
    <t>HUAICO</t>
  </si>
  <si>
    <t>HUENCHUMÁN</t>
  </si>
  <si>
    <t>IBAÑEZ</t>
  </si>
  <si>
    <t>IBARRA</t>
  </si>
  <si>
    <t>ILUFFI</t>
  </si>
  <si>
    <t>INZUNZA</t>
  </si>
  <si>
    <t>ITURRIAGA</t>
  </si>
  <si>
    <t>JABANA</t>
  </si>
  <si>
    <t>JAQUE</t>
  </si>
  <si>
    <t>JERIA</t>
  </si>
  <si>
    <t>JILBERTO</t>
  </si>
  <si>
    <t>JIMENEZ</t>
  </si>
  <si>
    <t>KAU</t>
  </si>
  <si>
    <t>LAGOS</t>
  </si>
  <si>
    <t>LASTRA</t>
  </si>
  <si>
    <t>LEIVA</t>
  </si>
  <si>
    <t>LEPEZ</t>
  </si>
  <si>
    <t>LEYTON</t>
  </si>
  <si>
    <t>LIZAMA</t>
  </si>
  <si>
    <t>LIZANA</t>
  </si>
  <si>
    <t xml:space="preserve">LOCH </t>
  </si>
  <si>
    <t>LOPEZ</t>
  </si>
  <si>
    <t>LORCA</t>
  </si>
  <si>
    <t>LUNA</t>
  </si>
  <si>
    <t>MADRID</t>
  </si>
  <si>
    <t>MANRIQUEZ</t>
  </si>
  <si>
    <t>MAÑAN</t>
  </si>
  <si>
    <t>MARCHANT</t>
  </si>
  <si>
    <t>MARQUEZ</t>
  </si>
  <si>
    <t>MARTINEZ</t>
  </si>
  <si>
    <t>MARTÍNEZ</t>
  </si>
  <si>
    <t>MATURANA</t>
  </si>
  <si>
    <t>MAUREIRA</t>
  </si>
  <si>
    <t>MEDINA</t>
  </si>
  <si>
    <t>MENDEZ</t>
  </si>
  <si>
    <t>MEZA</t>
  </si>
  <si>
    <t>MIRANDA</t>
  </si>
  <si>
    <t>MOLINA</t>
  </si>
  <si>
    <t>MONCADA</t>
  </si>
  <si>
    <t xml:space="preserve">MONCADA </t>
  </si>
  <si>
    <t>MONSALVE</t>
  </si>
  <si>
    <t>MONTERO</t>
  </si>
  <si>
    <t>MORALES</t>
  </si>
  <si>
    <t>MORENO</t>
  </si>
  <si>
    <t>MOYA</t>
  </si>
  <si>
    <t>MUÑOZ</t>
  </si>
  <si>
    <t>NARBONA</t>
  </si>
  <si>
    <t>NARVÁEZ</t>
  </si>
  <si>
    <t>NAVARRETE</t>
  </si>
  <si>
    <t>NAVARRO</t>
  </si>
  <si>
    <t>NECULMÁN</t>
  </si>
  <si>
    <t>NEIRA</t>
  </si>
  <si>
    <t>NORAMBUENA</t>
  </si>
  <si>
    <t>NUÑEZ</t>
  </si>
  <si>
    <t>NÚÑEZ</t>
  </si>
  <si>
    <t>OJEDA</t>
  </si>
  <si>
    <t>OLIVOS</t>
  </si>
  <si>
    <t>OLMOS</t>
  </si>
  <si>
    <t>OPAZO</t>
  </si>
  <si>
    <t>ORDENES</t>
  </si>
  <si>
    <t>ORELLANA</t>
  </si>
  <si>
    <t>ORREGO</t>
  </si>
  <si>
    <t>ORTEGA</t>
  </si>
  <si>
    <t>OYARZÚN</t>
  </si>
  <si>
    <t>PACHECO</t>
  </si>
  <si>
    <t>PADILLA</t>
  </si>
  <si>
    <t>PAILAÑIR</t>
  </si>
  <si>
    <t>PALMA</t>
  </si>
  <si>
    <t>PALOMINO</t>
  </si>
  <si>
    <t>PAREDES</t>
  </si>
  <si>
    <t>PARRA</t>
  </si>
  <si>
    <t>PARRAGUEZ</t>
  </si>
  <si>
    <t>PARRAO</t>
  </si>
  <si>
    <t>PAZ</t>
  </si>
  <si>
    <t>PEREZ</t>
  </si>
  <si>
    <t>PÉREZ</t>
  </si>
  <si>
    <t xml:space="preserve">PEREZ </t>
  </si>
  <si>
    <t>PINILLA</t>
  </si>
  <si>
    <t>PINO</t>
  </si>
  <si>
    <t>PIZARRO</t>
  </si>
  <si>
    <t>POBLETE</t>
  </si>
  <si>
    <t xml:space="preserve">PONCE </t>
  </si>
  <si>
    <t>PONTIGO</t>
  </si>
  <si>
    <t>PRADO</t>
  </si>
  <si>
    <t>QUEZADA</t>
  </si>
  <si>
    <t>QUINTANILLA</t>
  </si>
  <si>
    <t>QUIROZ</t>
  </si>
  <si>
    <t>RAMIREZ</t>
  </si>
  <si>
    <t>RÁMIREZ</t>
  </si>
  <si>
    <t>RAMOS</t>
  </si>
  <si>
    <t>REDONDO</t>
  </si>
  <si>
    <t>REMEDY</t>
  </si>
  <si>
    <t>REUSSIER</t>
  </si>
  <si>
    <t>REVECO</t>
  </si>
  <si>
    <t>REYES</t>
  </si>
  <si>
    <t>REYNOSO</t>
  </si>
  <si>
    <t>RISCO</t>
  </si>
  <si>
    <t>RIVERA</t>
  </si>
  <si>
    <t>RODRIGUEZ</t>
  </si>
  <si>
    <t>ROJAS</t>
  </si>
  <si>
    <t>ROMO</t>
  </si>
  <si>
    <t>ROZAS</t>
  </si>
  <si>
    <t>RUBIO</t>
  </si>
  <si>
    <t>SAAVEDRA</t>
  </si>
  <si>
    <t>SACRE</t>
  </si>
  <si>
    <t>SALAS</t>
  </si>
  <si>
    <t>SALAZAR</t>
  </si>
  <si>
    <t>SALINAS</t>
  </si>
  <si>
    <t>SAN CRISTOBAL</t>
  </si>
  <si>
    <t>SANCHEZ</t>
  </si>
  <si>
    <t>SANDOVAL</t>
  </si>
  <si>
    <t>SANHUEZA</t>
  </si>
  <si>
    <t>SANTIS</t>
  </si>
  <si>
    <t>SEGUEL</t>
  </si>
  <si>
    <t>SEPULVEDA</t>
  </si>
  <si>
    <t>SILVA</t>
  </si>
  <si>
    <t>SOTO</t>
  </si>
  <si>
    <t>TAPIA</t>
  </si>
  <si>
    <t>TOBAR</t>
  </si>
  <si>
    <t>TORO</t>
  </si>
  <si>
    <t>TRIVIÑO</t>
  </si>
  <si>
    <t>ULLOA</t>
  </si>
  <si>
    <t>URBINA</t>
  </si>
  <si>
    <t>URZUA</t>
  </si>
  <si>
    <t>URZÚA</t>
  </si>
  <si>
    <t>VALDES</t>
  </si>
  <si>
    <t>VALDIVIA</t>
  </si>
  <si>
    <t>VALENZUELA</t>
  </si>
  <si>
    <t>VARGAS</t>
  </si>
  <si>
    <t>VASQUEZ</t>
  </si>
  <si>
    <t xml:space="preserve">VELASQUEZ </t>
  </si>
  <si>
    <t>VENEGAS</t>
  </si>
  <si>
    <t>VERA</t>
  </si>
  <si>
    <t>VERGARA</t>
  </si>
  <si>
    <t>VIAL</t>
  </si>
  <si>
    <t>VIDAL</t>
  </si>
  <si>
    <t>VILLALEN</t>
  </si>
  <si>
    <t>VILLANUEVA</t>
  </si>
  <si>
    <t>VILLARROEL</t>
  </si>
  <si>
    <t>VIVANCO</t>
  </si>
  <si>
    <t>YÁNES</t>
  </si>
  <si>
    <t>YAÑEZ</t>
  </si>
  <si>
    <t>ZAMORA</t>
  </si>
  <si>
    <t>ZAMORANO</t>
  </si>
  <si>
    <t>ZAPATA</t>
  </si>
  <si>
    <t>CEPEDA BADILLO FELICIANO ALEJANDRO</t>
  </si>
  <si>
    <t xml:space="preserve">DIAZ ROJAS LUIS ALBERTO </t>
  </si>
  <si>
    <t>luis</t>
  </si>
  <si>
    <t>GALDAMES KATHERINE</t>
  </si>
  <si>
    <t>JABANA GONZALEZ JAVIER JOSE</t>
  </si>
  <si>
    <t>TAPIA MIGUEL ANTES</t>
  </si>
  <si>
    <t>POBLETE RODRIGO PEREZ</t>
  </si>
  <si>
    <t>ROJAS BARRERA BRIAN ESTEBAN</t>
  </si>
  <si>
    <t>JARA MARCHANT ELADIO</t>
  </si>
  <si>
    <t>ADICIONALES</t>
  </si>
  <si>
    <t>LM</t>
  </si>
  <si>
    <t>CHOFER DE SERVICIOS 4</t>
  </si>
  <si>
    <t>VACANTE</t>
  </si>
  <si>
    <t>OP.ROBOSHOT G3</t>
  </si>
  <si>
    <t>ORELLENA GOMEZ PABLO</t>
  </si>
  <si>
    <t xml:space="preserve">GONZALEZ VARAS DAGOBERTO JOAQUIN </t>
  </si>
  <si>
    <t>BRICEÑO VALENZUELA CRISTOBAL</t>
  </si>
  <si>
    <t>VALENZUELA CONTRERAS FERNANDO MOISES</t>
  </si>
  <si>
    <t>CAPATAZ MONTAJE G2</t>
  </si>
  <si>
    <t>MINERO M1</t>
  </si>
  <si>
    <t>SALINAS ARAYA ESTEBAN ANDRES</t>
  </si>
  <si>
    <t>MOLINA PINCHEIRA BENITO ANDRES</t>
  </si>
  <si>
    <t>MORALES BERRIOS BASTIAN ALFREDO</t>
  </si>
  <si>
    <t>GUZMAN MATURANA CESAR ANTONIO</t>
  </si>
  <si>
    <t>DONOSO CACERES MANUEL IRENIO</t>
  </si>
  <si>
    <t>FLORES GALVEZ JASON ALEJANDRO</t>
  </si>
  <si>
    <t>LUCERO FIGUEROA CLAUDIO CRISTIAN</t>
  </si>
  <si>
    <t>MENDEZ FUENTES MICHAEL</t>
  </si>
  <si>
    <t>MURILLO SOLIS MAURICIO SEBASTIAN</t>
  </si>
  <si>
    <t>BARRERA MOLINA CRISTIAN EDUARDO</t>
  </si>
  <si>
    <t>CONTRERAS PEREZ PABLO ARTURO</t>
  </si>
  <si>
    <t>CONTRAINDICADO OCUPACIONAL</t>
  </si>
  <si>
    <t xml:space="preserve">ARAUCO GONZALEZ FLAVIO ALEXANDER </t>
  </si>
  <si>
    <t>DUARTE SEGURA MAURICIO HENRRIQUE</t>
  </si>
  <si>
    <t>VILLANUEVA VALDERAS BRYAN ESEBAN</t>
  </si>
  <si>
    <t xml:space="preserve">RODRIGUEZ GONZALEZ HERIBERTO NERY </t>
  </si>
  <si>
    <t xml:space="preserve">CASTILLO VERGARA CAMILO FERNANDO </t>
  </si>
  <si>
    <t xml:space="preserve"> PEREZ AGUIRRE RENE ALFONSO</t>
  </si>
  <si>
    <t xml:space="preserve">CASTILLO PARRA JOSE MANUEL </t>
  </si>
  <si>
    <t>V-M</t>
  </si>
  <si>
    <t>V-CS</t>
  </si>
  <si>
    <t>SIND</t>
  </si>
  <si>
    <t xml:space="preserve">CASTRO GARCIA RODRIGO ESTEBAN </t>
  </si>
  <si>
    <t>VACACIONES</t>
  </si>
  <si>
    <t>VULCANIZADOR</t>
  </si>
  <si>
    <t>SOLDADOR MANTENCION</t>
  </si>
  <si>
    <t>Turno</t>
  </si>
  <si>
    <t>7x7</t>
  </si>
  <si>
    <t>7X7 A</t>
  </si>
  <si>
    <t>7X7A</t>
  </si>
  <si>
    <t>MAESTRO MECANICO</t>
  </si>
  <si>
    <t xml:space="preserve">MARCHANT RAMIREZ EDUARDO </t>
  </si>
  <si>
    <t>MOYA GALVEZ ORLANDO</t>
  </si>
  <si>
    <t>MANTENCION</t>
  </si>
  <si>
    <t xml:space="preserve"> 7X7 A</t>
  </si>
  <si>
    <t xml:space="preserve">HERNANDEZ FLORES RONALD </t>
  </si>
  <si>
    <t>SEPULVEDA CARREÑO YOVANNY</t>
  </si>
  <si>
    <t>ALBIÑA VICENTE</t>
  </si>
  <si>
    <t>SOLDADOR EQUIPOS MENORES</t>
  </si>
  <si>
    <t>URBINA PATRICIO</t>
  </si>
  <si>
    <t>5X2</t>
  </si>
  <si>
    <t>ORELLANA SOLIS DAYRO</t>
  </si>
  <si>
    <t>ME</t>
  </si>
  <si>
    <t>JEFE DE TALLER</t>
  </si>
  <si>
    <t>MARQUEZ ESCOBAR LEONARDO</t>
  </si>
  <si>
    <t>CARREÑO ARREDONDO OSCAR</t>
  </si>
  <si>
    <t>DEPTO MECANICO</t>
  </si>
  <si>
    <t>SECRETARIO TECNICO</t>
  </si>
  <si>
    <t>ESPINOZA VASQUEZ JORGE</t>
  </si>
  <si>
    <t>HEVIA PEREZ JORGE PATRICIO</t>
  </si>
  <si>
    <t>VACANTES M</t>
  </si>
  <si>
    <t>VACANTE EL</t>
  </si>
  <si>
    <t>VACANTE M</t>
  </si>
  <si>
    <t>VACANTE JUMBO</t>
  </si>
  <si>
    <t>VACANTE SOLDADOR</t>
  </si>
  <si>
    <t>VACANTE MIXER</t>
  </si>
  <si>
    <t>VACANTE SERVICIO</t>
  </si>
  <si>
    <t>V-BR</t>
  </si>
  <si>
    <t>VACANTE BROKK</t>
  </si>
  <si>
    <t>FREDES MOLINA VICTOR EDUARDO</t>
  </si>
  <si>
    <t>GONZALEZ FERRADA OSCAR ALEJANDRO</t>
  </si>
  <si>
    <t>VIDAL FARIAS JOSE ANTONIO</t>
  </si>
  <si>
    <t>REYES CORTEZ NELSON</t>
  </si>
  <si>
    <t>CARRASCO CERDA CARLOS ALBERTO</t>
  </si>
  <si>
    <t>VILLARROEL MIRANDA HECTOR FRANCISCO</t>
  </si>
  <si>
    <t>REMEDY VILLALON SEBASTIAN ADOLFO</t>
  </si>
  <si>
    <t>LUENGO CRESPO FELIPE CRISTIAN</t>
  </si>
  <si>
    <t xml:space="preserve"> DIAZ RIVERA RAUL ALEJANDRO </t>
  </si>
  <si>
    <t>ZAMORANO UBILLA VICTOR EDUARDO</t>
  </si>
  <si>
    <t>VALDES FARÍAS MANUEL RODRIGO</t>
  </si>
  <si>
    <t>DONOSO GONZALEZ ARMANDO JAVIER</t>
  </si>
  <si>
    <t xml:space="preserve">TAPIA PIZARRO MIGUEL ANGEL </t>
  </si>
  <si>
    <t>SOPORTE MECANICO</t>
  </si>
  <si>
    <t>SERVICIO</t>
  </si>
  <si>
    <t>CONTRERAS SILVA HECTOR FABIAN</t>
  </si>
  <si>
    <t>8X6</t>
  </si>
  <si>
    <t>ADMINISTRADOR</t>
  </si>
  <si>
    <t xml:space="preserve">CHOFER CAMIÓN PLANO 1 </t>
  </si>
  <si>
    <t>CHOFER CAMIÓN PLANO 2</t>
  </si>
  <si>
    <t>CORTEZ MICHEA LUIS FERNANDO</t>
  </si>
  <si>
    <t>CHOFER CAMION TOLVA 1</t>
  </si>
  <si>
    <t>CHOFER CAMIÓN PLANO 3</t>
  </si>
  <si>
    <t>SOTOMAYOR PAVEZ RAUL ALEJANDRO</t>
  </si>
  <si>
    <t>BAU MERIÑO MARCO ANTONIO</t>
  </si>
  <si>
    <t>MELLA CORDERO CRISTIAN ANDRES</t>
  </si>
  <si>
    <t>POZO ROJAS FELIPE SEBASTIAN</t>
  </si>
  <si>
    <t>OYARCE FAUNDEZ MANUEL ALEJANDRO</t>
  </si>
  <si>
    <t>HERNANDEZ SALINAS EDUARDO MARCELO</t>
  </si>
  <si>
    <t>OP SCOOP</t>
  </si>
  <si>
    <t>NUÑEZ VALENZUELA LUIS</t>
  </si>
  <si>
    <t>NUÑEZ VALENZELA ARMANDO</t>
  </si>
  <si>
    <t>CANDIA SALAS ALFREDO ISRAEL</t>
  </si>
  <si>
    <t>FUENZALIDA ORTIZ RICARDO ANTONIO</t>
  </si>
  <si>
    <t>MINERO</t>
  </si>
  <si>
    <t>OP GRUA- RETRO</t>
  </si>
  <si>
    <t>V-MIX</t>
  </si>
  <si>
    <t>V-S</t>
  </si>
  <si>
    <t>#</t>
  </si>
  <si>
    <t>Grupo</t>
  </si>
  <si>
    <t>Vacantes</t>
  </si>
  <si>
    <t>% del Total</t>
  </si>
  <si>
    <t>RESUMEN POR TIPO DE VACANTE</t>
  </si>
  <si>
    <t>Tipo</t>
  </si>
  <si>
    <t>Descripción</t>
  </si>
  <si>
    <t>Cantidad</t>
  </si>
  <si>
    <t>Vacante General</t>
  </si>
  <si>
    <t>Vacante Minero/M1</t>
  </si>
  <si>
    <t>Vacante Brokk</t>
  </si>
  <si>
    <t>Vacante Mixer</t>
  </si>
  <si>
    <t>Vacante Chofer Servicios</t>
  </si>
  <si>
    <t>Vacante Soldador</t>
  </si>
  <si>
    <t>DOTACIÓN TOTAL vs FALTANTE POR GRUPO</t>
  </si>
  <si>
    <t>Cubiertos</t>
  </si>
  <si>
    <t>% Cubierto</t>
  </si>
  <si>
    <t>% Faltante</t>
  </si>
  <si>
    <t>RESUMEN AUTOMÁTICO DE VACANTES</t>
  </si>
  <si>
    <t>Fuente: MANO DE OBRA | Filas 5 a 121 | Actualización automática</t>
  </si>
  <si>
    <t>Dotación</t>
  </si>
  <si>
    <t>Otros V-*</t>
  </si>
  <si>
    <t>Otros códigos V no listados</t>
  </si>
  <si>
    <t>DETALLE DE VACANTES POR GRUPO (AUTOMÁTICO)</t>
  </si>
  <si>
    <t>Fila</t>
  </si>
  <si>
    <t>Departamento</t>
  </si>
  <si>
    <t>Cargo</t>
  </si>
  <si>
    <t>Estado</t>
  </si>
  <si>
    <t>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</si>
</sst>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164" formatCode="0.0%"/>
  </numFmts>
  <fonts count="31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z val="8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color rgb="FFFF0000"/>
      <name val="Aptos Narrow"/>
      <family val="2"/>
      <scheme val="minor"/>
    </font>
    <font>
      <sz val="11"/>
      <color theme="1"/>
      <name val="Calibri"/>
      <family val="2"/>
    </font>
    <font>
      <b/>
      <sz val="11"/>
      <color indexed="81"/>
      <name val="Tahoma"/>
      <family val="2"/>
    </font>
    <font>
      <b/>
      <sz val="14"/>
      <color rgb="FFFFFFFF"/>
      <name val="Aptos Narrow"/>
      <scheme val="minor"/>
    </font>
    <font>
      <i/>
      <sz val="10"/>
      <color rgb="FF404040"/>
      <name val="Aptos Narrow"/>
      <scheme val="minor"/>
    </font>
    <font>
      <b/>
      <sz val="11"/>
      <color rgb="FFFFFFFF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scheme val="minor"/>
    </font>
    <font>
      <b/>
      <sz val="12"/>
      <color rgb="FFFFFFFF"/>
      <name val="Aptos Narrow"/>
      <scheme val="minor"/>
    </font>
    <font>
      <b/>
      <sz val="11"/>
      <color theme="1"/>
      <name val="Aptos Narrow"/>
      <scheme val="minor"/>
    </font>
    <font>
      <b/>
      <sz val="11"/>
      <color rgb="FF008000"/>
      <name val="Aptos Narrow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249977111117893"/>
        <bgColor theme="4" tint="0.79998168889431442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2F5496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4472C4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medium">
        <color auto="1"/>
      </top>
      <bottom style="thin">
        <color rgb="FFB4C6E7"/>
      </bottom>
      <diagonal/>
    </border>
    <border>
      <left style="thin">
        <color rgb="FFB4C6E7"/>
      </left>
      <right style="thin">
        <color rgb="FFB4C6E7"/>
      </right>
      <top style="thin">
        <color rgb="FFB4C6E7"/>
      </top>
      <bottom style="medium">
        <color auto="1"/>
      </bottom>
      <diagonal/>
    </border>
    <border>
      <left style="medium">
        <color auto="1"/>
      </left>
      <right style="thin">
        <color rgb="FFB4C6E7"/>
      </right>
      <top style="medium">
        <color auto="1"/>
      </top>
      <bottom style="thin">
        <color rgb="FFB4C6E7"/>
      </bottom>
      <diagonal/>
    </border>
    <border>
      <left style="medium">
        <color auto="1"/>
      </left>
      <right style="thin">
        <color rgb="FFB4C6E7"/>
      </right>
      <top style="thin">
        <color rgb="FFB4C6E7"/>
      </top>
      <bottom style="thin">
        <color rgb="FFB4C6E7"/>
      </bottom>
      <diagonal/>
    </border>
    <border>
      <left style="medium">
        <color auto="1"/>
      </left>
      <right style="thin">
        <color rgb="FFB4C6E7"/>
      </right>
      <top style="thin">
        <color rgb="FFB4C6E7"/>
      </top>
      <bottom style="medium">
        <color auto="1"/>
      </bottom>
      <diagonal/>
    </border>
    <border>
      <left style="thin">
        <color rgb="FFB4C6E7"/>
      </left>
      <right style="medium">
        <color auto="1"/>
      </right>
      <top style="medium">
        <color auto="1"/>
      </top>
      <bottom style="thin">
        <color rgb="FFB4C6E7"/>
      </bottom>
      <diagonal/>
    </border>
    <border>
      <left style="thin">
        <color rgb="FFB4C6E7"/>
      </left>
      <right style="medium">
        <color auto="1"/>
      </right>
      <top style="thin">
        <color rgb="FFB4C6E7"/>
      </top>
      <bottom style="thin">
        <color rgb="FFB4C6E7"/>
      </bottom>
      <diagonal/>
    </border>
    <border>
      <left style="thin">
        <color rgb="FFB4C6E7"/>
      </left>
      <right style="medium">
        <color auto="1"/>
      </right>
      <top style="thin">
        <color rgb="FFB4C6E7"/>
      </top>
      <bottom style="medium">
        <color auto="1"/>
      </bottom>
      <diagonal/>
    </border>
  </borders>
  <cellStyleXfs count="3">
    <xf numFmtId="0" fontId="0" fillId="0" borderId="0"/>
    <xf numFmtId="41" fontId="9" fillId="0" borderId="0" applyFont="0" applyFill="0" applyBorder="0" applyAlignment="0" applyProtection="0"/>
    <xf numFmtId="9" fontId="9" fillId="0" borderId="0" applyFont="0" applyFill="0" applyBorder="0" applyAlignment="0" applyProtection="0"/>
  </cellStyleXfs>
  <cellXfs count="255">
    <xf numFmtId="0" fontId="0" fillId="0" borderId="0" xfId="0"/>
    <xf numFmtId="0" fontId="3" fillId="0" borderId="0" xfId="0" applyFont="1"/>
    <xf numFmtId="0" fontId="0" fillId="0" borderId="1" xfId="0" applyBorder="1"/>
    <xf numFmtId="0" fontId="2" fillId="0" borderId="0" xfId="0" applyFont="1"/>
    <xf numFmtId="0" fontId="1" fillId="0" borderId="0" xfId="0" applyFont="1"/>
    <xf numFmtId="0" fontId="3" fillId="0" borderId="1" xfId="0" applyFont="1" applyBorder="1"/>
    <xf numFmtId="0" fontId="2" fillId="0" borderId="1" xfId="0" applyFont="1" applyBorder="1"/>
    <xf numFmtId="0" fontId="4" fillId="0" borderId="1" xfId="0" applyFont="1" applyBorder="1"/>
    <xf numFmtId="0" fontId="5" fillId="0" borderId="0" xfId="0" applyFont="1"/>
    <xf numFmtId="0" fontId="4" fillId="0" borderId="0" xfId="0" applyFont="1"/>
    <xf numFmtId="0" fontId="6" fillId="0" borderId="0" xfId="0" applyFont="1"/>
    <xf numFmtId="0" fontId="2" fillId="0" borderId="2" xfId="0" applyFont="1" applyBorder="1"/>
    <xf numFmtId="0" fontId="2" fillId="0" borderId="4" xfId="0" applyFont="1" applyBorder="1"/>
    <xf numFmtId="0" fontId="8" fillId="0" borderId="0" xfId="0" applyFont="1"/>
    <xf numFmtId="0" fontId="0" fillId="0" borderId="5" xfId="0" applyBorder="1"/>
    <xf numFmtId="0" fontId="1" fillId="0" borderId="1" xfId="0" applyFont="1" applyBorder="1"/>
    <xf numFmtId="0" fontId="2" fillId="0" borderId="6" xfId="0" applyFont="1" applyBorder="1"/>
    <xf numFmtId="0" fontId="3" fillId="2" borderId="1" xfId="0" applyFont="1" applyFill="1" applyBorder="1"/>
    <xf numFmtId="0" fontId="2" fillId="3" borderId="2" xfId="0" applyFont="1" applyFill="1" applyBorder="1"/>
    <xf numFmtId="0" fontId="2" fillId="3" borderId="3" xfId="0" applyFont="1" applyFill="1" applyBorder="1"/>
    <xf numFmtId="0" fontId="0" fillId="2" borderId="1" xfId="0" applyFill="1" applyBorder="1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10" fillId="3" borderId="2" xfId="0" applyFont="1" applyFill="1" applyBorder="1"/>
    <xf numFmtId="0" fontId="10" fillId="3" borderId="3" xfId="0" applyFont="1" applyFill="1" applyBorder="1"/>
    <xf numFmtId="41" fontId="5" fillId="0" borderId="0" xfId="1" applyFont="1"/>
    <xf numFmtId="0" fontId="7" fillId="0" borderId="0" xfId="0" applyFont="1"/>
    <xf numFmtId="0" fontId="10" fillId="0" borderId="0" xfId="0" applyFont="1"/>
    <xf numFmtId="0" fontId="10" fillId="3" borderId="4" xfId="0" applyFont="1" applyFill="1" applyBorder="1"/>
    <xf numFmtId="0" fontId="8" fillId="0" borderId="1" xfId="0" applyFont="1" applyBorder="1" applyAlignment="1">
      <alignment horizontal="left"/>
    </xf>
    <xf numFmtId="0" fontId="11" fillId="4" borderId="1" xfId="0" applyFont="1" applyFill="1" applyBorder="1" applyAlignment="1">
      <alignment horizontal="center"/>
    </xf>
    <xf numFmtId="0" fontId="0" fillId="0" borderId="2" xfId="0" applyBorder="1"/>
    <xf numFmtId="0" fontId="0" fillId="0" borderId="0" xfId="0" pivotButton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2" fillId="0" borderId="1" xfId="0" applyFont="1" applyBorder="1" applyAlignment="1">
      <alignment horizontal="left" indent="1"/>
    </xf>
    <xf numFmtId="0" fontId="0" fillId="0" borderId="1" xfId="0" applyBorder="1" applyAlignment="1">
      <alignment horizontal="left" indent="2"/>
    </xf>
    <xf numFmtId="0" fontId="11" fillId="5" borderId="1" xfId="0" applyFont="1" applyFill="1" applyBorder="1"/>
    <xf numFmtId="0" fontId="11" fillId="6" borderId="1" xfId="0" applyFont="1" applyFill="1" applyBorder="1" applyAlignment="1">
      <alignment horizontal="left"/>
    </xf>
    <xf numFmtId="0" fontId="11" fillId="6" borderId="1" xfId="0" applyFont="1" applyFill="1" applyBorder="1"/>
    <xf numFmtId="0" fontId="12" fillId="0" borderId="0" xfId="0" applyFont="1" applyAlignment="1">
      <alignment horizontal="center" vertical="center"/>
    </xf>
    <xf numFmtId="0" fontId="5" fillId="0" borderId="7" xfId="0" applyFont="1" applyBorder="1"/>
    <xf numFmtId="0" fontId="8" fillId="7" borderId="1" xfId="0" applyFont="1" applyFill="1" applyBorder="1"/>
    <xf numFmtId="0" fontId="3" fillId="7" borderId="1" xfId="0" applyFont="1" applyFill="1" applyBorder="1"/>
    <xf numFmtId="0" fontId="3" fillId="8" borderId="1" xfId="0" applyFont="1" applyFill="1" applyBorder="1"/>
    <xf numFmtId="0" fontId="8" fillId="0" borderId="1" xfId="0" applyFont="1" applyBorder="1"/>
    <xf numFmtId="0" fontId="0" fillId="0" borderId="1" xfId="0" applyBorder="1" applyAlignment="1">
      <alignment horizontal="left" indent="1"/>
    </xf>
    <xf numFmtId="0" fontId="8" fillId="0" borderId="11" xfId="0" applyFont="1" applyBorder="1"/>
    <xf numFmtId="0" fontId="15" fillId="0" borderId="0" xfId="0" applyFont="1"/>
    <xf numFmtId="0" fontId="12" fillId="0" borderId="1" xfId="0" applyFont="1" applyBorder="1" applyAlignment="1">
      <alignment horizontal="center" vertical="center"/>
    </xf>
    <xf numFmtId="0" fontId="0" fillId="9" borderId="1" xfId="0" applyFill="1" applyBorder="1"/>
    <xf numFmtId="0" fontId="5" fillId="9" borderId="0" xfId="0" applyFont="1" applyFill="1"/>
    <xf numFmtId="9" fontId="5" fillId="0" borderId="0" xfId="2" applyFont="1"/>
    <xf numFmtId="9" fontId="0" fillId="0" borderId="0" xfId="2" applyFont="1"/>
    <xf numFmtId="0" fontId="0" fillId="7" borderId="1" xfId="0" applyFill="1" applyBorder="1"/>
    <xf numFmtId="0" fontId="2" fillId="0" borderId="3" xfId="0" applyFont="1" applyBorder="1"/>
    <xf numFmtId="0" fontId="0" fillId="0" borderId="4" xfId="0" applyBorder="1"/>
    <xf numFmtId="0" fontId="3" fillId="0" borderId="4" xfId="0" applyFont="1" applyBorder="1"/>
    <xf numFmtId="0" fontId="2" fillId="0" borderId="12" xfId="0" applyFont="1" applyBorder="1"/>
    <xf numFmtId="0" fontId="0" fillId="0" borderId="3" xfId="0" applyBorder="1"/>
    <xf numFmtId="0" fontId="0" fillId="0" borderId="13" xfId="0" applyBorder="1"/>
    <xf numFmtId="0" fontId="0" fillId="0" borderId="14" xfId="0" applyBorder="1"/>
    <xf numFmtId="0" fontId="2" fillId="0" borderId="14" xfId="0" applyFont="1" applyBorder="1"/>
    <xf numFmtId="0" fontId="0" fillId="0" borderId="10" xfId="0" applyBorder="1"/>
    <xf numFmtId="0" fontId="0" fillId="0" borderId="7" xfId="0" applyBorder="1"/>
    <xf numFmtId="0" fontId="0" fillId="0" borderId="6" xfId="0" applyBorder="1"/>
    <xf numFmtId="0" fontId="0" fillId="0" borderId="12" xfId="0" applyBorder="1"/>
    <xf numFmtId="0" fontId="0" fillId="0" borderId="15" xfId="0" applyBorder="1"/>
    <xf numFmtId="9" fontId="2" fillId="0" borderId="0" xfId="2" applyFont="1" applyBorder="1"/>
    <xf numFmtId="0" fontId="16" fillId="6" borderId="1" xfId="0" applyFont="1" applyFill="1" applyBorder="1"/>
    <xf numFmtId="0" fontId="16" fillId="6" borderId="1" xfId="0" applyFont="1" applyFill="1" applyBorder="1" applyAlignment="1">
      <alignment horizontal="center"/>
    </xf>
    <xf numFmtId="0" fontId="17" fillId="0" borderId="0" xfId="0" applyFont="1"/>
    <xf numFmtId="0" fontId="17" fillId="0" borderId="1" xfId="0" applyFont="1" applyBorder="1"/>
    <xf numFmtId="0" fontId="18" fillId="0" borderId="1" xfId="0" applyFont="1" applyBorder="1"/>
    <xf numFmtId="9" fontId="17" fillId="0" borderId="1" xfId="2" applyFont="1" applyBorder="1"/>
    <xf numFmtId="0" fontId="18" fillId="0" borderId="0" xfId="0" applyFont="1"/>
    <xf numFmtId="9" fontId="17" fillId="0" borderId="0" xfId="2" applyFont="1" applyBorder="1"/>
    <xf numFmtId="0" fontId="17" fillId="0" borderId="1" xfId="2" applyNumberFormat="1" applyFont="1" applyBorder="1"/>
    <xf numFmtId="0" fontId="17" fillId="0" borderId="0" xfId="2" applyNumberFormat="1" applyFont="1" applyBorder="1"/>
    <xf numFmtId="9" fontId="18" fillId="0" borderId="1" xfId="2" applyFont="1" applyBorder="1"/>
    <xf numFmtId="0" fontId="0" fillId="11" borderId="1" xfId="0" applyFill="1" applyBorder="1"/>
    <xf numFmtId="0" fontId="3" fillId="11" borderId="1" xfId="0" applyFont="1" applyFill="1" applyBorder="1"/>
    <xf numFmtId="16" fontId="8" fillId="7" borderId="0" xfId="0" applyNumberFormat="1" applyFont="1" applyFill="1"/>
    <xf numFmtId="16" fontId="0" fillId="0" borderId="0" xfId="0" applyNumberFormat="1"/>
    <xf numFmtId="16" fontId="8" fillId="12" borderId="0" xfId="0" applyNumberFormat="1" applyFont="1" applyFill="1"/>
    <xf numFmtId="16" fontId="8" fillId="13" borderId="0" xfId="0" applyNumberFormat="1" applyFont="1" applyFill="1"/>
    <xf numFmtId="16" fontId="8" fillId="10" borderId="0" xfId="0" applyNumberFormat="1" applyFont="1" applyFill="1"/>
    <xf numFmtId="0" fontId="18" fillId="0" borderId="1" xfId="0" applyFont="1" applyBorder="1" applyAlignment="1">
      <alignment horizontal="right"/>
    </xf>
    <xf numFmtId="0" fontId="17" fillId="0" borderId="0" xfId="0" applyFont="1" applyAlignment="1">
      <alignment horizontal="right"/>
    </xf>
    <xf numFmtId="0" fontId="19" fillId="0" borderId="0" xfId="0" applyFont="1"/>
    <xf numFmtId="0" fontId="11" fillId="0" borderId="0" xfId="0" applyFont="1"/>
    <xf numFmtId="0" fontId="0" fillId="2" borderId="0" xfId="0" applyFill="1" applyAlignment="1">
      <alignment horizontal="left"/>
    </xf>
    <xf numFmtId="0" fontId="1" fillId="0" borderId="0" xfId="0" applyFont="1" applyAlignment="1">
      <alignment horizontal="left"/>
    </xf>
    <xf numFmtId="0" fontId="0" fillId="11" borderId="0" xfId="0" applyFill="1"/>
    <xf numFmtId="0" fontId="0" fillId="11" borderId="3" xfId="0" applyFill="1" applyBorder="1"/>
    <xf numFmtId="0" fontId="3" fillId="11" borderId="3" xfId="0" applyFont="1" applyFill="1" applyBorder="1"/>
    <xf numFmtId="0" fontId="3" fillId="7" borderId="0" xfId="0" applyFont="1" applyFill="1"/>
    <xf numFmtId="0" fontId="3" fillId="11" borderId="0" xfId="0" applyFont="1" applyFill="1"/>
    <xf numFmtId="0" fontId="12" fillId="11" borderId="1" xfId="0" applyFont="1" applyFill="1" applyBorder="1" applyAlignment="1">
      <alignment horizontal="left" vertical="center"/>
    </xf>
    <xf numFmtId="0" fontId="0" fillId="7" borderId="0" xfId="0" applyFill="1"/>
    <xf numFmtId="0" fontId="0" fillId="7" borderId="9" xfId="0" applyFill="1" applyBorder="1"/>
    <xf numFmtId="0" fontId="3" fillId="9" borderId="1" xfId="0" applyFont="1" applyFill="1" applyBorder="1"/>
    <xf numFmtId="0" fontId="7" fillId="11" borderId="0" xfId="0" applyFont="1" applyFill="1"/>
    <xf numFmtId="0" fontId="8" fillId="11" borderId="0" xfId="0" applyFont="1" applyFill="1"/>
    <xf numFmtId="0" fontId="3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Continuous"/>
    </xf>
    <xf numFmtId="0" fontId="3" fillId="0" borderId="1" xfId="0" applyFont="1" applyBorder="1" applyAlignment="1">
      <alignment horizontal="centerContinuous"/>
    </xf>
    <xf numFmtId="0" fontId="10" fillId="0" borderId="1" xfId="0" applyFont="1" applyBorder="1" applyAlignment="1">
      <alignment horizontal="left"/>
    </xf>
    <xf numFmtId="0" fontId="3" fillId="11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11" borderId="4" xfId="0" applyFill="1" applyBorder="1"/>
    <xf numFmtId="0" fontId="8" fillId="0" borderId="0" xfId="0" applyFont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0" fillId="0" borderId="0" xfId="0" applyFont="1"/>
    <xf numFmtId="0" fontId="0" fillId="10" borderId="1" xfId="0" applyFill="1" applyBorder="1"/>
    <xf numFmtId="0" fontId="0" fillId="7" borderId="4" xfId="0" applyFill="1" applyBorder="1"/>
    <xf numFmtId="0" fontId="0" fillId="0" borderId="9" xfId="0" applyBorder="1"/>
    <xf numFmtId="9" fontId="0" fillId="0" borderId="1" xfId="2" applyFont="1" applyBorder="1"/>
    <xf numFmtId="9" fontId="0" fillId="0" borderId="1" xfId="2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9" fontId="0" fillId="0" borderId="8" xfId="2" applyFont="1" applyBorder="1" applyAlignment="1">
      <alignment horizontal="center" vertical="center"/>
    </xf>
    <xf numFmtId="0" fontId="3" fillId="11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15" borderId="1" xfId="0" applyFont="1" applyFill="1" applyBorder="1" applyAlignment="1">
      <alignment horizontal="center" vertical="center"/>
    </xf>
    <xf numFmtId="0" fontId="0" fillId="16" borderId="0" xfId="0" applyFill="1"/>
    <xf numFmtId="9" fontId="0" fillId="16" borderId="0" xfId="2" applyFont="1" applyFill="1"/>
    <xf numFmtId="0" fontId="3" fillId="16" borderId="0" xfId="0" applyFont="1" applyFill="1"/>
    <xf numFmtId="0" fontId="0" fillId="16" borderId="2" xfId="0" applyFill="1" applyBorder="1"/>
    <xf numFmtId="0" fontId="0" fillId="16" borderId="3" xfId="0" applyFill="1" applyBorder="1"/>
    <xf numFmtId="0" fontId="3" fillId="16" borderId="3" xfId="0" applyFont="1" applyFill="1" applyBorder="1"/>
    <xf numFmtId="0" fontId="3" fillId="16" borderId="4" xfId="0" applyFont="1" applyFill="1" applyBorder="1"/>
    <xf numFmtId="0" fontId="3" fillId="0" borderId="0" xfId="0" applyFont="1" applyAlignment="1">
      <alignment horizontal="center" vertical="center"/>
    </xf>
    <xf numFmtId="0" fontId="0" fillId="11" borderId="1" xfId="0" applyFill="1" applyBorder="1" applyAlignment="1">
      <alignment horizontal="center"/>
    </xf>
    <xf numFmtId="0" fontId="0" fillId="11" borderId="8" xfId="0" applyFill="1" applyBorder="1" applyAlignment="1">
      <alignment horizontal="center" vertical="center"/>
    </xf>
    <xf numFmtId="0" fontId="0" fillId="11" borderId="8" xfId="0" applyFill="1" applyBorder="1"/>
    <xf numFmtId="0" fontId="0" fillId="16" borderId="13" xfId="0" applyFill="1" applyBorder="1"/>
    <xf numFmtId="0" fontId="0" fillId="16" borderId="14" xfId="0" applyFill="1" applyBorder="1"/>
    <xf numFmtId="0" fontId="0" fillId="16" borderId="10" xfId="0" applyFill="1" applyBorder="1"/>
    <xf numFmtId="0" fontId="0" fillId="16" borderId="6" xfId="0" applyFill="1" applyBorder="1"/>
    <xf numFmtId="0" fontId="0" fillId="16" borderId="12" xfId="0" applyFill="1" applyBorder="1"/>
    <xf numFmtId="0" fontId="0" fillId="16" borderId="15" xfId="0" applyFill="1" applyBorder="1"/>
    <xf numFmtId="0" fontId="2" fillId="16" borderId="2" xfId="0" applyFont="1" applyFill="1" applyBorder="1"/>
    <xf numFmtId="9" fontId="0" fillId="16" borderId="3" xfId="2" applyFont="1" applyFill="1" applyBorder="1"/>
    <xf numFmtId="9" fontId="0" fillId="0" borderId="4" xfId="2" applyFont="1" applyBorder="1"/>
    <xf numFmtId="0" fontId="0" fillId="11" borderId="11" xfId="0" applyFill="1" applyBorder="1"/>
    <xf numFmtId="0" fontId="3" fillId="11" borderId="1" xfId="0" applyFont="1" applyFill="1" applyBorder="1" applyAlignment="1">
      <alignment horizontal="left" vertical="center"/>
    </xf>
    <xf numFmtId="0" fontId="0" fillId="11" borderId="9" xfId="0" applyFill="1" applyBorder="1"/>
    <xf numFmtId="0" fontId="3" fillId="11" borderId="9" xfId="0" applyFont="1" applyFill="1" applyBorder="1"/>
    <xf numFmtId="0" fontId="0" fillId="11" borderId="2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16" borderId="4" xfId="0" applyFill="1" applyBorder="1"/>
    <xf numFmtId="0" fontId="0" fillId="11" borderId="1" xfId="0" applyFill="1" applyBorder="1" applyAlignment="1">
      <alignment horizontal="center" vertical="center"/>
    </xf>
    <xf numFmtId="0" fontId="0" fillId="11" borderId="2" xfId="0" applyFill="1" applyBorder="1" applyAlignment="1">
      <alignment horizontal="center" vertical="center"/>
    </xf>
    <xf numFmtId="0" fontId="3" fillId="10" borderId="1" xfId="0" applyFont="1" applyFill="1" applyBorder="1"/>
    <xf numFmtId="0" fontId="0" fillId="11" borderId="2" xfId="0" applyFill="1" applyBorder="1"/>
    <xf numFmtId="0" fontId="0" fillId="13" borderId="1" xfId="0" applyFill="1" applyBorder="1"/>
    <xf numFmtId="0" fontId="19" fillId="11" borderId="0" xfId="0" applyFont="1" applyFill="1"/>
    <xf numFmtId="0" fontId="5" fillId="11" borderId="0" xfId="0" applyFont="1" applyFill="1"/>
    <xf numFmtId="41" fontId="5" fillId="11" borderId="0" xfId="1" applyFont="1" applyFill="1"/>
    <xf numFmtId="0" fontId="0" fillId="9" borderId="0" xfId="0" applyFill="1"/>
    <xf numFmtId="9" fontId="0" fillId="7" borderId="1" xfId="2" applyFont="1" applyFill="1" applyBorder="1" applyAlignment="1">
      <alignment horizontal="center" vertical="center"/>
    </xf>
    <xf numFmtId="0" fontId="3" fillId="11" borderId="1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1" fillId="7" borderId="2" xfId="0" applyFont="1" applyFill="1" applyBorder="1" applyAlignment="1">
      <alignment horizontal="center"/>
    </xf>
    <xf numFmtId="0" fontId="21" fillId="7" borderId="3" xfId="0" applyFont="1" applyFill="1" applyBorder="1" applyAlignment="1">
      <alignment horizontal="center"/>
    </xf>
    <xf numFmtId="0" fontId="21" fillId="7" borderId="4" xfId="0" applyFont="1" applyFill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11" borderId="2" xfId="0" applyFill="1" applyBorder="1" applyAlignment="1">
      <alignment horizontal="center"/>
    </xf>
    <xf numFmtId="0" fontId="0" fillId="11" borderId="3" xfId="0" applyFill="1" applyBorder="1" applyAlignment="1">
      <alignment horizontal="center"/>
    </xf>
    <xf numFmtId="0" fontId="0" fillId="11" borderId="4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9" borderId="3" xfId="0" applyFill="1" applyBorder="1" applyAlignment="1">
      <alignment horizontal="center"/>
    </xf>
    <xf numFmtId="0" fontId="0" fillId="9" borderId="4" xfId="0" applyFill="1" applyBorder="1" applyAlignment="1">
      <alignment horizontal="center"/>
    </xf>
    <xf numFmtId="0" fontId="0" fillId="7" borderId="2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11" borderId="2" xfId="0" applyFill="1" applyBorder="1" applyAlignment="1">
      <alignment horizontal="center" vertical="center"/>
    </xf>
    <xf numFmtId="0" fontId="0" fillId="11" borderId="3" xfId="0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11" borderId="11" xfId="0" applyFill="1" applyBorder="1" applyAlignment="1">
      <alignment horizontal="center"/>
    </xf>
    <xf numFmtId="0" fontId="0" fillId="11" borderId="8" xfId="0" applyFill="1" applyBorder="1" applyAlignment="1">
      <alignment horizontal="center"/>
    </xf>
    <xf numFmtId="0" fontId="3" fillId="11" borderId="2" xfId="0" applyFont="1" applyFill="1" applyBorder="1" applyAlignment="1">
      <alignment horizontal="center"/>
    </xf>
    <xf numFmtId="0" fontId="3" fillId="11" borderId="3" xfId="0" applyFont="1" applyFill="1" applyBorder="1" applyAlignment="1">
      <alignment horizontal="center"/>
    </xf>
    <xf numFmtId="0" fontId="3" fillId="11" borderId="4" xfId="0" applyFont="1" applyFill="1" applyBorder="1" applyAlignment="1">
      <alignment horizontal="center"/>
    </xf>
    <xf numFmtId="0" fontId="3" fillId="7" borderId="3" xfId="0" applyFont="1" applyFill="1" applyBorder="1" applyAlignment="1">
      <alignment horizontal="center"/>
    </xf>
    <xf numFmtId="0" fontId="3" fillId="7" borderId="4" xfId="0" applyFont="1" applyFill="1" applyBorder="1" applyAlignment="1">
      <alignment horizontal="center"/>
    </xf>
    <xf numFmtId="0" fontId="12" fillId="11" borderId="1" xfId="0" applyFont="1" applyFill="1" applyBorder="1" applyAlignment="1">
      <alignment horizontal="center" vertical="center"/>
    </xf>
    <xf numFmtId="0" fontId="0" fillId="11" borderId="13" xfId="0" applyFill="1" applyBorder="1" applyAlignment="1">
      <alignment horizontal="center"/>
    </xf>
    <xf numFmtId="0" fontId="0" fillId="11" borderId="14" xfId="0" applyFill="1" applyBorder="1" applyAlignment="1">
      <alignment horizontal="center"/>
    </xf>
    <xf numFmtId="0" fontId="11" fillId="6" borderId="5" xfId="0" applyFont="1" applyFill="1" applyBorder="1" applyAlignment="1">
      <alignment horizontal="center" vertical="center" wrapText="1"/>
    </xf>
    <xf numFmtId="0" fontId="11" fillId="6" borderId="5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1" fillId="6" borderId="8" xfId="0" applyFont="1" applyFill="1" applyBorder="1" applyAlignment="1">
      <alignment horizontal="center" vertical="center"/>
    </xf>
    <xf numFmtId="0" fontId="11" fillId="6" borderId="9" xfId="0" applyFont="1" applyFill="1" applyBorder="1" applyAlignment="1">
      <alignment horizontal="center" vertical="center"/>
    </xf>
    <xf numFmtId="0" fontId="11" fillId="6" borderId="11" xfId="0" applyFont="1" applyFill="1" applyBorder="1" applyAlignment="1">
      <alignment horizontal="center" vertical="center"/>
    </xf>
    <xf numFmtId="0" fontId="11" fillId="6" borderId="10" xfId="0" applyFont="1" applyFill="1" applyBorder="1" applyAlignment="1">
      <alignment horizontal="center" vertical="center"/>
    </xf>
    <xf numFmtId="0" fontId="2" fillId="7" borderId="0" xfId="0" applyFont="1" applyFill="1"/>
    <xf numFmtId="0" fontId="26" fillId="0" borderId="0" xfId="0" applyFont="1"/>
    <xf numFmtId="0" fontId="26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5" fillId="19" borderId="0" xfId="0" applyFont="1" applyFill="1"/>
    <xf numFmtId="0" fontId="25" fillId="19" borderId="0" xfId="0" applyFont="1" applyFill="1" applyAlignment="1">
      <alignment horizontal="center"/>
    </xf>
    <xf numFmtId="0" fontId="26" fillId="18" borderId="16" xfId="0" applyFont="1" applyFill="1" applyBorder="1"/>
    <xf numFmtId="0" fontId="26" fillId="0" borderId="16" xfId="0" applyFont="1" applyBorder="1"/>
    <xf numFmtId="0" fontId="25" fillId="19" borderId="17" xfId="0" applyFont="1" applyFill="1" applyBorder="1" applyAlignment="1">
      <alignment horizontal="center"/>
    </xf>
    <xf numFmtId="0" fontId="25" fillId="19" borderId="19" xfId="0" applyFont="1" applyFill="1" applyBorder="1" applyAlignment="1">
      <alignment horizontal="center"/>
    </xf>
    <xf numFmtId="0" fontId="25" fillId="17" borderId="21" xfId="0" applyFont="1" applyFill="1" applyBorder="1"/>
    <xf numFmtId="0" fontId="25" fillId="19" borderId="22" xfId="0" applyFont="1" applyFill="1" applyBorder="1" applyAlignment="1">
      <alignment horizontal="center"/>
    </xf>
    <xf numFmtId="164" fontId="26" fillId="18" borderId="23" xfId="0" applyNumberFormat="1" applyFont="1" applyFill="1" applyBorder="1" applyAlignment="1">
      <alignment horizontal="center"/>
    </xf>
    <xf numFmtId="164" fontId="26" fillId="0" borderId="23" xfId="0" applyNumberFormat="1" applyFont="1" applyBorder="1" applyAlignment="1">
      <alignment horizontal="center"/>
    </xf>
    <xf numFmtId="164" fontId="25" fillId="17" borderId="24" xfId="0" applyNumberFormat="1" applyFont="1" applyFill="1" applyBorder="1" applyAlignment="1">
      <alignment horizontal="center"/>
    </xf>
    <xf numFmtId="0" fontId="0" fillId="17" borderId="18" xfId="0" applyFill="1" applyBorder="1"/>
    <xf numFmtId="0" fontId="29" fillId="18" borderId="20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5" fillId="17" borderId="21" xfId="0" applyFont="1" applyFill="1" applyBorder="1" applyAlignment="1">
      <alignment horizontal="center"/>
    </xf>
    <xf numFmtId="0" fontId="23" fillId="17" borderId="0" xfId="0" applyFont="1" applyFill="1"/>
    <xf numFmtId="0" fontId="24" fillId="0" borderId="0" xfId="0" applyFont="1"/>
    <xf numFmtId="0" fontId="29" fillId="18" borderId="20" xfId="0" applyFont="1" applyFill="1" applyBorder="1"/>
    <xf numFmtId="0" fontId="29" fillId="0" borderId="20" xfId="0" applyFont="1" applyBorder="1"/>
    <xf numFmtId="164" fontId="25" fillId="17" borderId="18" xfId="0" applyNumberFormat="1" applyFont="1" applyFill="1" applyBorder="1" applyAlignment="1">
      <alignment horizontal="center"/>
    </xf>
    <xf numFmtId="0" fontId="25" fillId="19" borderId="17" xfId="0" applyFont="1" applyFill="1" applyBorder="1"/>
    <xf numFmtId="0" fontId="28" fillId="17" borderId="0" xfId="0" applyFont="1" applyFill="1"/>
    <xf numFmtId="1" fontId="29" fillId="18" borderId="16" xfId="0" applyNumberFormat="1" applyFont="1" applyFill="1" applyBorder="1" applyAlignment="1">
      <alignment horizontal="center"/>
    </xf>
    <xf numFmtId="1" fontId="29" fillId="0" borderId="16" xfId="0" applyNumberFormat="1" applyFont="1" applyBorder="1" applyAlignment="1">
      <alignment horizontal="center"/>
    </xf>
    <xf numFmtId="1" fontId="26" fillId="18" borderId="16" xfId="0" applyNumberFormat="1" applyFont="1" applyFill="1" applyBorder="1" applyAlignment="1">
      <alignment horizontal="center"/>
    </xf>
    <xf numFmtId="1" fontId="26" fillId="0" borderId="16" xfId="0" applyNumberFormat="1" applyFont="1" applyBorder="1" applyAlignment="1">
      <alignment horizontal="center"/>
    </xf>
    <xf numFmtId="1" fontId="27" fillId="18" borderId="16" xfId="0" applyNumberFormat="1" applyFont="1" applyFill="1" applyBorder="1" applyAlignment="1">
      <alignment horizontal="center"/>
    </xf>
    <xf numFmtId="1" fontId="27" fillId="0" borderId="16" xfId="0" applyNumberFormat="1" applyFont="1" applyBorder="1" applyAlignment="1">
      <alignment horizontal="center"/>
    </xf>
    <xf numFmtId="1" fontId="25" fillId="17" borderId="18" xfId="0" applyNumberFormat="1" applyFont="1" applyFill="1" applyBorder="1" applyAlignment="1">
      <alignment horizontal="center"/>
    </xf>
    <xf numFmtId="164" fontId="30" fillId="18" borderId="16" xfId="0" applyNumberFormat="1" applyFont="1" applyFill="1" applyBorder="1" applyAlignment="1">
      <alignment horizontal="center"/>
    </xf>
    <xf numFmtId="164" fontId="27" fillId="18" borderId="23" xfId="0" applyNumberFormat="1" applyFont="1" applyFill="1" applyBorder="1" applyAlignment="1">
      <alignment horizontal="center"/>
    </xf>
    <xf numFmtId="164" fontId="30" fillId="0" borderId="16" xfId="0" applyNumberFormat="1" applyFont="1" applyBorder="1" applyAlignment="1">
      <alignment horizontal="center"/>
    </xf>
    <xf numFmtId="164" fontId="27" fillId="0" borderId="23" xfId="0" applyNumberFormat="1" applyFont="1" applyBorder="1" applyAlignment="1">
      <alignment horizontal="center"/>
    </xf>
    <xf numFmtId="0" fontId="0" fillId="0" borderId="0" xfId="0" applyAlignment="1"/>
  </cellXfs>
  <cellStyles count="3">
    <cellStyle name="Millares [0]" xfId="1" builtinId="6"/>
    <cellStyle name="Normal" xfId="0" builtinId="0"/>
    <cellStyle name="Porcentaje" xfId="2" builtinId="5"/>
  </cellStyles>
  <dxfs count="4">
    <dxf>
      <font>
        <color rgb="FFFF0000"/>
      </font>
    </dxf>
    <dxf>
      <font>
        <color rgb="FFFF0000"/>
      </font>
    </dxf>
    <dxf>
      <fill>
        <patternFill patternType="solid">
          <bgColor theme="4" tint="0.59999389629810485"/>
        </patternFill>
      </fill>
    </dxf>
    <dxf>
      <fill>
        <patternFill patternType="solid">
          <bgColor theme="4" tint="0.599993896298104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1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5.xml"/><Relationship Id="rId28" Type="http://schemas.microsoft.com/office/2017/10/relationships/person" Target="persons/person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4.xml"/><Relationship Id="rId27" Type="http://schemas.openxmlformats.org/officeDocument/2006/relationships/sheetMetadata" Target="metadata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167573</xdr:colOff>
      <xdr:row>2</xdr:row>
      <xdr:rowOff>156889</xdr:rowOff>
    </xdr:from>
    <xdr:to>
      <xdr:col>4</xdr:col>
      <xdr:colOff>736722</xdr:colOff>
      <xdr:row>8</xdr:row>
      <xdr:rowOff>113393</xdr:rowOff>
    </xdr:to>
    <xdr:pic>
      <xdr:nvPicPr>
        <xdr:cNvPr id="6" name="Imagen 5" descr="Resultado de imagen de xtreme mining">
          <a:extLst>
            <a:ext uri="{FF2B5EF4-FFF2-40B4-BE49-F238E27FC236}">
              <a16:creationId xmlns:a16="http://schemas.microsoft.com/office/drawing/2014/main" id="{A41116D7-BAA3-F023-79F9-2A6330E29B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92216" y="497068"/>
          <a:ext cx="3039208" cy="1045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Barbara%20Miranda/Documents/PPT%20Inicio%20Contrato/REPORTE%20%20DE%20AVANCE%20MOVILIZACI&#211;N%20CONTRATO%20N4600029207%20ODS%20N1_231225.xlsx" TargetMode="External"/><Relationship Id="rId2" Type="http://schemas.openxmlformats.org/officeDocument/2006/relationships/externalLinkPath" Target="file:///C:\Users\Barbara%20Miranda\Documents\PPT%20Inicio%20Contrato\REPORTE%20%20DE%20AVANCE%20MOVILIZACI&#211;N%20CONTRATO%20N4600029207%20ODS%20N1_231225.xlsx" TargetMode="External"/><Relationship Id="rId1" Type="http://schemas.openxmlformats.org/officeDocument/2006/relationships/externalLinkPath" Target="/Users/Barbara%20Miranda/Documents/PPT%20Inicio%20Contrato/REPORTE%20%20DE%20AVANCE%20MOVILIZACI&#211;N%20CONTRATO%20N4600029207%20ODS%20N1_2312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Dotación Obra"/>
      <sheetName val="Grilla ODS"/>
      <sheetName val="RESUMEN"/>
      <sheetName val="MANO DE OBRA"/>
      <sheetName val="EQUIPOS"/>
      <sheetName val="Modificacion MO "/>
      <sheetName val="Personal Sin Cupo"/>
      <sheetName val="Sindicato y LM"/>
      <sheetName val="Detalle"/>
      <sheetName val="Vacantes"/>
      <sheetName val="Dinamica Grupos"/>
      <sheetName val="Dinamica 7x7TA"/>
      <sheetName val="Dinamica 5x2 TA"/>
      <sheetName val="Dotación Ampliación"/>
      <sheetName val="Dotación por Depto"/>
    </sheetNames>
    <sheetDataSet>
      <sheetData sheetId="0"/>
      <sheetData sheetId="1"/>
      <sheetData sheetId="2"/>
      <sheetData sheetId="3">
        <row r="116">
          <cell r="E116">
            <v>87</v>
          </cell>
        </row>
      </sheetData>
      <sheetData sheetId="4"/>
      <sheetData sheetId="5"/>
      <sheetData sheetId="6"/>
      <sheetData sheetId="7">
        <row r="17">
          <cell r="D17">
            <v>6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larry cereceda barrera" id="{73982D8E-A359-4CD3-8F4B-6CE3DCB31EFA}" userId="0ff44fce51e1940b" providerId="Windows Liv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EGO ARAYA" refreshedDate="46008.40518425926" createdVersion="8" refreshedVersion="8" minRefreshableVersion="3" recordCount="110" xr:uid="{94F56F32-552B-4D41-8273-DA9D5838885D}">
  <cacheSource type="worksheet">
    <worksheetSource ref="C30" sheet="MANO DE OBRA VALIDA"/>
  </cacheSource>
  <cacheFields count="14">
    <cacheField name="DEPARTAMENTO" numFmtId="0">
      <sharedItems containsBlank="1" count="9">
        <m/>
        <s v="OPERACIÓN"/>
        <s v="PREVENCION"/>
        <s v="OF. TECNICA"/>
        <s v="ELECTRICO"/>
        <s v="MECANICO"/>
        <s v="OPERADOR"/>
        <s v="SEGURIDAD" u="1"/>
        <s v="OFICINA TECNICA" u="1"/>
      </sharedItems>
    </cacheField>
    <cacheField name="CARGO" numFmtId="0">
      <sharedItems count="56">
        <s v="SUPERVISIÓN"/>
        <s v="JEFE DE TURNO 1"/>
        <s v="JEFE DE TURNO 2"/>
        <s v="APR 1"/>
        <s v="APR 2"/>
        <s v="SALA CONTROL"/>
        <s v="SOPORTE OPERACIÓN"/>
        <s v="LÍDER ELECTRICISTA"/>
        <s v="MAESTRO ELECTRICISTA 1"/>
        <s v="MAESTRO ELECTRICISTA 2"/>
        <s v="MAESTRO ELECTRICISTA 3"/>
        <s v="ELECTRÓNICO"/>
        <s v="LÍDER MECÁNICO"/>
        <s v="MAESTRO MECÁNICO 1"/>
        <s v="MAESTRO MECÁNICO 2"/>
        <s v="MAESTRO MECÁNICO 3"/>
        <s v="ELECTROMECÁNICO"/>
        <s v="BODEGUERO 1"/>
        <s v="CHOFER DE SERVICIOS 1"/>
        <s v="CHOFER DE SERVICIOS 2"/>
        <s v="CHOFER DE SERVICIOS 3"/>
        <s v="EQUIPOS MINERÍA Y OOCC"/>
        <s v="OPERADOR JUMBO FORTIFICACION 1"/>
        <s v="OPERADOR JUMBO FORTIFICACION 2"/>
        <s v="OPERADOR JUMBO FORTIFICACION 3"/>
        <s v="OPERADOR JUMBO RADIAL"/>
        <s v="OPERADOR JUMBO BOLTEC"/>
        <s v="OPERADOR SCOOP 1"/>
        <s v="OPERADOR SCOOP 2"/>
        <s v="OPERADOR ROBOSHOT 1"/>
        <s v="OPERADOR ROBOSHOT 2"/>
        <s v="OPERADOR RETROEXCAVADORA - ACUÑADOR"/>
        <s v="OPERADOR MIXER"/>
        <s v="OPERADOR BROKK"/>
        <s v="CUADRILLA 1"/>
        <s v="CAPATAZ MINERÍA - OOCC"/>
        <s v="MAESTRO M1"/>
        <s v="AYUDANTE"/>
        <s v="OPERADOR DE EQUIPO DE LEVANTE "/>
        <s v="CUADRILLA 2"/>
        <s v="CUADRILLA 3"/>
        <s v="CUADRILLA 4"/>
        <s v="CUADRILLA 5"/>
        <s v="CUADRILLA 6"/>
        <s v="CUADRILLA 7"/>
        <s v="CUADRILLA 8"/>
        <s v="CUADRILLA 9"/>
        <s v="SOLDADOR"/>
        <s v="CUADRILLA 10"/>
        <s v="CUADRILLA 11"/>
        <s v="CUADRILLA 12"/>
        <s v="CUADRILLA MONTAJE"/>
        <s v="CAPATAZ MONTAJE"/>
        <s v="MAESTRO MONTAJE 1"/>
        <s v="MAESTRO MONTAJE 2"/>
        <s v="SOLDADOR MONTAJE"/>
      </sharedItems>
    </cacheField>
    <cacheField name="GRUPO 1" numFmtId="0">
      <sharedItems containsBlank="1"/>
    </cacheField>
    <cacheField name="EST G1" numFmtId="0">
      <sharedItems containsBlank="1" count="5">
        <m/>
        <s v="A"/>
        <s v="P"/>
        <s v="V"/>
        <s v="C" u="1"/>
      </sharedItems>
    </cacheField>
    <cacheField name="LIC G1" numFmtId="0">
      <sharedItems containsBlank="1"/>
    </cacheField>
    <cacheField name="GRUPO 2" numFmtId="0">
      <sharedItems containsBlank="1"/>
    </cacheField>
    <cacheField name="EST G2" numFmtId="0">
      <sharedItems containsBlank="1"/>
    </cacheField>
    <cacheField name="LIC G2" numFmtId="0">
      <sharedItems containsBlank="1"/>
    </cacheField>
    <cacheField name="GRUPO 3" numFmtId="0">
      <sharedItems containsBlank="1"/>
    </cacheField>
    <cacheField name="EST G3" numFmtId="0">
      <sharedItems containsBlank="1"/>
    </cacheField>
    <cacheField name="LIC G3" numFmtId="0">
      <sharedItems containsBlank="1"/>
    </cacheField>
    <cacheField name="GRUPO 4" numFmtId="0">
      <sharedItems containsBlank="1"/>
    </cacheField>
    <cacheField name="EST G4" numFmtId="0">
      <sharedItems containsBlank="1"/>
    </cacheField>
    <cacheField name="LIC G4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EGO ARAYA" refreshedDate="46008.40518483796" createdVersion="8" refreshedVersion="8" minRefreshableVersion="3" recordCount="9" xr:uid="{BDFDCE3A-EC2C-4A8C-9445-F2C85792B56D}">
  <cacheSource type="worksheet">
    <worksheetSource ref="B160:G168" sheet="MANO DE OBRA VALIDA"/>
  </cacheSource>
  <cacheFields count="5">
    <cacheField name="DEPARTAMENTO" numFmtId="0">
      <sharedItems count="2">
        <s v="OPERADOR"/>
        <s v="OPERACIÓN"/>
      </sharedItems>
    </cacheField>
    <cacheField name="CARGO" numFmtId="0">
      <sharedItems count="9">
        <s v="CHOFER CAMIÓN PLANO 3 "/>
        <s v="CHOFER CAMIÓN TOLVA 2"/>
        <s v="INSTRUCTOR BOLTEC"/>
        <s v="SUPERVISOR MONTAJE"/>
        <s v="CAPATAZ MISCELÁNEOS"/>
        <s v="MAESTRO AVANZADO MISCELÁNEOS"/>
        <s v="MAESTRO OOCC MISCELÁNEOS"/>
        <s v="AYUDANTE MISCELÁNEOS"/>
        <s v="SOLDADOR MONTAJE MISCELÁNEOS"/>
      </sharedItems>
    </cacheField>
    <cacheField name="SOPORTE OPERACIÓN 5x2" numFmtId="0">
      <sharedItems containsBlank="1"/>
    </cacheField>
    <cacheField name="EST 5X2" numFmtId="0">
      <sharedItems count="4">
        <s v="V"/>
        <s v="A"/>
        <s v="C" u="1"/>
        <s v="P" u="1"/>
      </sharedItems>
    </cacheField>
    <cacheField name="LIC 5X2 TA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DIEGO ARAYA" refreshedDate="46008.405185185184" createdVersion="8" refreshedVersion="8" minRefreshableVersion="3" recordCount="20" xr:uid="{86EE94B6-DF8B-403C-BF9C-A996E48AE34A}">
  <cacheSource type="worksheet">
    <worksheetSource ref="B152:G158" sheet="MANO DE OBRA VALIDA"/>
  </cacheSource>
  <cacheFields count="5">
    <cacheField name="DEPARTAMENTO" numFmtId="0">
      <sharedItems count="3">
        <s v="MECANICO"/>
        <s v="OPERACIÓN"/>
        <s v="OPERADOR"/>
      </sharedItems>
    </cacheField>
    <cacheField name="CARGO" numFmtId="0">
      <sharedItems count="19">
        <s v="MAESTRO MECÁNICO 4 G1-G2"/>
        <s v="MAESTRO MECÁNICO 4 G3-G4"/>
        <s v="MECÁNICO MANTENCIÓN G1-G2"/>
        <s v="MECÁNICO MANTENCIÓN G3-G4"/>
        <s v="MECÁNICO ESPECIALISTA G1-G2"/>
        <s v="MECÁNICO ESPECIALISTA G3-G4"/>
        <s v="ELECTROMECÁNICO G1-G2"/>
        <s v="ELECTROMECÁNICO G3-G4"/>
        <s v="CAPATAZ 7X7 TA G1 -G2"/>
        <s v="SOLDADOR MANTENCIÓN G1-G2"/>
        <s v="SOLDADOR MANTENCIÓN G3-G4"/>
        <s v="VULCANIZADOR G1-G2"/>
        <s v="VULCANIZADOR G3-G4"/>
        <s v="CHOFER CAMIÓN PLANO 1 G1-G2"/>
        <s v="CHOFER CAMIÓN PLANO 1 G2-G3"/>
        <s v="CHOFER CAMIÓN PLANO 2 G1-G2"/>
        <s v="CHOFER CAMIÓN PLANO 2 G3-G4"/>
        <s v="CHOFER CAMIÓN TOLVA G1-G2"/>
        <s v="CHOFER CAMIÓN TOLVA G3 - G4"/>
      </sharedItems>
    </cacheField>
    <cacheField name="SOPORTE OPERACIÓN 7x7 T°A" numFmtId="0">
      <sharedItems containsBlank="1"/>
    </cacheField>
    <cacheField name="EST 7X7 TA" numFmtId="0">
      <sharedItems count="4">
        <s v="P"/>
        <s v="A"/>
        <s v="V"/>
        <s v="C" u="1"/>
      </sharedItems>
    </cacheField>
    <cacheField name="LIC 7X7 TA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bara Miranda" refreshedDate="46042.56537384259" createdVersion="8" refreshedVersion="8" minRefreshableVersion="3" recordCount="33" xr:uid="{A702248D-1CE8-421D-BCBA-E09EF6761153}">
  <cacheSource type="worksheet">
    <worksheetSource ref="B1:D34" sheet="Personal en Proceso a Contratar"/>
  </cacheSource>
  <cacheFields count="3">
    <cacheField name="CARGO 1" numFmtId="0">
      <sharedItems/>
    </cacheField>
    <cacheField name="CARGO " numFmtId="0">
      <sharedItems count="16">
        <s v="OPERADOR JUMBO"/>
        <s v="OPERADOR RETROEXCAVADORA"/>
        <s v="OPERADOR MIXER"/>
        <s v="OPERADOR DE EQUIPO DE LEVANTE "/>
        <s v="MAESTRO M1"/>
        <s v="SOLDADOR"/>
        <s v="MAESTRO MECÁNICO"/>
        <s v="MECÁNICO ESPECIALISTA"/>
        <s v="ELECTROMECÁNICO"/>
        <s v="CHOFER CAMIÓN"/>
        <s v="BODEGUERO"/>
        <s v="MAESTRO ELECTRICISTA"/>
        <s v="AYUDANTE"/>
        <s v="ASISTENTE OFICINA TÉCNICA" u="1"/>
        <s v="ASISTENTE OFICINA" u="1"/>
        <s v="BODEGUERO 2" u="1"/>
      </sharedItems>
    </cacheField>
    <cacheField name="NOMBRE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arbara Miranda" refreshedDate="46051.544297800923" createdVersion="8" refreshedVersion="8" minRefreshableVersion="3" recordCount="445" xr:uid="{6F19918F-5ACF-4663-9674-A06F8484565A}">
  <cacheSource type="worksheet">
    <worksheetSource ref="B3:D437" sheet="MANO DE OBRA"/>
  </cacheSource>
  <cacheFields count="3">
    <cacheField name="AREA" numFmtId="0">
      <sharedItems/>
    </cacheField>
    <cacheField name="SUPERVISIÓN" numFmtId="0">
      <sharedItems/>
    </cacheField>
    <cacheField name="NOMBRE" numFmtId="0">
      <sharedItems count="445">
        <s v="DROGUETT MUÑOZ MARCOS ANTONIO"/>
        <s v="REUSSIER MANRIQUEZ OMAR JAMPIER"/>
        <s v="ROJAS HERNANDEZ MARIO ANIBAL"/>
        <s v="MUÑOZ SAN MARTIN RODRIGO ESTEBAN "/>
        <s v="SALAZAR RODRIGUEZ CARLOS ALBERTO"/>
        <s v="SEGUEL CISTERNA JEAN LESTER"/>
        <s v="RIVERA URRA DIXON ANTONIO"/>
        <s v="SANDOVAL CANTILLANA BRIAN DANIEL"/>
        <s v="GONZALEZ JARA MANUEL ALEJANDRO"/>
        <s v="CARRASCO GUTIERREZ PABLO JAVIER"/>
        <s v="REYES GONZALEZ JOSE IGNACIO"/>
        <s v="REDONDO JIMENEZ FELIPE ANDRES"/>
        <s v="SALAZAR FELIPE"/>
        <s v="VILLARROEL NUÑEZ VICENTE ANTONIO"/>
        <s v="ABARCA ESPINOZA JUAN JOSE"/>
        <s v="NARVÁEZ BÓRQUEZ CHRISTIAN MARCELO"/>
        <s v="ARANGUIZ CASTRO JOSE MIGUEL"/>
        <s v="RUBIO SAEZ JOSE OMAR"/>
        <s v="MORENO PALMA OSVALDO ENRIQUE"/>
        <s v="PEREZ YAÑEZ HECTOR EDUARDO"/>
        <s v="RIVERA DIAZ RAUL ALEJANDRO "/>
        <s v="MAUREIRA ROMERO FELIPE ANDRES"/>
        <s v="CATALAN PARDO UNGER LUIS"/>
        <s v="IBARRA MONSALVE CESAR ANTONIO"/>
        <s v="MATURANA ARANGUIZ LUIS ROBERTO"/>
        <s v="FUENTEALBA CORREA ERNESTO IVAN"/>
        <s v="SOTO ARRUE SERGIO ANTONIO"/>
        <s v="LILLO CASTRO JUAN SEGUNDO"/>
        <s v="FUENTES CANIO DARIO JOSE "/>
        <s v="DONOSO PARRA JONATHAN ANDRES"/>
        <s v="GALAZ ARAVENA RAUL ERNESTO "/>
        <s v="LUNA AMPUERO JOSE PEDRO"/>
        <s v="ESCOBAR ESCOBAR JUAN CARLOS"/>
        <s v="QUEZADA UGALDE JOSE HERIBERTO"/>
        <s v="MEDINA VALENCIA OSCAR EDUARDO "/>
        <s v="ALARCON LOBOS MAURICIO ALEJANDRO"/>
        <s v="QUIROZ MORAGA RODRIGO ELIAS"/>
        <s v="VASQUEZ TOLERO LUIS EDUARDO "/>
        <s v="MARTINEZ ZUÑIGA DANIEL DOMINGO"/>
        <s v="LEIVA GONZALEZ FELIPE ARTURO"/>
        <s v="ARROYO LOBOS EDUARDO ENRIQUE"/>
        <s v="SANDOVAL DAZA FELIPE ADRIAN"/>
        <s v="MUÑOZ VALENZUELA CLAUDIO FRANCISCO"/>
        <s v="VALDIVIA REYES PEDRO ALEJANDRO"/>
        <s v="MUÑOZ ARANGUIZ CRISTOBAL IGNACIO"/>
        <s v="MOLINA PINCHEIRA BENITO ANDRES "/>
        <s v="CONEJEROS AVILA WILSON "/>
        <s v="OYARZUN GUAJARDO FRANCISCO JAVIER"/>
        <s v="QUEZADA UGALDE ALEXIS ROBERT"/>
        <s v="ARAMBERRI ROLDÁN CRISTIAN IGNACIO"/>
        <s v="GONZALEZ MORENO JOSE LUIS"/>
        <s v="DONOSO GREZ ALEX ANTONIO"/>
        <s v="NEIRA CARREÑO DIEGO ANDRES"/>
        <s v="SOTO PINO SERGIO AGUSTIN"/>
        <s v="GUZMAN CELIS GONZALO ALBERTO"/>
        <s v="CATRILEO QUIROZ CLAUDIO ALEXIS"/>
        <s v="CARMONA JIMENEZ JUAN GUILLERMO (TEMA SALUD)"/>
        <s v="CANIUMIL SALGADO VICTOR MANUEL"/>
        <s v="JAQUE VALENZUELA LUIS ALBERTO"/>
        <s v="ALAMOS DIAZ SERGIO ISMAEL"/>
        <s v="CARRILLO GONZALEZ MAURICIO"/>
        <s v="DIAZ CONCHA DIEGO"/>
        <s v="CABRERA CASTILLO JOSE MIGUEL"/>
        <s v="GONZALEZ VARAS DAGOBERTO JOAQUIN"/>
        <s v="CUADRA IBACETA DIEGO SAIT"/>
        <s v="PINILLA MONTECINOS CAROL ANDREA"/>
        <s v="PARRAO REY RICARDO ESTEBAN"/>
        <s v="PINO ORTEGA PATRICIO"/>
        <s v="ZAMORANO DONOSO VICTOR EDUARDO"/>
        <s v="GARRIDO DIAZ ANTONIO ALFONSO"/>
        <s v="MEZA VENEGAS DANILO MAURICIO"/>
        <s v="MUÑOZ GONZALEZ DANIEL DAVID"/>
        <s v="FOLLERT ORMEÑO RICARDO PATRICIO"/>
        <s v="NARBONA DUQUE BRIAN GUILLERMO"/>
        <s v="CURIN CATRIPAN VICTOR RUBEN"/>
        <s v="DUARTE PAILAMILLA CLAUDIO ERBAN"/>
        <s v="SANHUEZA SALGADO MIGUEL ANGEL"/>
        <s v="BERROCAL AGUILAR JOSE RUBEN"/>
        <s v="CEPEDA BADILLA FELICIANO ALEJANDRO"/>
        <s v="FIGUEROA PULGARES JORGE ARMANDO"/>
        <s v="COVARRUBIAS NAVARRO GUILLERMO ENRIQUE"/>
        <s v="CAIFAL DURAN JUAN PABLO"/>
        <s v="MONCADA BARRERA HECTOR CRISTOPHER"/>
        <s v="VALDES FARÍAS MANUEL"/>
        <s v="SOTO FIGUEROA LUCIANO ANDRES"/>
        <s v="FERNANDEZ CAIRE MARCELO IVAN"/>
        <s v="SANDOVAL ARIAS JONATHAN GABRIEL"/>
        <s v="ZAMORANO BERRIOS CRISTOPHER EMILIO"/>
        <s v="SILVA GONZALEZ JOSE ENRIQUE "/>
        <s v="RUBIO ZAMORANO LUIS ALEJANDRO "/>
        <s v="ALDUNCE DEVIA MIGUEL ANGEL"/>
        <s v="LEIVA BECERRA JAVIER ANTONIO"/>
        <s v="OPAZO PALMA KAREN GRACIELA"/>
        <s v="PACHECO HERRERA PABLO"/>
        <s v="ARRIAZA VIDAL MARTIN ENRIQUE"/>
        <s v="PEREZ BOBADILLA LUIS ALEJANDRO"/>
        <s v="FONSECA FARIAS ANGEL DANIEL"/>
        <s v="MIRANDA REYES  CESAR EDUARDO"/>
        <s v="ROBLES HIDALGO BRYAN"/>
        <s v="ORTEGA HERRERA JUAN DANIEL "/>
        <s v="VALDIVIA PEREZ HERNAN ALEJANDRO "/>
        <s v="MIRANDA RAMOS JAVIER ALEJANDRO"/>
        <s v="PARRA VICTOR "/>
        <s v="VAZQUEZ MIRANDA PABLO "/>
        <s v="CABEZAS MORENO JUAN CARLOS"/>
        <s v="TOBAR VERGARA JUAN PABLO"/>
        <s v="MONSALVE VILLA RODRIGO IGNACIO"/>
        <s v="CARVAJAL AHUMADA JUAN ENRIQUE "/>
        <s v="PEREZ AVILA SEBASTIAN SAMUEL"/>
        <s v="YAÑEZ GARCIA ERASMO ERNESTO"/>
        <s v="HERNANDEZ ESPINOZA JOSE ANTONIO"/>
        <s v="CARRERA VIDAL JOSE ISAAC"/>
        <s v="TAPIA MANCILLA WILDO ALEJANDRO"/>
        <s v="MORALES BUENO MAXIMILIANO ALEXIS"/>
        <s v="MUÑOZ AHUMADA JUAN ANGELO"/>
        <s v="DONOSO ESPINOZA SEBASTIAN OSVALDO"/>
        <s v="URBINA POBLETE CRISTIAN MAURICIO"/>
        <s v="VALENZUELA RIQUELME JUAN CARLOS"/>
        <s v="MONTERO CORTEZ ABRAHAM RICARDO"/>
        <s v="BECERRA RIVEROS JUAN PATRICIO"/>
        <s v="DONOSO GONZALEZ ARMANDO"/>
        <s v="VIVANCO ABARCA CRISTIAN ALEJANDRO"/>
        <s v="LIZAMA MATURANA MAURICIO ALEJANDRO"/>
        <s v="LUIS ALBERTO DIAZ ROJAS (EN PROCESO)"/>
        <s v="LOPEZ LOPEZ MARCELO PATRICIO"/>
        <s v="DURAN RODRIGUEZ JONATHAN LUIS"/>
        <s v="SILVA FARIAS KEVIN ANIBAL"/>
        <s v="CORNEJO CARO ALEXIS ENRIQUE (GRUPO 3/4)"/>
        <s v="CORNEJO MENDEZ FELIPE IGNACIO"/>
        <s v="TAPIA CAMPOS CLAUDIO HERNAN"/>
        <s v="BARRERA CASTRO SEBASTIÁN DEL CARMEN"/>
        <s v="GONZALEZ HERRERA JULIO GABRIEL"/>
        <s v="SANCHEZ CASTRO HORACIO DE LA CRUZ"/>
        <s v="BUGUEÑO CORDOVA ANDRES ALFONSO (LICENCIA)"/>
        <s v="MORALES RIVERA FELIPE ANDRES"/>
        <s v="ARANDA ZENTENO CARLOS SEBASTIÁN"/>
        <s v="TRIVIÑO CARDOZO LUIS ALBERTO"/>
        <s v="ROZAS ROCO MAURICIO ESTEBAN(GRUPO 2)"/>
        <s v="CHAVEZ VALLEJOS CRISTIAN GUILLERMO"/>
        <s v="RAMIREZ CRUZ LUIS FERNANDO"/>
        <s v="GUTIERREZ TAUCAN GUSTAVO ALEXANDER"/>
        <s v="PINO AZUA JOSE MIGUEL"/>
        <s v="FERNANDEZ AREVALO GUILLERMO IGNACIO"/>
        <s v="CORDOVA ZUÑIGA CARLOS ALBERTO"/>
        <s v="RISCO RISCO JUAN ROLANDO"/>
        <s v="NORAMBUENA VERA MICHAEL IGNACIO"/>
        <s v="BECERRA FERNANDEZ DIEGO MATIAS "/>
        <s v="RAMIREZ PEÑA SERGIO ALEJANDRO"/>
        <s v="FLORES RIQUELME NASLO GIOVANNI"/>
        <s v="SALAS CARRASCO MOISES ANDRES (AY)"/>
        <s v="RUBIO REY DIEGO ESTEBAN "/>
        <s v="HONDARZA SAEZ BENJAMIN MATIAS"/>
        <s v="GONZALEZ CONTRERAS JONATHAN MARIANO"/>
        <s v="LASTRA MIRANDA MIGUEL ANGEL"/>
        <s v="CABEZAS BADILLA JOSE FERNANDO"/>
        <s v="PAILAÑIR JOFRE CARLOS ALBERTO"/>
        <s v="MONCADA ARAYA CRISTOPHER EDUARDO (HIJO DE MARCOS)"/>
        <s v="MONSALVE AMPUERO PATRICIO ALEJANDRO"/>
        <s v="MIGUEL ANGEL TAPIA PIZARRO "/>
        <s v="NUÑEZ CAVIERES MAURO ENRIQUE"/>
        <s v="ARCE ARCE HUGO HERNAN "/>
        <s v="LEIVA NAVARRO GERALD ALEXANDER"/>
        <s v="LEYTON NÚÑEZ CAMILO ANTONIO"/>
        <s v="HERRERA ROJAS GABRIEL ALEJANDRO"/>
        <s v="ARAVENA BERRIOS PATRICIO EUGENIO"/>
        <s v="VALENZUELA CONTRERAS JOEL JARED"/>
        <s v="VENEGAS ALARCON DAVIS PATRICIO"/>
        <s v="ASTORGA CASTRO AARON BRANDON"/>
        <s v="PEREZ CARO LORENZO CELEDONIO"/>
        <s v="ROMO ZAMORANO ITALO AMERICO"/>
        <s v="SANCHEZ CORDOVA LUIS ALBERTO"/>
        <s v="MATURANA ROMO ÁLVARO EMILIO"/>
        <s v="VALENZUELA CONTRERAS FERNANDO MOISES (GRUPO 2)"/>
        <s v="CABEZAS MORENO MARCELO ALEJANDRO"/>
        <s v="ORREGO YAÑEZ LUIS ERASMO"/>
        <s v="GAMBA HECTOR FABIAN"/>
        <s v="MOLINA CONTRERAS JUAN CARLOS"/>
        <s v="ILUFFI MORENO LEMMY  ZDRAVKO"/>
        <s v="CUMINIQUIR POVEDA KEVIN ELIAS "/>
        <s v="RODRIGUEZ ROJAS RICHARD OMAR "/>
        <s v="VIAL BARRIA CRISTIAN RODRIGO"/>
        <s v="URZUA DELGADO RODRIGO ISMAEL"/>
        <s v="GARRIDO CASTILLO CRISTOFER NIVALDO"/>
        <s v="INZUNZA ÓRDENES SANTIAGO ABRAHAM"/>
        <s v="CASTILLO GONZALEZ RAUL RENE"/>
        <s v="COLOMA TOLEDO ALVARO ALBERTO"/>
        <s v="SOTO SEVERINO ROBERTO ANTONIO"/>
        <s v="REYES OCAMPO MARIO RAFAEL"/>
        <s v="AYALA PINO FERNANDO ANTONIO"/>
        <s v="GUZMAN ZAMORANO RAUL ANDRES"/>
        <s v="LOPEZ BARRAZA ALEXANDER ESTEBAN"/>
        <s v="GONZALEZ CACERES PATRICIO OCTAVIO"/>
        <s v="NUÑEZ LEON VICTOR MANUEL"/>
        <s v="RUBIO SAEZ JOSE ANTONIO "/>
        <s v="CRISTOBAL MUÑOZ TERAN"/>
        <s v="ALARCÓN PALMA RICARDO"/>
        <s v="CORREA GALDAMES MAURICIO ALFONSO"/>
        <s v="URZUA PIÑA ALEJANDRO ESTEBAN "/>
        <s v="GAJARDO CORDERO FERNANDO BASTIAN"/>
        <s v="FAUNDEZ ROMERO PATRICIO RICARDO"/>
        <s v="ADASME ROJAS LUIS MAURICIO"/>
        <s v="GONZALEZ QUISPE MARCO ANDRES"/>
        <s v="HORMAZABAL IBACETA ALEJANDRO DANIEL"/>
        <s v="FLORES LEON HECTOR MARIO"/>
        <s v="MONSALVE ROJAS JORGE ANTONIO "/>
        <s v="MORALES PONCE CARLOS ALBERTO"/>
        <s v="YAÑEZ VILLAGRAN RICARDO ANTONIO"/>
        <s v="VALDIVIA GONZALEZ LUIS"/>
        <s v="LOPEZ DURAN RODRIGO ANDRES"/>
        <s v="QUIROZ LOPEZ GERARDO SEBASTIAN"/>
        <s v="VIDAL PAVEZ BASTIAN ALEXIS"/>
        <s v="GOMEZ ARANGUIZ JORGE ENRIQUE"/>
        <s v="RAMIREZ DIAZ EDUARDO CARLOS"/>
        <s v="BARRIOS ROJAS PHILLIPE GUSTAVO"/>
        <s v="PAREDES EYZAGUIRRE JORGE IVAN"/>
        <s v="ORELLANA GOMEZ PABLO ANDRES"/>
        <s v="JILBERTO GÓMEZ ANTONIO ALEJANDRO"/>
        <s v="HEVIA PÉREZ JORGE"/>
        <s v="FERNANDEZ SEPULVEDA IGNACIO NICOLAS"/>
        <s v="RODRIGUEZ GONZALEZ HERIBERTO NERY (M1 MINERO)"/>
        <s v="ABARCA PALMA BRUNO ALEJADRNO "/>
        <s v="VILLARROEL MIRANDA HECTOR FRANCISCO JAVIER"/>
        <s v="VILLANUEVA VALDERAS BRYAN ESTEBAN"/>
        <s v="SACRE ASTORGA SEBASTIAN ALEJANDRO (CAPATAZ)"/>
        <s v="BUSTAMANTE REYES FERNANDO JERONIMO (M1 MNERO)"/>
        <s v="NAVARRETE MARTINEZ CELINO ERASMO"/>
        <s v="CONTRERAS MIRANDA CRISTHOFER ALAN"/>
        <s v="CARRASCO CERDA CARLOS"/>
        <s v="DIAZ AVENDAÑO MIGUEL IGNACIO"/>
        <s v="HERRERA OBERREUTER LUIS ALEJANDRO"/>
        <s v="VERA ROCHA RODRIGO ANTONIO "/>
        <s v="ARCE SALAS CARLOS ALBERTO"/>
        <s v="MATURANA MATURANA CARLOS CHRISTIAN "/>
        <s v="BAEZA VERGARA JUAN MANUEL"/>
        <s v="FIGUEROA SALDIAS CESAR ALFREDO"/>
        <s v="ARAYA SALINAS ESTEBAN ANDRES"/>
        <s v="GARCIA ESQUIVEL MAURICIO ANDRES"/>
        <s v="CAMPOS MICHEA NAHUN ISAI"/>
        <s v="TORO REYES JUAN NORBERTO (M1 NERO)"/>
        <s v="POBLETE AZOCAR FRANCISCO JAVIER   M1 MINERO"/>
        <s v="ACEVEDO OSORIO JULIO FERNANDO "/>
        <s v="TAPIA BARRÍA RICHARD OMAR"/>
        <s v="OLMOS PEREIRA NELSON RODRIGO"/>
        <s v="SALINAS ARANCIBIA SERGIO ANDRES"/>
        <s v="PRADO YAÑEZ JAIME ANTONIO (OP GRUA)"/>
        <s v="BLANCO MARQUEZ PIERO ENRIQUE"/>
        <s v="VERA BERRIOS FRANCISCO JAVIER "/>
        <s v="LOPEZ LOPEZ CLAUDIO FELIPE"/>
        <s v="HERNANDEZ BARRIA JUAN"/>
        <s v="LOCH ALBORNOZ DIEGO ALEJANDRO"/>
        <s v="VERGARA MARTINEZ FELIPE ALEJANDRO(M1 MINERO)"/>
        <s v="DUARTE SEGURA MAURICIO ENRIQUE (M1 MINERO)"/>
        <s v="CASTILLO VERGARA CAMILO FERNANDO  soldador"/>
        <s v="LIZANA ARANGUIZ ALEJANDRO ANDRES "/>
        <s v="IBAÑEZ GALDAMES CARLOS ALEXIS "/>
        <s v="NUÑEZ DIAZ JOSE RAMON "/>
        <s v="CABELLO RIQUELME RAYMOND EDUARDO"/>
        <s v="JORDAN RIVERO MAXIMILIANO ESTEBAN"/>
        <s v="RIVERA REYES JAVIER ANTONIO"/>
        <s v="TORO MUÑOZ JORGE ANDRES "/>
        <s v="ORELLANA RIVEROS JUAN ANDRÉS"/>
        <s v="PONCE SAEZ PABLO CESAR"/>
        <s v="SANCHEZ MALDONADO EDUARDO"/>
        <s v="CHANCY RIOS JOHAN SEFANO"/>
        <s v="GUZMAN PEREZ SEBASTIAN ANDRES"/>
        <s v="GARRIDO VILLAGRA DANIEL MAURICIO"/>
        <s v="BASULTO ADASME LEONARDO ALONSO"/>
        <s v="MADRID ORDOÑEZ DANIEL ALBERTO   "/>
        <s v="DONOSO CACERES MANUEL IRENIO (OP GRUA)"/>
        <s v="DIAZ HERNANDEZ MIGUEL EMILIO "/>
        <s v="FICA MORALES FERNANDO RICARDO"/>
        <s v="CASTILLO PARRA JOSE MANUEL (M1 OOCC)"/>
        <s v="ARAUCO GONZALEZ FLAVIO ALEXANDER  soldador"/>
        <s v="MATURANA ARAYA EUGENIO ALEJANDRO (soldador)"/>
        <s v="HORMAZABAL SOTO HERNAN ENRIQUE"/>
        <s v="REYES JOHNSON CLAUDIO ANDRÉS"/>
        <s v="RODRIGO POBLETE"/>
        <s v="ORDENES ROJAS JUAN ENRIQUE"/>
        <s v="HENRIQUEZ ORTIZ MARCELO JAVIER"/>
        <s v="GUTIERREZ VALENZUELA CARLOS ANDRES"/>
        <s v="CABEZAS DONOSO BASTIAN ANDRES"/>
        <s v="SANDOVAL CANTILLANA MATIAS NICOLAS"/>
        <s v="VALDIVIA MENARES SERGIO ANDRES"/>
        <s v="AGURTO CUADRA LUIS DANIEL "/>
        <s v="LOPEZ BUSTAMANTE CARLOS ENRIQUE "/>
        <s v="FUENTES ORTEGA JESUS ALEJANDRO"/>
        <s v="VERGARA AGUILAR JAVIER IGNACIO "/>
        <s v="MEDINA CORONADO EDSON "/>
        <s v="MENDEZ RODRIGUEZ JORGE LUIS"/>
        <s v="BONET MEDINA JOSÉ"/>
        <s v="GUAJARDO MIRANDA BRUNO SEBASTIAN"/>
        <s v="CASTILLO IBÁÑEZ JOSÉ ALFREDO"/>
        <s v="VARGAS ORREGO PIA FRANCISCA"/>
        <s v="GONZALEZ MORENO FRANCISCO JAVIER"/>
        <s v="MORENO MORENO ALEJANDRO ANTONIO"/>
        <s v="ROJAS MILLA JOSE LUIS "/>
        <s v="VILLALEN HUAIQUILAO IVAN ENRIQUE"/>
        <s v="CEBALLOS BAEZA EMILIANO DE LA CRUZ"/>
        <s v="CABEZAS VILLAGRA FERNANDO ANTONIO"/>
        <s v="RAMIREZ VALENCIA VALERIANO ROBERTO"/>
        <s v="ABARCA AGUIRRE MIGUEL ANGEL"/>
        <s v="CHAVEZ POZO HECTOR RODRIGO"/>
        <s v="ARANGUIZ ARANGUIZ MARCO ANTONIO"/>
        <s v="ROJAS PEREZ RICARDO ESTEBAN"/>
        <s v="CARQUIN MALDONADO CRISTIAN PASCUAL "/>
        <s v="NAVARRO VARGAS LEONARDO ARTURO"/>
        <s v="RAMIREZ CERDA LUIS ALBERTO"/>
        <s v="MANRIQUEZ MARTINEZ ABELINO AMADOR"/>
        <s v="GALVEZ CARRASCO VÍCTOR HUGO"/>
        <s v="PEREZ ZUÑIGA EMILIO JOSE"/>
        <s v="SILVA ESCOBEDO ARIEL ESTEBAN"/>
        <s v="GONZALEZ MONSALVE CRISTIAN EDUARDO"/>
        <s v="NAVARRO BURGOS SERGIO ANDRES"/>
        <s v="NUÑEZ LARA JOSE NICOLAS"/>
        <s v="CELIS CARQUIN VICTOR ALFONSO"/>
        <s v="PAZ GALLARDO LUIS AGUSTIN"/>
        <s v="GONZALEZ JABANA JAVIER JOSE"/>
        <s v="GUTIERREZ OYARZUN JUAN SEGUNDO"/>
        <s v="ARREDONDO GONZALEZ LUIS ANTONIO"/>
        <s v="LOPEZ MACIAS CARLOS ANTONIO"/>
        <s v="MARCHANT CHACON ELIAS ENRIQUE"/>
        <s v="CARMONA ALVAREZ NALDO ALBERTO"/>
        <s v="ESCOBAR MUÑOZ ENZO ISRAEL"/>
        <s v="CASTRO GARCIA RODRIGO ESTEBAN"/>
        <s v="REYNOSO ZAMORANO MIGUEL ANGEL"/>
        <s v="DELGADO DELGADO FABIÁN"/>
        <s v="LORCA ARAYA RICARDO DEL CARMEN "/>
        <s v="LOPEZ UNION DAVID ANDRES"/>
        <s v="GONZALEZ VALENZUELA CARLOS FRANCISCO"/>
        <s v="SAN CRISTOBAL VELIZ OSCAR HERNAN  OP GRUA"/>
        <s v="GALLARDO ANDRADE JONATHAN ANDRES"/>
        <s v="MORALES BOBADILLA RIGOBERTO ANTONIO"/>
        <s v="PIZARRO CABEZAS NICOLÁS EDUARDO "/>
        <s v="SILVA ALBRECHT MARCO ANTONIO"/>
        <s v="QUINTANILLA DROGUETT JUAN JOSE"/>
        <s v="MOYA PEREZ JUAN CARLOS"/>
        <s v="HERRERA SAN MARTIN JUAN PABLO"/>
        <s v="JIMENEZ NEIRA DIEGO NICOLAS"/>
        <s v="ALBORNOZ ALBORNOZ PABLO ANTONIO"/>
        <s v="BRAVO PASTEN JOSE LUIS"/>
        <s v="QUEZADA SEPULVEDA RODRIGO BENJAMIN "/>
        <s v="ZAPATA URRA SERGIO GABRIEL"/>
        <s v="PADILLA JARA CARLOS MIGUEL "/>
        <s v="FIGUEROA OLIVOS BERNARDO ANTONIO"/>
        <s v="REYES VILLAGRA FRANCISCO ABDÓN"/>
        <s v="ABARCA PEREZ JORGE ANTONIO (SOLDADOR)"/>
        <s v="GUTIERREZ ACOSTA SEBASTIAN DANILO"/>
        <s v="PONTIGO MILLAR CLAUDIO ANDRES"/>
        <s v="CAMPOS MORALES MARCELO PABLO "/>
        <s v="PARRAGUEZ SANDOVAL DUBAL ALEJANDRO A"/>
        <s v="AHUMADA GUZMAN LEONARDO ENRIQUE"/>
        <s v="MARTINEZ NUÑEZ KEVIN FABRIZIO"/>
        <s v="GUTIERREZ SOTO MAURICIO RENE"/>
        <s v="CABEZAS QUINTEROS HERNAN ANTONIO"/>
        <s v="LUCERO FIGUEROA CLAUDIO CRISTIAN "/>
        <s v="GONZALEZ ALONSO FELIPE IGNACIO "/>
        <s v="VELASQUEZ TRUFFI FREDY GONZALO"/>
        <s v="VALDES OLIVARES OSCAR ANDRES"/>
        <s v="SAAVEDRA ARRATIA SERGIO"/>
        <s v="ULLOA SILVA ARIEL SOCRATES  (M1)"/>
        <s v="JIMÉNEZ NEIRA WALTER FRANCISCO"/>
        <s v="REMEDY VILLALÓN SEBASTIÁN ADOLFO "/>
        <s v="FLORES SOTO ALEXIS FELIPE"/>
        <s v="ALLENDE ROBLES JAVIER FRANCISCO"/>
        <s v="URZUA TROMO ALEJANDRO ANTONIO"/>
        <s v="RÁMIREZ CANTILLANA LUIS ALBERTO"/>
        <s v="LEIVA RIOS FELIPE ANDRES "/>
        <s v="MARCHANT RAMIREZ EDUARDO ANTONIO "/>
        <s v="RIQUELME OVANDO MAIQUEL JONATHAN "/>
        <s v="MOYA GALVEZ ORLANDO MISAEL"/>
        <s v="CABELLO TORRES JOSE ANTONIO"/>
        <s v="ESCOBAR MARQUEZ LEONARDO FELIPE"/>
        <s v="JARA BARRIOS ROBERTO SEBASTIAN "/>
        <s v="RIQUELME CARRASCO CLAUDIO"/>
        <s v="ALBIÑA VICENTE "/>
        <s v="BERRIOS GALAZ ROBERTO"/>
        <s v="ITURRIAGA GONZALEZ GUILLERMO ANTONIO"/>
        <s v="REYES UBILLA GONZALO ADOLFO"/>
        <s v="PALMA PALMA JHON ANTONIO"/>
        <s v="ROJAS HORMAZABAL DANIEL ENRIQUE "/>
        <s v="GOMEZ FERNANDEZ ALEJANDRO ENRIQUE"/>
        <s v="REVECO REVECO RODRIGO SEBASTIAN"/>
        <s v="ROJAS BAHAMONDES LUIS EDUARDO"/>
        <s v="JERIA BASÁEZ JORGE ENRIQUE"/>
        <s v="VARGAS OSORIO MARCO AURELO"/>
        <s v="CONTRERAS SILVA HECTOR FABIAN "/>
        <s v="CORTES MICHEA LUIS FERNANDO"/>
        <s v="CORREA MENESES CHRISTOFER ANDRES"/>
        <s v="URBINA POBLETE PATRICIO ANDRES "/>
        <s v="OJEDA MOLINA BERNARDO ARIEL "/>
        <s v="PINO LIZANA LEONARDO DEL CARMEN"/>
        <s v="MUÑOZ CASTILLO DANIEL"/>
        <s v="LAGOS NORAMBUENA JOSÉ"/>
        <s v="GUTIERREZ ROJAS PATRICIO "/>
        <s v="NORAMBUENA ORTIZ ORLANDO ANTONIO"/>
        <s v="HUENCHUMÁN LÓPEZ ALAN FABIÁN ANDRÉS"/>
        <s v="CERECEDA BARRERA LARRY WILSON"/>
        <s v="MAÑAN QUERALTO FRANCO ESTEBAN"/>
        <s v="DROGUETT PAVEZ MARCO ANTONIO"/>
        <s v="MIRANDA FUENTES BARBARA VALENTINA"/>
        <s v="LEPEZ VILLAGRAN JOSE IGNACIO"/>
        <s v="SANHUEZA ORDENES FRANCISCO"/>
        <s v="GODOY BARRERA ROBERTO JAVIER"/>
        <s v="ARAYA BERRIOS DIEGO IGNACIO"/>
        <s v="CORREA ZAVALA PATRICIO AGUSTIN"/>
        <s v="MUÑOZ MUÑOZ DAMIAN SEBASTIAN"/>
        <s v="ACEITUNO REYES CRISTOBAL ANTONIO (5X2)"/>
        <s v="DIAZ ZAMORANO NICOLAS LUIS"/>
        <s v="HUAICO DONOSO FELIPE ALONSO"/>
        <s v="PINO REVECO GONZALO JAVIER"/>
        <s v="SILVA PEREZ JONATHAN ALEJANDRO"/>
        <s v="MORALES MORALES MAURICIO ALFONSO"/>
        <s v="FOURNIER MUÑOZ ALEJANDRA CAROLINA"/>
        <s v="FARIAS GONZALEZ FELIPE TOMAS "/>
        <s v="ASTUDILLO TORO FRANCISCO JAVIER"/>
        <s v="KAU MANDUJANO INGRID VALESKA"/>
        <s v="SANTIS MANZANO TERESA CAROLINA"/>
        <s v="MOLINA PEÑA FRANCISCO EDUARDO"/>
        <s v="MEDINA PINTO NELSON EMILIO"/>
        <s v="ZAMORA TAPIA VALENTINA FERNANDA"/>
        <s v="GOMEZ TAPIA PABLO IGNACIO "/>
        <s v="GALAZ RÁMIREZ RIENCI"/>
        <s v="OLIVOS ALEGRIA DANIELA ALEXANDRA"/>
        <s v="ALVARADO RAMIREZ NICKOL STEPHANY"/>
        <s v="KATHERINE GALDAMES"/>
        <s v="ALVAREZ ALVAREZ PAOLO SEBASTIAN"/>
        <s v="PALOMINO COLLANTES EVA SOLEDAD"/>
        <s v="ORELLANA SOLIS DAYRO ANDRES"/>
        <s v="ARREDONDO CARREÑO OSCAR ENRIQUE"/>
        <s v="ESPINOZA VAZQUEZ JORGE"/>
        <s v="NECULMAN ARANGUIZ GUIDO ALBERTO"/>
        <s v="HIDALGO CERDA FRANCISCO ANDRES"/>
        <s v="CASTILLO LIZANA JUAN PEDRO"/>
        <s v="CELIS SOTO ARNALDO ANDRES"/>
        <s v="ALVARADO ZUÑIGA JAVIERA IGNACIA"/>
        <s v="MUÑOZ HERNANDEZ MAURICIO LEONARDO"/>
        <s v="MARQUEZ SANCHEZ MANUEL"/>
        <s v="PEREZ ZAMORANO FRANCISCO"/>
        <s v="RAMOS ROJAS ÁLVARO"/>
        <s v="VERA GOMEZ BETZABE DEL CARMEN"/>
        <s v="CONTRERAS RIQUELME FABIAN"/>
        <s v="CERDA ROMERO MARCELO ALEJANDRO "/>
        <s v="CARO GAETE DANIEL IGNACIO"/>
        <s v="BRICEÑO VALENZUELA CRISTOBAL SEBASTIAN "/>
        <s v="SEPULVEDA OVIEDO JHON ANDRE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10">
  <r>
    <x v="0"/>
    <x v="0"/>
    <m/>
    <x v="0"/>
    <m/>
    <m/>
    <m/>
    <m/>
    <m/>
    <m/>
    <m/>
    <m/>
    <m/>
    <m/>
  </r>
  <r>
    <x v="1"/>
    <x v="1"/>
    <s v="DROGUETT MUÑOZ MARCOS ANTONIO"/>
    <x v="1"/>
    <s v="L"/>
    <s v="ALDUNCE DEVIA MIGUEL ANGEL"/>
    <s v="A"/>
    <s v="L"/>
    <s v="URZUA DELGADO RODRIGO ISMAEL"/>
    <s v="A"/>
    <m/>
    <s v="HORMAZABAL SOTO HERNAN ENRIQUE"/>
    <s v="A"/>
    <m/>
  </r>
  <r>
    <x v="1"/>
    <x v="2"/>
    <s v="REUSSIER MANRIQUEZ OMAR JAMPIER"/>
    <x v="1"/>
    <m/>
    <s v="LEIVA BECERRA JAVIER ANTONIO"/>
    <s v="A"/>
    <m/>
    <s v="REYES JOHNSON CLAUDIO ANDRÉS"/>
    <s v="A"/>
    <s v="L"/>
    <s v="GARRIDO CASTILLO CRISTOFER NIVALDO"/>
    <s v="A"/>
    <m/>
  </r>
  <r>
    <x v="2"/>
    <x v="3"/>
    <s v="ROJAS HERNANDEZ MARIO ANIBAL"/>
    <x v="1"/>
    <m/>
    <s v="OPAZO PALMA KAREN GRACIELA"/>
    <s v="A"/>
    <m/>
    <s v="INZUNZA ÓRDENES SANTIAGO ABRAHAM"/>
    <s v="A"/>
    <m/>
    <s v="RODRIGO POBLETE"/>
    <s v="A"/>
    <m/>
  </r>
  <r>
    <x v="2"/>
    <x v="4"/>
    <s v="PACHECO HERRERA PABLO (5x2)"/>
    <x v="1"/>
    <m/>
    <s v="MUÑOZ SAN MARTIN RODRIGO ESTEBAN "/>
    <s v="C"/>
    <m/>
    <s v="CASTILLO GONZALEZ RAUL RENE"/>
    <s v="A"/>
    <m/>
    <s v="ORDENES ROJAS JUAN ENRIQUE"/>
    <s v="A"/>
    <m/>
  </r>
  <r>
    <x v="3"/>
    <x v="5"/>
    <s v="SALAZAR RODRIGUEZ CARLOS ALBERTO"/>
    <x v="1"/>
    <m/>
    <s v="ARRIAZA VIDAL MARTIN ENRIQUE"/>
    <s v="A"/>
    <m/>
    <s v="COLOMA TOLEDO ALVARO ALBERTO"/>
    <s v="A"/>
    <m/>
    <s v="HENRIQUEZ ORTIZ MARCELO JAVIER"/>
    <s v="A"/>
    <m/>
  </r>
  <r>
    <x v="0"/>
    <x v="6"/>
    <m/>
    <x v="0"/>
    <m/>
    <m/>
    <m/>
    <m/>
    <m/>
    <m/>
    <m/>
    <m/>
    <m/>
    <m/>
  </r>
  <r>
    <x v="4"/>
    <x v="7"/>
    <s v="SEGUEL CISTERNA JEAN LESTER"/>
    <x v="1"/>
    <s v="L"/>
    <s v="PEREZ BOBADILLA LUIS ALEJANDRO"/>
    <s v="A"/>
    <m/>
    <s v="SOTO SEVERINO ROBERTO ANTONIO"/>
    <s v="A"/>
    <s v="L"/>
    <s v="GUTIERREZ VALENZUELA CARLOS ANDRES"/>
    <s v="A"/>
    <m/>
  </r>
  <r>
    <x v="4"/>
    <x v="8"/>
    <s v="RIVERA URRA DIXON ANTONIO"/>
    <x v="1"/>
    <m/>
    <s v="FONSECA FARIAS ANGEL DANIEL"/>
    <s v="A"/>
    <m/>
    <s v="REYES OCAMPO MARIO RAFAEL"/>
    <s v="A"/>
    <m/>
    <m/>
    <s v="V"/>
    <m/>
  </r>
  <r>
    <x v="4"/>
    <x v="9"/>
    <s v="SANDOVAL CANTILLANA BRIAN DANIEL"/>
    <x v="1"/>
    <m/>
    <s v="MIRANDA REYES  CESAR EDUARDO"/>
    <s v="A"/>
    <m/>
    <s v="AYALA PINO FERNANDO ANTONIO"/>
    <s v="A"/>
    <m/>
    <s v="SANDOVAL CANTILLANA MATIAS NICOLAS"/>
    <s v="A"/>
    <m/>
  </r>
  <r>
    <x v="4"/>
    <x v="10"/>
    <s v="GONZALEZ JARA MANUEL ALEJANDRO"/>
    <x v="1"/>
    <m/>
    <m/>
    <s v="V"/>
    <m/>
    <s v="GUZMAN ZAMORANO RAUL ANDRES"/>
    <s v="A"/>
    <m/>
    <s v="VALDIVIA MENARES SERGIO ANDRES"/>
    <s v="A"/>
    <m/>
  </r>
  <r>
    <x v="4"/>
    <x v="11"/>
    <s v="CARRASCO GUTIERREZ PABLO JAVIER"/>
    <x v="1"/>
    <m/>
    <s v="ORTEGA HERRERA JUAN DANIEL "/>
    <s v="A"/>
    <m/>
    <s v="LOPEZ BARRAZA ALEXANDER ESTEBAN"/>
    <s v="A"/>
    <m/>
    <s v="AGURTO CUADRA LUIS DANIEL "/>
    <s v="A"/>
    <m/>
  </r>
  <r>
    <x v="5"/>
    <x v="12"/>
    <s v="REYES GONZALEZ JOSE IGNACIO"/>
    <x v="1"/>
    <m/>
    <s v="VALDIVIA PEREZ HERNAN ALEJANDRO "/>
    <s v="A"/>
    <m/>
    <s v="PONCE JAÑA PABLO ENRIQUE"/>
    <s v="A"/>
    <m/>
    <s v="LOPEZ BUSTAMANTE CARLOS ENRIQUE "/>
    <s v="A"/>
    <m/>
  </r>
  <r>
    <x v="5"/>
    <x v="13"/>
    <s v="GONZALEZ CACERES PATRICIO OCTAVIO"/>
    <x v="1"/>
    <m/>
    <s v="REDONDO JIMENEZ FELIPE ANDRES"/>
    <s v="A"/>
    <m/>
    <s v="NUÑEZ LEON VICTOR MANUEL"/>
    <s v="A"/>
    <m/>
    <s v="TORRES TORRES EDUARDO ANDRES"/>
    <s v="A"/>
    <m/>
  </r>
  <r>
    <x v="5"/>
    <x v="14"/>
    <s v="FELIPE SALAZAR"/>
    <x v="1"/>
    <m/>
    <s v="VICTOR PARRA"/>
    <s v="A"/>
    <m/>
    <s v="VILLARROEL NUÑEZ VICENTE ANTONIO"/>
    <s v="A"/>
    <m/>
    <s v="JAVIER IGNACIO VERGARA AGUILAR "/>
    <s v="A"/>
    <m/>
  </r>
  <r>
    <x v="5"/>
    <x v="15"/>
    <s v="JOSE RUBIO SAEZ"/>
    <x v="1"/>
    <m/>
    <s v="PABLO VAZQUEZ MIRANDA"/>
    <s v="A"/>
    <m/>
    <s v="CRISTOBAL MUÑOZ TERAN"/>
    <s v="A"/>
    <m/>
    <s v="EDSON MEDINA CORONADO"/>
    <s v="A"/>
    <m/>
  </r>
  <r>
    <x v="5"/>
    <x v="16"/>
    <s v="ABARCA ESPINOZA JUAN JOSE"/>
    <x v="1"/>
    <m/>
    <s v="CATEJO RIQUELME LUIS RODRIGO"/>
    <s v="A"/>
    <m/>
    <s v="ALARCÓN PALMA RICARDO"/>
    <s v="A"/>
    <m/>
    <s v="VICENTE ALBIÑA"/>
    <s v="A"/>
    <m/>
  </r>
  <r>
    <x v="1"/>
    <x v="17"/>
    <s v="NARVÁEZ BÓRQUEZ CHRISTIAN MARCELO"/>
    <x v="1"/>
    <m/>
    <s v="TOBAR VERGARA JUAN PABLO"/>
    <s v="A"/>
    <m/>
    <s v="CORREA GALDAMES MAURICIO ALFONSO"/>
    <s v="A"/>
    <m/>
    <s v="BONET MEDINA JOSÉ"/>
    <s v="A"/>
    <m/>
  </r>
  <r>
    <x v="1"/>
    <x v="18"/>
    <s v="CARVAJAL AHUMADA JUAN ENRIQUE "/>
    <x v="1"/>
    <m/>
    <s v="MONSALVE VILLA RODRIGO IGNACIO"/>
    <s v="A"/>
    <s v="L"/>
    <s v="URZUA PIÑA ALEJANDRO ESTEBAN "/>
    <s v="A"/>
    <m/>
    <s v="GUAJARDO MIRANDA BRUNO SEBASTIAN"/>
    <s v="A"/>
    <s v="L"/>
  </r>
  <r>
    <x v="1"/>
    <x v="19"/>
    <s v="ULLOA BERRIOS RICHARD ROSENDO"/>
    <x v="1"/>
    <s v="L"/>
    <s v="ARANGUIZ CASTRO JOSE MIGUEL"/>
    <s v="P"/>
    <m/>
    <s v="GAJARDO CORDERO FERNANDO BASTIAN"/>
    <s v="A"/>
    <m/>
    <s v="GUTIERREZ SOTO MAURICIO RENE"/>
    <s v="A"/>
    <s v="L"/>
  </r>
  <r>
    <x v="1"/>
    <x v="20"/>
    <s v="MORENO PALMA OSVALDO ENRIQUE"/>
    <x v="1"/>
    <s v="L"/>
    <s v="PEREZ AVILA SEBASTIAN SAMUEL"/>
    <s v="A"/>
    <m/>
    <s v="FAUNDEZ ROMERO PATRICIO RICARDO"/>
    <s v="A"/>
    <m/>
    <s v="VARGAS ORREGO PIA FRANCISCA"/>
    <s v="A"/>
    <m/>
  </r>
  <r>
    <x v="0"/>
    <x v="21"/>
    <m/>
    <x v="0"/>
    <m/>
    <m/>
    <m/>
    <m/>
    <m/>
    <m/>
    <m/>
    <m/>
    <m/>
    <m/>
  </r>
  <r>
    <x v="6"/>
    <x v="22"/>
    <s v="PEREZ YAÑEZ HECTOR EDUARDO"/>
    <x v="1"/>
    <m/>
    <s v="YAÑEZ GARCIA ERASMO ERNESTO"/>
    <s v="A"/>
    <s v="L"/>
    <s v="ADASME ROJAS LUIS MAURICIO"/>
    <s v="A"/>
    <s v="L"/>
    <s v="GONZALEZ MORENO FRANCISCO JAVIER"/>
    <s v="A"/>
    <m/>
  </r>
  <r>
    <x v="6"/>
    <x v="23"/>
    <s v="ZAMORA PINO VICTOR MANUEL"/>
    <x v="1"/>
    <s v="L"/>
    <s v="HERNANDEZ ESPINOZA JOSE ANTONIO"/>
    <s v="A"/>
    <s v="L"/>
    <s v="GONZALEZ QUISPE MARCO ANDRES"/>
    <s v="A"/>
    <s v="L"/>
    <s v="MORENO MORENO ALEJANDRO ANTONIO"/>
    <s v="A"/>
    <s v="L"/>
  </r>
  <r>
    <x v="6"/>
    <x v="24"/>
    <s v="MAUREIRA ROMERO FELIPE ANDRES"/>
    <x v="1"/>
    <s v="L"/>
    <s v="RIVERA DIAZ RAUL ALEJANDRO "/>
    <s v="A"/>
    <m/>
    <s v="ROJAS MILLA JOSE LUIS "/>
    <s v="A"/>
    <m/>
    <s v="MOLLO ARAYA EDUARDO WALTER"/>
    <s v="A"/>
    <m/>
  </r>
  <r>
    <x v="6"/>
    <x v="25"/>
    <s v="CATALAN PARDO UNGER LUIS"/>
    <x v="1"/>
    <s v="L"/>
    <s v="TAPIA MANCILLA WILDO ALEJANDRO"/>
    <s v="A"/>
    <s v="L"/>
    <s v="FLORES LEON HECTOR MARIO"/>
    <s v="A"/>
    <s v="L"/>
    <s v="VILLALEN HUAIQUILAO IVAN ENRIQUE"/>
    <s v="A"/>
    <s v="L"/>
  </r>
  <r>
    <x v="6"/>
    <x v="26"/>
    <s v="CEBALLOS BAEZA EMILIANO DE LA CRUZ "/>
    <x v="1"/>
    <m/>
    <s v="MORALES BUENO MAXIMILIANO ALEXIS"/>
    <s v="A"/>
    <m/>
    <s v="MONSALVE ROJAS JORGE ANTONIO "/>
    <s v="A"/>
    <m/>
    <s v="ORELLANA GOMEZ PABLO ANDRES"/>
    <s v="P"/>
    <m/>
  </r>
  <r>
    <x v="6"/>
    <x v="27"/>
    <s v="GALLARDO LEON GUSTAVO ADOLFO"/>
    <x v="1"/>
    <s v="L"/>
    <s v="MUÑOZ AHUMADA JUAN ANGELO"/>
    <s v="A"/>
    <s v="L"/>
    <s v="MORALES PONCE CARLOS ALBERTO"/>
    <s v="A"/>
    <m/>
    <s v="MATURANA MATURANA CARLOS CHRISTIAN "/>
    <s v="P"/>
    <m/>
  </r>
  <r>
    <x v="6"/>
    <x v="28"/>
    <s v="CONEJEROS AVILA WILSON ALEJANDRO "/>
    <x v="1"/>
    <s v="L"/>
    <s v="DONOSO ESPINOZA SEBASTIAN OSVALDO"/>
    <s v="A"/>
    <s v="L"/>
    <s v="BARRIOS ROJAS PHILLIPE GUSTAVO"/>
    <s v="A"/>
    <s v="L"/>
    <s v="RAMIREZ VALENCIA VALERIANO ROBERTO"/>
    <s v="A"/>
    <s v="L"/>
  </r>
  <r>
    <x v="6"/>
    <x v="29"/>
    <s v="FUENTEALBA CORREA ERNESTO IVAN"/>
    <x v="1"/>
    <s v="L"/>
    <s v="URBINA POBLETE CRISTIAN MAURICIO(PASA A OPÉRADOR DE ROBOSHOT)"/>
    <s v="A"/>
    <s v="L"/>
    <s v="VALDIVIA GONZALEZ LUIS"/>
    <s v="A"/>
    <s v="L"/>
    <s v="ABARCA AGUIRRE MIGUEL ANGEL"/>
    <s v="A"/>
    <m/>
  </r>
  <r>
    <x v="6"/>
    <x v="30"/>
    <s v="SOTO ARRUE SERGIO ANTONIO"/>
    <x v="1"/>
    <m/>
    <s v="VALENZUELA RIQUELME JUAN CARLOS"/>
    <s v="A"/>
    <s v="L"/>
    <s v="LOPEZ DURAN RODRIGO ANDRES"/>
    <s v="A"/>
    <m/>
    <s v="CHAVEZ POZO HECTOR RODRIGO"/>
    <s v="A"/>
    <m/>
  </r>
  <r>
    <x v="6"/>
    <x v="31"/>
    <s v="IBARRA MONSALVE CESAR ANTONIO"/>
    <x v="1"/>
    <s v="L"/>
    <s v="CLAUDIO HERNAN TAPIA CAMPOS "/>
    <s v="A"/>
    <m/>
    <s v="RAMIREZ CRUZ LUIS FERNANDO "/>
    <s v="P"/>
    <m/>
    <s v="MONTERO CORTES ABRAHAM RICARDO"/>
    <s v="P"/>
    <m/>
  </r>
  <r>
    <x v="6"/>
    <x v="31"/>
    <s v="FUENTES CANIO DARIO JOSE "/>
    <x v="2"/>
    <m/>
    <s v="SEPULVEDA MACAYA LUIS MIGUEL"/>
    <s v="P"/>
    <m/>
    <s v="VELASQUEZ TRUFFI FREDY GONZALO"/>
    <s v="A"/>
    <m/>
    <s v="CABEZAS VILLAGRA FERNANDO"/>
    <s v="P"/>
    <m/>
  </r>
  <r>
    <x v="6"/>
    <x v="32"/>
    <s v="DONOSO PARRA JONATHAN ANDRES"/>
    <x v="1"/>
    <m/>
    <m/>
    <s v="V"/>
    <m/>
    <s v="CARQUIN MALDONADO CRISTIAN PASCUAL "/>
    <s v="A"/>
    <m/>
    <s v="GOMEZ ARANGUIZ JORGE ENRIQUE"/>
    <s v="A"/>
    <m/>
  </r>
  <r>
    <x v="6"/>
    <x v="32"/>
    <m/>
    <x v="3"/>
    <m/>
    <m/>
    <s v="V"/>
    <m/>
    <m/>
    <s v="V"/>
    <m/>
    <m/>
    <s v="V"/>
    <m/>
  </r>
  <r>
    <x v="6"/>
    <x v="33"/>
    <m/>
    <x v="0"/>
    <m/>
    <m/>
    <m/>
    <m/>
    <m/>
    <m/>
    <m/>
    <m/>
    <m/>
    <m/>
  </r>
  <r>
    <x v="0"/>
    <x v="34"/>
    <m/>
    <x v="0"/>
    <m/>
    <m/>
    <m/>
    <m/>
    <m/>
    <m/>
    <m/>
    <m/>
    <m/>
    <m/>
  </r>
  <r>
    <x v="1"/>
    <x v="35"/>
    <s v="BERROCAL AGUILAR JOSE RUBEN"/>
    <x v="1"/>
    <m/>
    <s v="DONOSO GONZALEZ ARMANDO"/>
    <s v="A"/>
    <m/>
    <s v="DIAZ HERNANDEZ MIGUEL EMILIO "/>
    <s v="A"/>
    <m/>
    <s v="RAMIREZ CERDA LUIS ALBERTO"/>
    <s v="A"/>
    <m/>
  </r>
  <r>
    <x v="1"/>
    <x v="36"/>
    <s v="ESCOBAR ESCOBAR JUAN CARLOS"/>
    <x v="1"/>
    <m/>
    <s v="VIVANCO ABARCA CRISTIAN ALEJANDRO"/>
    <s v="A"/>
    <m/>
    <s v="CASTILLO PARRA JOSE MANUEL (M1 OOCC)"/>
    <s v="A"/>
    <m/>
    <s v="MANRIQUEZ MARTINEZ ABELINO AMADOR"/>
    <s v="A"/>
    <m/>
  </r>
  <r>
    <x v="1"/>
    <x v="36"/>
    <s v="QUEZADA UGALDE JOSE HERIBERTO"/>
    <x v="1"/>
    <m/>
    <s v="LIZAMA MATURANA MAURICIO ALEJANDRO"/>
    <s v="A"/>
    <m/>
    <s v="ROJAS BARRERA BRIAN ESTEBAN (M1 OOCC)"/>
    <s v="A"/>
    <m/>
    <s v="SAAVEDRA ARRATIA SERGIO"/>
    <s v="A"/>
    <m/>
  </r>
  <r>
    <x v="1"/>
    <x v="37"/>
    <s v="MEDINA VALENCIA OSCAR EDUARDO "/>
    <x v="1"/>
    <m/>
    <m/>
    <s v="V"/>
    <m/>
    <s v="TORO REYES JUAN NORBERTO (M1 NERO)"/>
    <s v="A"/>
    <m/>
    <s v="ABARCA PEREZ JORGE ANTONIO (SOLDADOR)"/>
    <s v="A"/>
    <m/>
  </r>
  <r>
    <x v="6"/>
    <x v="38"/>
    <s v="ALARCON LOBOS MAURICIO ALEJANDRO"/>
    <x v="1"/>
    <m/>
    <s v="LOPEZ LOPEZ MARCELO PATRICIO"/>
    <s v="A"/>
    <m/>
    <s v="CARRASCO CERDA CARLOS"/>
    <s v="A"/>
    <m/>
    <s v="MARCHANT CHACON ELIAS ENRIQUE"/>
    <s v="A"/>
    <m/>
  </r>
  <r>
    <x v="0"/>
    <x v="39"/>
    <m/>
    <x v="0"/>
    <m/>
    <m/>
    <m/>
    <m/>
    <m/>
    <m/>
    <m/>
    <m/>
    <m/>
    <m/>
  </r>
  <r>
    <x v="1"/>
    <x v="35"/>
    <s v="QUIROZ MORAGA RODRIGO ELIAS"/>
    <x v="1"/>
    <m/>
    <s v="DURAN RODRIGUEZ JONATHAN LUIS"/>
    <s v="A"/>
    <m/>
    <s v="FERNANDEZ SEPULVEDA IGNACIO NICOLAS"/>
    <s v="A"/>
    <m/>
    <s v="GONZALEZ MONSALVE CRISTIAN EDUARDO"/>
    <s v="A"/>
    <m/>
  </r>
  <r>
    <x v="1"/>
    <x v="36"/>
    <m/>
    <x v="3"/>
    <m/>
    <s v="SILVA FARIAS KEVIN ANIBAL"/>
    <s v="A"/>
    <m/>
    <s v="FICA MORALES FERNANDO RICARDO"/>
    <s v="A"/>
    <m/>
    <s v="NAVARRO BURGOS SERGIO ANDRES"/>
    <s v="A"/>
    <m/>
  </r>
  <r>
    <x v="1"/>
    <x v="36"/>
    <s v="MARTINEZ ZUÑIGA DANIEL DOMINGO"/>
    <x v="1"/>
    <m/>
    <s v="CORNEJO CARO ALEXIS ENRIQUE"/>
    <s v="A"/>
    <m/>
    <s v="DUARTE SEGURA MAURICIO ENRIQUE (M1 MINERO)"/>
    <s v="A"/>
    <m/>
    <s v="LOPEZ UNION DAVID ANDRES"/>
    <s v="A"/>
    <m/>
  </r>
  <r>
    <x v="1"/>
    <x v="37"/>
    <s v="LEIVA GONZALEZ FELIPE ARTURO"/>
    <x v="1"/>
    <m/>
    <s v="CORNEJO MENDEZ FELIPE IGNACIO"/>
    <s v="A"/>
    <m/>
    <s v="REYES VILLAGRA FRANCISCO ABDÓN"/>
    <s v="A"/>
    <m/>
    <s v="NUÑEZ LARA JOSE NICOLAS"/>
    <s v="A"/>
    <m/>
  </r>
  <r>
    <x v="6"/>
    <x v="38"/>
    <s v="ARROYO LOBOS EDUARDO ENRIQUE"/>
    <x v="1"/>
    <s v="L"/>
    <s v="TAPIA CAMPOS CLAUDIO HERNAN"/>
    <s v="A"/>
    <m/>
    <s v="CHANCY RIOS JOHAN SEFANO"/>
    <s v="A"/>
    <m/>
    <s v="JIMENEZ NEIRA DIEGO NICOLAS"/>
    <s v="A"/>
    <m/>
  </r>
  <r>
    <x v="0"/>
    <x v="40"/>
    <m/>
    <x v="0"/>
    <m/>
    <m/>
    <m/>
    <m/>
    <m/>
    <m/>
    <m/>
    <m/>
    <m/>
    <m/>
  </r>
  <r>
    <x v="1"/>
    <x v="35"/>
    <s v="SANDOVAL DAZA FELIPE ADRIAN"/>
    <x v="1"/>
    <s v="L"/>
    <s v="BARRERA CASTRO SEBASTIÁN DEL CARMEN"/>
    <s v="A"/>
    <m/>
    <s v="SACRE ASTORGA SEBASTIAN ALEJANDRO (CAPATAZ)"/>
    <s v="A"/>
    <m/>
    <s v="GONZALEZ JABANA JAVIER JOSE"/>
    <s v="A"/>
    <m/>
  </r>
  <r>
    <x v="1"/>
    <x v="36"/>
    <s v="MUÑOZ VALENZUELA CLAUDIO FRANCISCO"/>
    <x v="1"/>
    <m/>
    <s v="GONZALEZ HERRERA JULIO GABRIEL"/>
    <s v="A"/>
    <m/>
    <s v="BUSTAMANTE REYES FERNANDO JERONIMO (M1 MNERO)"/>
    <s v="A"/>
    <m/>
    <s v="ULLOA SILVA ARIEL SOCRATES  (M1)"/>
    <s v="A"/>
    <m/>
  </r>
  <r>
    <x v="1"/>
    <x v="36"/>
    <s v="VALDIVIA REYES PEDRO ALEJANDRO"/>
    <x v="1"/>
    <m/>
    <s v="SANCHEZ CASTRO HORACIO DE LA CRUZ"/>
    <s v="A"/>
    <m/>
    <s v="AHUMADA GUZMAN LEONARDO ENRIQUE"/>
    <s v="A"/>
    <m/>
    <s v="ARREDONDO GONZALEZ LUIS ANTONIO"/>
    <s v="A"/>
    <m/>
  </r>
  <r>
    <x v="1"/>
    <x v="37"/>
    <s v="MUÑOZ ARANGUIZ CRISTOBAL IGNACIO"/>
    <x v="1"/>
    <m/>
    <s v="BUGUEÑO CORDOVA ANDRES ALFONSO"/>
    <s v="A"/>
    <m/>
    <s v="VERGARA MARTINEZ FELIPE ALEJANDRO(M1 MINERO)"/>
    <s v="A"/>
    <m/>
    <s v="LOPEZ MACIAS CARLOS ANTONIO"/>
    <s v="A"/>
    <m/>
  </r>
  <r>
    <x v="6"/>
    <x v="38"/>
    <s v="CERDA ORTEGA RODRIGO OCTAVIO"/>
    <x v="2"/>
    <m/>
    <s v="MORALES RIVERA FELIPE ANDRES"/>
    <s v="A"/>
    <m/>
    <s v="DONOSO CACERES MANUEL IRENIO (OP GRUA)"/>
    <s v="A"/>
    <s v="L"/>
    <s v="SILVA ESCOBEDO ARIEL ESTEBAN OP GRUA"/>
    <s v="A"/>
    <m/>
  </r>
  <r>
    <x v="0"/>
    <x v="41"/>
    <m/>
    <x v="0"/>
    <m/>
    <m/>
    <m/>
    <m/>
    <m/>
    <m/>
    <m/>
    <m/>
    <m/>
    <m/>
  </r>
  <r>
    <x v="1"/>
    <x v="35"/>
    <s v="CELEDON RODRIGUEZ MAURICIO OSVALDO"/>
    <x v="1"/>
    <m/>
    <s v="ARANDA ZENTENO CARLOS SEBASTIÁN"/>
    <s v="A"/>
    <m/>
    <s v="DIAZ AVENDAÑO MIGUEL IGNACIO"/>
    <s v="A"/>
    <m/>
    <s v="CARMONA ALVAREZ NALDO ALBERTO"/>
    <s v="A"/>
    <m/>
  </r>
  <r>
    <x v="1"/>
    <x v="36"/>
    <s v="OYARZUN GUAJARDO FRANCISCO JAVIER"/>
    <x v="1"/>
    <m/>
    <s v="CUADRA IBACETA DIEGO SAIT"/>
    <s v="A"/>
    <m/>
    <s v="GONZALEZ CELIS FELIX ARNALDO"/>
    <s v="A"/>
    <m/>
    <s v="ESCOBAR MUÑOZ ENZO ISRAEL"/>
    <s v="A"/>
    <m/>
  </r>
  <r>
    <x v="1"/>
    <x v="36"/>
    <s v="FERNANDEZ AREVALO GUILLERMO IGNACIO"/>
    <x v="1"/>
    <m/>
    <s v="QUEZADA UGALDE ALEXIS ROBERT"/>
    <s v="A"/>
    <m/>
    <s v="RODRIGUEZ GONZALEZ HERIBERTO NERY (M1 MINERO)"/>
    <s v="A"/>
    <m/>
    <s v="CASTRO GARCIA RODRIGO ESTEBAN"/>
    <s v="A"/>
    <m/>
  </r>
  <r>
    <x v="1"/>
    <x v="37"/>
    <s v="ARAMBERRI ROLDÁN CRISTIAN IGNACIO"/>
    <x v="1"/>
    <m/>
    <s v="PINILLA MONTECINOS CAROL ANDREA"/>
    <s v="P"/>
    <m/>
    <s v="PAREDES EYZAGUIRRE JORGE IVAN"/>
    <s v="P"/>
    <m/>
    <s v="REYNOSO ZAMORANO MIGUEL ANGEL"/>
    <s v="A"/>
    <m/>
  </r>
  <r>
    <x v="6"/>
    <x v="38"/>
    <s v="GONZÁLEZ MORENO JOSÉ LUIS"/>
    <x v="1"/>
    <s v="L"/>
    <s v="BECERRA RIVEROS JUAN PATRICIO"/>
    <s v="A"/>
    <m/>
    <s v="ALVARADO ZUÑIGA JAVIERA IGNACIA"/>
    <s v="A"/>
    <m/>
    <s v="SAN CRISTOBAL VELIZ OSCAR HERNAN  OP GRUA"/>
    <s v="A"/>
    <s v="L"/>
  </r>
  <r>
    <x v="0"/>
    <x v="42"/>
    <m/>
    <x v="0"/>
    <m/>
    <m/>
    <m/>
    <m/>
    <m/>
    <m/>
    <m/>
    <m/>
    <m/>
    <m/>
  </r>
  <r>
    <x v="1"/>
    <x v="35"/>
    <s v="PEREZ ARAUCO ANIBAL CAMILO"/>
    <x v="2"/>
    <m/>
    <s v="GUTIERREZ TAUCAN GUSTAVO ALEXANDER"/>
    <s v="A"/>
    <m/>
    <s v="BAEZA VERGARA JUAN MANUEL"/>
    <s v="A"/>
    <m/>
    <s v="LORCA ARAYA RICARDO DEL CARMEN "/>
    <s v="A"/>
    <m/>
  </r>
  <r>
    <x v="1"/>
    <x v="36"/>
    <s v="MARCHANT LARENAS CARLOS GUILLERMO"/>
    <x v="1"/>
    <m/>
    <s v="PINO AZUA JOSE MIGUEL"/>
    <s v="A"/>
    <m/>
    <s v="FIGUEROA SALDIAS CESAR ALFREDO"/>
    <s v="A"/>
    <m/>
    <s v="GALVEZ CARRASCO VÍCTOR HUGO"/>
    <s v="A"/>
    <m/>
  </r>
  <r>
    <x v="1"/>
    <x v="36"/>
    <s v="SOTO PINO SERGIO AGUSTIN"/>
    <x v="1"/>
    <m/>
    <s v="VALDES FARÍAS MANUEL"/>
    <s v="A"/>
    <m/>
    <s v="CASTILLO IBÁÑEZ JOSÉ ALFREDO"/>
    <s v="A"/>
    <m/>
    <s v="BRAVO PASTEN JOSE LUIS"/>
    <s v="A"/>
    <m/>
  </r>
  <r>
    <x v="6"/>
    <x v="38"/>
    <s v="GUZMAN CELIS GONZALO ALBERTO"/>
    <x v="1"/>
    <m/>
    <s v="CORDOVA ZUÑIGA CARLOS ALBERTO"/>
    <s v="A"/>
    <s v="L"/>
    <s v="GARCIA ESQUIVEL MAURICIO ANDRES"/>
    <s v="A"/>
    <s v="L"/>
    <s v="ARENAS ROJAS ROBINSON DARIO  OP GRUA RETRO"/>
    <s v="A"/>
    <s v="L"/>
  </r>
  <r>
    <x v="0"/>
    <x v="43"/>
    <m/>
    <x v="0"/>
    <m/>
    <m/>
    <m/>
    <m/>
    <m/>
    <m/>
    <m/>
    <m/>
    <m/>
    <m/>
  </r>
  <r>
    <x v="1"/>
    <x v="35"/>
    <s v="GONZALEZ CONTRERAS JONATHAN MARIANO"/>
    <x v="1"/>
    <m/>
    <s v="RISCO RISCO JUAN ROLANDO"/>
    <s v="A"/>
    <m/>
    <s v="CAMPOS MICHEA NAHUN ISAI"/>
    <s v="A"/>
    <m/>
    <s v="LOCH ALBORNOZ DIEGO ALEJANDRO"/>
    <s v="A"/>
    <m/>
  </r>
  <r>
    <x v="1"/>
    <x v="36"/>
    <s v="CARMONA JIMENEZ JUAN GUILLERMO"/>
    <x v="1"/>
    <m/>
    <s v="NORAMBUENA VERA MICHAEL IGNACIO"/>
    <s v="A"/>
    <m/>
    <s v="GUTIERREZ GUTIERREZ MIGUEL ANGEL"/>
    <s v="P"/>
    <m/>
    <s v="GONZALEZ VALENZUELA CARLOS FRANCISCO"/>
    <s v="A"/>
    <m/>
  </r>
  <r>
    <x v="1"/>
    <x v="36"/>
    <s v="CANIUMIL SALGADO VICTOR MANUEL"/>
    <x v="1"/>
    <m/>
    <s v="AREVALO SUAZO PEDRO ISAIAS "/>
    <s v="P"/>
    <m/>
    <s v="ABARCA PALMA BRUNO ALEJADRNO "/>
    <s v="A"/>
    <m/>
    <s v="GUTIERREZ OYARZUN JUAN SEGUNDO"/>
    <s v="A"/>
    <m/>
  </r>
  <r>
    <x v="6"/>
    <x v="38"/>
    <s v="JAQUE VALENZUELA LUIS ALBERTO"/>
    <x v="1"/>
    <s v="L"/>
    <s v="RAMIREZ PEÑA SERGIO ALEJANDRO"/>
    <s v="A"/>
    <m/>
    <s v="SOTO IRRAZABAL MAURICIO SEBASTIAN "/>
    <s v="P"/>
    <m/>
    <s v="SILVA ALBRECHT MARCO ANTONIO OP GRUA"/>
    <s v="A"/>
    <m/>
  </r>
  <r>
    <x v="0"/>
    <x v="44"/>
    <m/>
    <x v="0"/>
    <m/>
    <m/>
    <m/>
    <m/>
    <m/>
    <m/>
    <m/>
    <m/>
    <m/>
    <m/>
  </r>
  <r>
    <x v="1"/>
    <x v="35"/>
    <s v="ALAMOS DIAZ SERGIO ISMAEL"/>
    <x v="1"/>
    <m/>
    <s v="FLORES RIQUELME NASLO GIOVANNI"/>
    <s v="A"/>
    <m/>
    <s v="TAPIA BARRÍA RICHARD OMAR"/>
    <s v="A"/>
    <m/>
    <s v="GALLARDO ANDRADE JONATHAN ANDRES"/>
    <s v="A"/>
    <m/>
  </r>
  <r>
    <x v="1"/>
    <x v="36"/>
    <s v="CARRILLO GONZALEZ MAURICIO"/>
    <x v="1"/>
    <m/>
    <s v="SALAS CARRASCO MOISES ANDRES (AY)"/>
    <s v="P"/>
    <m/>
    <s v="OLMOS PEREIRA NELSON RODRIGO"/>
    <s v="A"/>
    <m/>
    <s v="MOYA PEREZ JUAN CARLOS"/>
    <s v="A"/>
    <m/>
  </r>
  <r>
    <x v="1"/>
    <x v="37"/>
    <s v="GARRIDO DIAZ ANTONIO ALFONSO"/>
    <x v="1"/>
    <m/>
    <s v="RUBIO REY DIEGO ESTEBAN "/>
    <s v="A"/>
    <m/>
    <s v="SALINAS ARANCIBIA SERGIO ANDRES"/>
    <s v="A"/>
    <m/>
    <s v="HERRERA SAN MARTIN JUAN PABLO"/>
    <s v="A"/>
    <m/>
  </r>
  <r>
    <x v="6"/>
    <x v="38"/>
    <s v="CABRERA CASTILLO JOSE MIGUEL"/>
    <x v="1"/>
    <s v="L"/>
    <s v="MATURANA ARANGUIZ LUIS ROBERTO"/>
    <s v="A"/>
    <s v="L"/>
    <s v="PRADO YAÑEZ JAIME ANTONIO (OP GRUA)"/>
    <s v="A"/>
    <s v="L"/>
    <s v="JILBERTO GÓMEZ ANTONIO ALEJANDRO"/>
    <s v="P"/>
    <m/>
  </r>
  <r>
    <x v="0"/>
    <x v="45"/>
    <m/>
    <x v="0"/>
    <m/>
    <m/>
    <m/>
    <m/>
    <m/>
    <m/>
    <m/>
    <m/>
    <m/>
    <m/>
  </r>
  <r>
    <x v="1"/>
    <x v="35"/>
    <s v="GONZALEZ VARAS DAGOBERTO JOAQUIN"/>
    <x v="1"/>
    <m/>
    <s v="LUNA AMPUERO JOSE PEDRO"/>
    <s v="A"/>
    <m/>
    <s v="BLANCO MARQUEZ PIERO ENRIQUE"/>
    <s v="A"/>
    <m/>
    <s v="ALBORNOZ ALBORNOZ PABLO ANTONIO"/>
    <s v="A"/>
    <m/>
  </r>
  <r>
    <x v="1"/>
    <x v="36"/>
    <s v="MIGUEL ANGEL TAPIA PIZARRO"/>
    <x v="1"/>
    <m/>
    <s v="LASTRA MIRANDA MIGUEL ANGEL"/>
    <s v="A"/>
    <m/>
    <s v="MIRANDA RIQUEROS JUAN FRANCISCO"/>
    <s v="A"/>
    <m/>
    <s v="FIGUEROA OLIVOS BERNARDO ANTONIO"/>
    <s v="A"/>
    <m/>
  </r>
  <r>
    <x v="1"/>
    <x v="37"/>
    <s v="LUIS ALBERTO DIAZ ROJAS"/>
    <x v="1"/>
    <m/>
    <s v="ILUFFI MORENO LEMMY  ZDRAVKO"/>
    <s v="A"/>
    <m/>
    <s v="LOPEZ LOPEZ CLAUDIO FELIPE"/>
    <s v="A"/>
    <m/>
    <s v="DIAZ CONCHA DIEGO MARTIN "/>
    <s v="A"/>
    <m/>
  </r>
  <r>
    <x v="6"/>
    <x v="38"/>
    <s v="PARRAO REY RICARDO ESTEBAN"/>
    <x v="1"/>
    <s v="L"/>
    <s v="PAILAÑIR JOFRE CARLOS ALBERTO"/>
    <s v="A"/>
    <s v="L"/>
    <s v="HERNANDEZ BARRIA JUAN"/>
    <s v="A"/>
    <m/>
    <s v="ZAPATA URRA SERGIO GABRIEL"/>
    <s v="P"/>
    <m/>
  </r>
  <r>
    <x v="0"/>
    <x v="46"/>
    <m/>
    <x v="0"/>
    <m/>
    <m/>
    <m/>
    <m/>
    <m/>
    <m/>
    <m/>
    <m/>
    <m/>
    <m/>
  </r>
  <r>
    <x v="1"/>
    <x v="35"/>
    <s v="PINO ORTEGA PATRICIO"/>
    <x v="1"/>
    <m/>
    <s v="MONCADA ARAYA CRISTOPHER EDUARDO"/>
    <s v="A"/>
    <m/>
    <m/>
    <s v="V"/>
    <m/>
    <s v="IBAÑEZ GALDAMES CARLOS ALEXIS "/>
    <s v="A"/>
    <m/>
  </r>
  <r>
    <x v="1"/>
    <x v="36"/>
    <s v="ZAMORANO DONOSO VICTOR EDUARDO"/>
    <x v="1"/>
    <m/>
    <s v="MONSALVE AMPUERO PATRICIO ALEJANDRO"/>
    <s v="A"/>
    <m/>
    <s v="CONTRERAS MIRANDA CRISTHOFER ALAN"/>
    <s v="A"/>
    <m/>
    <s v="PARRAGUEZ SANDOVAL DUBAL ALEJANDRO A"/>
    <s v="A"/>
    <m/>
  </r>
  <r>
    <x v="1"/>
    <x v="36"/>
    <s v="CATRILEO QUIROZ CLAUDIO ALEXIS"/>
    <x v="1"/>
    <m/>
    <s v="PALMA OLGUIN ISAAC ANTONIO "/>
    <s v="P"/>
    <m/>
    <s v="CELIS CARQUIN VICTOR ALFONSO"/>
    <s v="A"/>
    <m/>
    <s v="NUÑEZ DIAZ JOSE RAMON "/>
    <s v="A"/>
    <m/>
  </r>
  <r>
    <x v="1"/>
    <x v="47"/>
    <s v="MEZA VENEGAS DANILO MAURICIO"/>
    <x v="1"/>
    <m/>
    <s v="NUÑEZ CAVIERES MAURO ENRIQUE"/>
    <s v="A"/>
    <m/>
    <s v="CASTILLO VERGARA CAMILO FERNANDO  soldador"/>
    <s v="A"/>
    <m/>
    <s v="URBINA POBLETE PATRICIO ANDRES (SOLDADOR)"/>
    <s v="A"/>
    <m/>
  </r>
  <r>
    <x v="6"/>
    <x v="38"/>
    <s v="MUÑOZ GONZALEZ DANIEL DAVID"/>
    <x v="1"/>
    <m/>
    <s v="ARCE ARCE HUGO HERNAN "/>
    <s v="A"/>
    <m/>
    <s v="LIZANA ARANGUIZ ALEJANDRO ANDRES "/>
    <s v="A"/>
    <m/>
    <s v="VILLANUEVA VALDERAS BRYAN ESTEBAN"/>
    <s v="P"/>
    <m/>
  </r>
  <r>
    <x v="0"/>
    <x v="48"/>
    <m/>
    <x v="0"/>
    <m/>
    <m/>
    <m/>
    <m/>
    <m/>
    <m/>
    <m/>
    <m/>
    <m/>
    <m/>
  </r>
  <r>
    <x v="1"/>
    <x v="35"/>
    <s v="FOLLERT ORMEÑO RICARDO PATRICIO"/>
    <x v="1"/>
    <m/>
    <s v="LEIVA NAVARRO GERALD ALEXANDER"/>
    <s v="A"/>
    <m/>
    <s v="PADILLA JARA CARLOS MIGUEL "/>
    <s v="C"/>
    <m/>
    <s v="PONTIGO MILLAR CLAUDIO ANDRES"/>
    <s v="A"/>
    <m/>
  </r>
  <r>
    <x v="1"/>
    <x v="36"/>
    <s v="NARBONA DUQUE BRIAN GUILLERMO"/>
    <x v="1"/>
    <m/>
    <s v="LEYTON NÚÑEZ CAMILO ANTONIO"/>
    <s v="A"/>
    <m/>
    <s v="VERA BERRIOS FRANCISCO JAVIER "/>
    <s v="A"/>
    <m/>
    <s v="GONZALEZ ALONSO FELIPE IGNACIO "/>
    <s v="A"/>
    <m/>
  </r>
  <r>
    <x v="1"/>
    <x v="36"/>
    <s v="ZAMORANO BERRIOS CRISTOPHER EMILIO"/>
    <x v="1"/>
    <m/>
    <s v="HERRERA ROJAS GABRIEL ALEJANDRO"/>
    <s v="A"/>
    <m/>
    <s v="JIMÉNEZ NEIRA WALTER FRANCISCO (Soldador)"/>
    <s v="A"/>
    <m/>
    <s v="MORALES BOBADILLA RIGOBERTO ANTONIO"/>
    <s v="A"/>
    <m/>
  </r>
  <r>
    <x v="1"/>
    <x v="47"/>
    <s v="DUARTE PAILAMILLA CLAUDIO ERBAN"/>
    <x v="1"/>
    <m/>
    <s v="ARAVENA BERRIOS PATRICIO EUGENIO"/>
    <s v="A"/>
    <m/>
    <s v="ARAUCO GONZALEZ FLAVIO ALEXANDER  soldador"/>
    <s v="A"/>
    <m/>
    <s v="RUBIO ZAMORANO LUIS ALEJANDRO "/>
    <s v="A"/>
    <m/>
  </r>
  <r>
    <x v="6"/>
    <x v="38"/>
    <s v="HONDARZA SAEZ BENJAMIN MATIAS"/>
    <x v="1"/>
    <m/>
    <s v="SANHUEZA SALGADO MIGUEL ANGEL"/>
    <s v="A"/>
    <m/>
    <s v="CERDA ROMERO MARCELO ALEJANDRO "/>
    <s v="A"/>
    <m/>
    <s v="MARTINEZ NUÑEZ KEVIN FABRIZIO"/>
    <s v="C"/>
    <m/>
  </r>
  <r>
    <x v="0"/>
    <x v="49"/>
    <m/>
    <x v="0"/>
    <m/>
    <m/>
    <m/>
    <m/>
    <m/>
    <m/>
    <m/>
    <m/>
    <m/>
    <m/>
  </r>
  <r>
    <x v="1"/>
    <x v="35"/>
    <s v="MATURANA ROMO ÁLVARO EMILIO"/>
    <x v="1"/>
    <m/>
    <s v="VENEGAS ALARCON DAVIS PATRICIO"/>
    <s v="A"/>
    <m/>
    <s v="QUINTANILLA DROGUETT JUAN JOSE"/>
    <s v="A"/>
    <m/>
    <s v="TORO MUÑOZ JORGE ANDRES "/>
    <s v="A"/>
    <m/>
  </r>
  <r>
    <x v="1"/>
    <x v="36"/>
    <s v="TRIVIÑO CARDOZO LUIS ALBERTO"/>
    <x v="1"/>
    <m/>
    <s v="ASTORGA CASTRO AARON BRANDON"/>
    <s v="A"/>
    <m/>
    <s v="CABELLO RIQUELME RAYMOND EDUARDO"/>
    <s v="A"/>
    <m/>
    <s v="CABEZAS QUINTEROS HERNAN ANTONIO"/>
    <s v="A"/>
    <m/>
  </r>
  <r>
    <x v="1"/>
    <x v="36"/>
    <s v="ROZAS ROCO MAURICIO ESTEBAN"/>
    <x v="1"/>
    <m/>
    <s v="PEREZ CARO LORENZO CELEDONIO"/>
    <s v="A"/>
    <m/>
    <s v="PONCE SAEZ PABLO CESAR "/>
    <s v="A"/>
    <m/>
    <s v="PIZARRO CABEZAS NICOLÁS EDUARDO "/>
    <s v="A"/>
    <m/>
  </r>
  <r>
    <x v="1"/>
    <x v="47"/>
    <s v="RODRIGUEZ ROJAS RICHARD OMAR"/>
    <x v="1"/>
    <m/>
    <s v="CABEZAS MORENO MARCELO ALEJANDRO"/>
    <s v="A"/>
    <m/>
    <s v="POBLETE AZOCAR FRANCISCO JAVIER   M1 MINERO"/>
    <s v="A"/>
    <m/>
    <s v="MATURANA ARAYA EUGENIO ALEJANDRO (soldador)"/>
    <s v="A"/>
    <m/>
  </r>
  <r>
    <x v="6"/>
    <x v="38"/>
    <s v="COVARRUBIAS NAVARRO GUILLERMO ENRIQUE"/>
    <x v="1"/>
    <m/>
    <s v="SOTO FIGUEROA LUCIANO ANDRES"/>
    <s v="A"/>
    <m/>
    <s v="QUIROZ LOPEZ GERARDO SEBASTIAN"/>
    <s v="A"/>
    <s v="L"/>
    <s v="ARANGUIZ ARANGUIZ MARCO ANTONIO"/>
    <s v="A"/>
    <m/>
  </r>
  <r>
    <x v="0"/>
    <x v="50"/>
    <m/>
    <x v="0"/>
    <m/>
    <m/>
    <m/>
    <m/>
    <m/>
    <m/>
    <m/>
    <m/>
    <m/>
    <m/>
  </r>
  <r>
    <x v="1"/>
    <x v="35"/>
    <s v="CAIFAL DURAN JUAN PABLO"/>
    <x v="1"/>
    <m/>
    <s v="DONOSO GREZ ALEX ANTONIO"/>
    <s v="A"/>
    <m/>
    <s v="VALDES OLIVARES OSCAR ANDRES"/>
    <s v="P"/>
    <m/>
    <s v="GUZMAN PEREZ SEBASTIAN ANDRES"/>
    <s v="C"/>
    <m/>
  </r>
  <r>
    <x v="1"/>
    <x v="36"/>
    <s v="MONCADA BARRERA HECTOR CRISTOPHER"/>
    <x v="1"/>
    <m/>
    <s v="CUMINIQUIR POVEDA KEVIN ELIAS "/>
    <s v="P"/>
    <m/>
    <s v="CAMPOS MORALES MARCELO PABLO "/>
    <s v="A"/>
    <m/>
    <s v="ORELLANA RIVEROS JUAN ANDRÉS"/>
    <s v="A"/>
    <m/>
  </r>
  <r>
    <x v="1"/>
    <x v="36"/>
    <s v="VALENZUELA CONTRERAS FERNANDO MOISES "/>
    <x v="1"/>
    <m/>
    <s v="ORTIZ BRUNA JORGE FERNANDO "/>
    <s v="P"/>
    <m/>
    <s v="BASULTO ADASME LEONARDO ALONSO"/>
    <s v="A"/>
    <m/>
    <s v="VERA ROCHA RODRIGO ANTONIO "/>
    <s v="A"/>
    <m/>
  </r>
  <r>
    <x v="1"/>
    <x v="47"/>
    <s v="SILVA GONZALEZ JOSE ENRIQUE "/>
    <x v="1"/>
    <m/>
    <s v="CHAVEZ VALLEJOS CRISTIAN GUILLERMO"/>
    <s v="A"/>
    <m/>
    <s v="GARRIDO VILLAGRA DANIEL MAURICIO"/>
    <s v="A"/>
    <m/>
    <s v="ALLENDE ROBLES JAVIER FRANCISCO"/>
    <s v="A"/>
    <m/>
  </r>
  <r>
    <x v="6"/>
    <x v="38"/>
    <s v="SAGREDO OCHOA JOSE EDUARDO"/>
    <x v="2"/>
    <m/>
    <s v="GAMBIA HECTOR FABIAN"/>
    <s v="A"/>
    <m/>
    <s v="VIDAL PAVEZ BASTIAN ALEXIS"/>
    <s v="A"/>
    <s v="L"/>
    <s v="ROJAS PEREZ RICARDO ESTEBAN"/>
    <s v="A"/>
    <m/>
  </r>
  <r>
    <x v="0"/>
    <x v="51"/>
    <m/>
    <x v="0"/>
    <m/>
    <m/>
    <m/>
    <m/>
    <m/>
    <m/>
    <m/>
    <m/>
    <m/>
    <m/>
  </r>
  <r>
    <x v="1"/>
    <x v="52"/>
    <s v="FERNANDEZ CAIRE MARCELO IVAN"/>
    <x v="1"/>
    <m/>
    <s v="MOLINA CONTRERAS JUAN CARLOS"/>
    <s v="A"/>
    <m/>
    <s v="ALCAÍNO ALBANES LEONARDO"/>
    <s v="A"/>
    <m/>
    <s v="FLORES SOTO ALEXIS FELIPE"/>
    <s v="A"/>
    <m/>
  </r>
  <r>
    <x v="1"/>
    <x v="53"/>
    <s v="SANDOVAL ARIAS JONATHAN GABRIEL"/>
    <x v="1"/>
    <m/>
    <s v="CABEZAS BADILLA JOSE FERNANDO"/>
    <s v="A"/>
    <m/>
    <s v="ARCE SALAS CARLOS ALBERTO"/>
    <s v="A"/>
    <m/>
    <s v="PEREZ ZUÑIGA EMILIO JOSE"/>
    <s v="A"/>
    <m/>
  </r>
  <r>
    <x v="1"/>
    <x v="54"/>
    <s v="CURIN CATRIPAN VICTOR RUBEN"/>
    <x v="1"/>
    <m/>
    <s v="VIAL BARRIA CRISTIAN RODRIGO (Soldador)"/>
    <s v="A"/>
    <m/>
    <s v="HERRERA OBERREUTER LUIS ALEJANDRO"/>
    <s v="A"/>
    <m/>
    <s v="URZUA TROMO ALEJANDRO ANTONIO"/>
    <s v="A"/>
    <m/>
  </r>
  <r>
    <x v="1"/>
    <x v="55"/>
    <s v="SANCHEZ MALDONADO EDUARDO ANTONIO"/>
    <x v="1"/>
    <m/>
    <s v="ORREGO YAÑEZ LUIS ERASMO"/>
    <s v="P"/>
    <m/>
    <s v="NAVARRETE MARTINEZ CELINO ERASMO"/>
    <s v="A"/>
    <m/>
    <s v="RÁMIREZ CANTILLANA LUIS ALBERTO"/>
    <s v="A"/>
    <m/>
  </r>
  <r>
    <x v="1"/>
    <x v="55"/>
    <s v="OPAZO OPAZO SANDRO AGUSTO"/>
    <x v="1"/>
    <m/>
    <s v="ROMO ZAMORANO ITALO AMERICO"/>
    <s v="A"/>
    <m/>
    <s v="MADRID ORDOÑEZ DANIEL ALBERTO   "/>
    <s v="A"/>
    <m/>
    <s v="LEIVA RIOS FELIPE ANDRES "/>
    <s v="A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x v="0"/>
    <x v="0"/>
    <m/>
    <x v="0"/>
    <m/>
  </r>
  <r>
    <x v="0"/>
    <x v="1"/>
    <s v="CORTES MICHEA LUIS FERNANDO"/>
    <x v="1"/>
    <m/>
  </r>
  <r>
    <x v="1"/>
    <x v="2"/>
    <s v="OJEDA MOLINA BERNARDO ARIEL "/>
    <x v="1"/>
    <m/>
  </r>
  <r>
    <x v="1"/>
    <x v="3"/>
    <s v="PINO LIZANA LEONARDO DEL CARMEN"/>
    <x v="1"/>
    <m/>
  </r>
  <r>
    <x v="1"/>
    <x v="4"/>
    <s v="MUÑOZ CASTILLO DANIEL"/>
    <x v="1"/>
    <m/>
  </r>
  <r>
    <x v="1"/>
    <x v="5"/>
    <s v="LAGOS NORAMBUENA JOSÉ"/>
    <x v="1"/>
    <m/>
  </r>
  <r>
    <x v="1"/>
    <x v="6"/>
    <s v="GUTIERREZ ROJAS PATRICIO "/>
    <x v="1"/>
    <m/>
  </r>
  <r>
    <x v="1"/>
    <x v="7"/>
    <m/>
    <x v="0"/>
    <m/>
  </r>
  <r>
    <x v="1"/>
    <x v="8"/>
    <s v="NORAMBUENA ORTIZ ORLANDO ANTONIO"/>
    <x v="1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x v="0"/>
    <s v="MIRANDA RAMOS JAVIER ALEJANDRO"/>
    <x v="0"/>
    <m/>
  </r>
  <r>
    <x v="0"/>
    <x v="1"/>
    <s v="VALENZUELA SEVERINO ANDRES ARMANDO"/>
    <x v="0"/>
    <m/>
  </r>
  <r>
    <x v="0"/>
    <x v="2"/>
    <s v="CABELLO TORRES JOSE ANTONIO"/>
    <x v="1"/>
    <m/>
  </r>
  <r>
    <x v="0"/>
    <x v="3"/>
    <s v="MOYA GALVEZ ORLANDO MISAEL"/>
    <x v="0"/>
    <m/>
  </r>
  <r>
    <x v="0"/>
    <x v="4"/>
    <s v="FUENTES ORTEGA JESUS ALEJANDRO"/>
    <x v="0"/>
    <m/>
  </r>
  <r>
    <x v="0"/>
    <x v="5"/>
    <s v="JARA BARRIOS ROBERTO SEBASTIAN "/>
    <x v="0"/>
    <m/>
  </r>
  <r>
    <x v="0"/>
    <x v="6"/>
    <m/>
    <x v="2"/>
    <m/>
  </r>
  <r>
    <x v="0"/>
    <x v="7"/>
    <s v="CABEZAS MORENO JUAN CARLOS"/>
    <x v="1"/>
    <m/>
  </r>
  <r>
    <x v="1"/>
    <x v="8"/>
    <s v="BERRIOS GALAZ ROBERTO"/>
    <x v="1"/>
    <m/>
  </r>
  <r>
    <x v="1"/>
    <x v="8"/>
    <s v="ITURRIAGA GONZALEZ GUILLERMO ANTONIO"/>
    <x v="1"/>
    <m/>
  </r>
  <r>
    <x v="1"/>
    <x v="9"/>
    <s v="PALMA PALMA JHON ANTONIO"/>
    <x v="1"/>
    <m/>
  </r>
  <r>
    <x v="1"/>
    <x v="10"/>
    <s v="REYES UBILLA GONZALO ADOLFO"/>
    <x v="1"/>
    <m/>
  </r>
  <r>
    <x v="1"/>
    <x v="11"/>
    <s v="ROJAS HORMAZABAL DANIEL ENRIQUE (5x2)"/>
    <x v="1"/>
    <m/>
  </r>
  <r>
    <x v="1"/>
    <x v="12"/>
    <s v="GOMEZ FERNANDEZ ALEJANDRO ENRIQUE"/>
    <x v="1"/>
    <m/>
  </r>
  <r>
    <x v="2"/>
    <x v="13"/>
    <s v="REVECO REVECO RODRIGO SEBASTIAN"/>
    <x v="1"/>
    <m/>
  </r>
  <r>
    <x v="2"/>
    <x v="14"/>
    <s v="ROJAS BAHAMONDES LUIS EDUARDO"/>
    <x v="1"/>
    <m/>
  </r>
  <r>
    <x v="2"/>
    <x v="15"/>
    <s v="JERIA BASÁEZ JORGE ENRIQUE"/>
    <x v="1"/>
    <m/>
  </r>
  <r>
    <x v="2"/>
    <x v="16"/>
    <s v="VARGAS OSORIO MARCO AURELO"/>
    <x v="1"/>
    <m/>
  </r>
  <r>
    <x v="2"/>
    <x v="17"/>
    <s v="CONTRERAS SILVA HECTOR FABIAN "/>
    <x v="1"/>
    <m/>
  </r>
  <r>
    <x v="2"/>
    <x v="18"/>
    <m/>
    <x v="2"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">
  <r>
    <s v="OPERADOR JUMBO FORTIFICACION 2"/>
    <x v="0"/>
    <s v="CARRERA VIDAL JOSE ISAAC"/>
  </r>
  <r>
    <s v="OPERADOR RETROEXCAVADORA - ACUÑADOR"/>
    <x v="1"/>
    <s v="GONZALEZ FERRADA OSCAR ALEJANDRO "/>
  </r>
  <r>
    <s v="OPERADOR MIXER"/>
    <x v="2"/>
    <s v="GALAZ ARAVENA RAUL ERNESTO "/>
  </r>
  <r>
    <s v="OPERADOR DE EQUIPO DE LEVANTE "/>
    <x v="3"/>
    <s v="MOLINA PINCHEIRA BENITO ANDRES (EN PROCESO)"/>
  </r>
  <r>
    <s v="MAESTRO M1"/>
    <x v="4"/>
    <s v="CEPEDA BADILLA FELICIANO ALEJANDRO(EN PROCESO)"/>
  </r>
  <r>
    <s v="SOLDADOR"/>
    <x v="5"/>
    <s v="VASQUEZ TOLERO LUIS EDUARDO "/>
  </r>
  <r>
    <s v="SOLDADOR"/>
    <x v="5"/>
    <s v="DIAZ LARA JUAN ROBERTO "/>
  </r>
  <r>
    <s v="MAESTRO MECÁNICO 4 G1-G2"/>
    <x v="6"/>
    <s v="MARCHANT RAMIREZ EDUARDO ANTONIO "/>
  </r>
  <r>
    <s v="MAESTRO MECÁNICO 4 G3-G4"/>
    <x v="6"/>
    <s v="RIQUELME OVANDO MAIQUEL JONATHAN "/>
  </r>
  <r>
    <s v="MECÁNICO ESPECIALISTA G1-G2"/>
    <x v="7"/>
    <s v="ESCOBAR MARQUEZ LEONARDO FELIPE"/>
  </r>
  <r>
    <s v="MECÁNICO ESPECIALISTA G3-G4"/>
    <x v="7"/>
    <s v="JARA BARRIOS ROBERTO SEBASTIAN "/>
  </r>
  <r>
    <s v="ELECTROMECÁNICO G1-G2"/>
    <x v="8"/>
    <s v="RIQUELME CARRASCO CLAUDIO"/>
  </r>
  <r>
    <s v="CHOFER CAMIÓN PLANO 3 "/>
    <x v="9"/>
    <s v="CORREA MENESES CHRISTOFER ANDRES"/>
  </r>
  <r>
    <s v="BODEGUERO"/>
    <x v="10"/>
    <s v="MUÑOZ HERNANDEZ MAURICIO LEONARDO"/>
  </r>
  <r>
    <s v="MAESTRO ELECTRICISTA 3"/>
    <x v="11"/>
    <s v="ROBLES HIDALGO BRYAN"/>
  </r>
  <r>
    <s v="OPERADOR JUMBO FORTIFICACION 3"/>
    <x v="0"/>
    <s v="HORMAZABAL IBACETA ALEJANDRO DANIEL"/>
  </r>
  <r>
    <s v="MAESTRO M1"/>
    <x v="4"/>
    <s v="BECERRA FERNANDEZ DIEGO MATIAS "/>
  </r>
  <r>
    <s v="OPERADOR DE EQUIPO DE LEVANTE "/>
    <x v="3"/>
    <s v="SANCHEZ CORDOVA LUIS ALBERTO"/>
  </r>
  <r>
    <s v="OPERADOR MIXER"/>
    <x v="2"/>
    <s v="RAMIREZ DIAZ EDUARDO CARLOS"/>
  </r>
  <r>
    <s v="OPERADOR DE EQUIPO DE LEVANTE "/>
    <x v="3"/>
    <s v="HEVIA PÉREZ JORGE"/>
  </r>
  <r>
    <s v="AYUDANTE"/>
    <x v="12"/>
    <s v="VILLARROEL MIRANDA HECTOR FRANCISCO JAVIER"/>
  </r>
  <r>
    <s v="OPERADOR DE EQUIPO DE LEVANTE "/>
    <x v="3"/>
    <s v="MATURANA MATURANA CARLOS CHRISTIAN "/>
  </r>
  <r>
    <s v="MAESTRO M1"/>
    <x v="4"/>
    <s v="ARAYA SALINAS ESTEBAN ANDRES"/>
  </r>
  <r>
    <s v="OPERADOR DE EQUIPO DE LEVANTE "/>
    <x v="3"/>
    <s v="ACEVEDO OSORIO JULIO FERNANDO "/>
  </r>
  <r>
    <s v="SOLDADOR"/>
    <x v="5"/>
    <s v="JORDAN RIVERO MAXIMILIANO ESTEBAN"/>
  </r>
  <r>
    <s v="OPERADOR DE EQUIPO DE LEVANTE "/>
    <x v="3"/>
    <s v="RIVERA REYES JAVIER ANTONIO"/>
  </r>
  <r>
    <s v="MAESTRO ELECTRICISTA 1"/>
    <x v="11"/>
    <s v="CABEZAS DONOSO BASTIAN ANDRES"/>
  </r>
  <r>
    <s v="OPERADOR MIXER"/>
    <x v="2"/>
    <s v="NAVARRO VARGAS LEONARDO ARTURO"/>
  </r>
  <r>
    <s v="OPERADOR DE EQUIPO DE LEVANTE "/>
    <x v="3"/>
    <s v="PAZ GALLARDO LUIS AGUSTIN"/>
  </r>
  <r>
    <s v="OPERADOR DE EQUIPO DE LEVANTE "/>
    <x v="3"/>
    <s v="DELGADO DELGADO FABIÁN"/>
  </r>
  <r>
    <s v="AYUDANTE"/>
    <x v="12"/>
    <s v="QUEZADA SEPULVEDA RODRIGO BENJAMIN "/>
  </r>
  <r>
    <s v="MAESTRO M1"/>
    <x v="4"/>
    <s v="LUCERO FIGUEROA CLAUDIO CRISTIAN "/>
  </r>
  <r>
    <s v="OPERADOR DE EQUIPO DE LEVANTE "/>
    <x v="3"/>
    <s v="REMEDY VILLALÓN SEBASTIÁN ADOLFO 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45">
  <r>
    <s v="OPERACIÓN"/>
    <s v="JEFE DE TURNO 1"/>
    <x v="0"/>
  </r>
  <r>
    <s v="OPERACIÓN"/>
    <s v="JEFE DE TURNO 2"/>
    <x v="1"/>
  </r>
  <r>
    <s v="PREVENCION"/>
    <s v="APR 1"/>
    <x v="2"/>
  </r>
  <r>
    <s v="PREVENCION"/>
    <s v="APR 2"/>
    <x v="3"/>
  </r>
  <r>
    <s v="OF. TECNICA"/>
    <s v="SALA CONTROL"/>
    <x v="4"/>
  </r>
  <r>
    <s v="ELECTRICO"/>
    <s v="LÍDER ELECTRICISTA"/>
    <x v="5"/>
  </r>
  <r>
    <s v="ELECTRICO"/>
    <s v="MAESTRO ELECTRICISTA 1"/>
    <x v="6"/>
  </r>
  <r>
    <s v="ELECTRICO"/>
    <s v="MAESTRO ELECTRICISTA 2"/>
    <x v="7"/>
  </r>
  <r>
    <s v="ELECTRICO"/>
    <s v="MAESTRO ELECTRICISTA 3"/>
    <x v="8"/>
  </r>
  <r>
    <s v="ELECTRICO"/>
    <s v="ELECTRÓNICO"/>
    <x v="9"/>
  </r>
  <r>
    <s v="MECANICO"/>
    <s v="LÍDER MECÁNICO"/>
    <x v="10"/>
  </r>
  <r>
    <s v="MECANICO"/>
    <s v="MAESTRO MECÁNICO 1"/>
    <x v="11"/>
  </r>
  <r>
    <s v="MECANICO"/>
    <s v="MAESTRO MECÁNICO 2"/>
    <x v="12"/>
  </r>
  <r>
    <s v="MECANICO"/>
    <s v="MAESTRO MECÁNICO 3"/>
    <x v="13"/>
  </r>
  <r>
    <s v="MECANICO"/>
    <s v="ELECTROMECÁNICO"/>
    <x v="14"/>
  </r>
  <r>
    <s v="OPERACIÓN"/>
    <s v="BODEGUERO 1"/>
    <x v="15"/>
  </r>
  <r>
    <s v="OPERACIÓN"/>
    <s v="CHOFER DE SERVICIOS 1"/>
    <x v="16"/>
  </r>
  <r>
    <s v="OPERACIÓN"/>
    <s v="CHOFER DE SERVICIOS 2"/>
    <x v="17"/>
  </r>
  <r>
    <s v="OPERACIÓN"/>
    <s v="CHOFER DE SERVICIOS 3"/>
    <x v="18"/>
  </r>
  <r>
    <s v="OPERADOR"/>
    <s v="OPERADOR JUMBO FORTIFICACION 1"/>
    <x v="19"/>
  </r>
  <r>
    <s v="OPERADOR"/>
    <s v="OPERADOR JUMBO FORTIFICACION 2"/>
    <x v="20"/>
  </r>
  <r>
    <s v="OPERADOR"/>
    <s v="OPERADOR JUMBO FORTIFICACION 3"/>
    <x v="21"/>
  </r>
  <r>
    <s v="OPERADOR"/>
    <s v="OPERADOR JUMBO RADIAL"/>
    <x v="22"/>
  </r>
  <r>
    <s v="OPERADOR"/>
    <s v="OPERADOR SCOOP 1"/>
    <x v="23"/>
  </r>
  <r>
    <s v="OPERADOR"/>
    <s v="OPERADOR SCOOP 2"/>
    <x v="24"/>
  </r>
  <r>
    <s v="OPERADOR"/>
    <s v="OPERADOR ROBOSHOT 1"/>
    <x v="25"/>
  </r>
  <r>
    <s v="OPERADOR"/>
    <s v="OPERADOR ROBOSHOT 2"/>
    <x v="26"/>
  </r>
  <r>
    <s v="OPERADOR"/>
    <s v="OPERADOR RETROEXCAVADORA - ACUÑADOR"/>
    <x v="27"/>
  </r>
  <r>
    <s v="OPERADOR"/>
    <s v="OPERADOR RETROEXCAVADORA - ACUÑADOR"/>
    <x v="28"/>
  </r>
  <r>
    <s v="OPERADOR"/>
    <s v="OPERADOR MIXER"/>
    <x v="29"/>
  </r>
  <r>
    <s v="OPERADOR"/>
    <s v="OPERADOR MIXER"/>
    <x v="30"/>
  </r>
  <r>
    <s v="OPERACIÓN"/>
    <s v="CAPATAZ MINERÍA - OOCC"/>
    <x v="31"/>
  </r>
  <r>
    <s v="OPERACIÓN"/>
    <s v="MAESTRO M1"/>
    <x v="32"/>
  </r>
  <r>
    <s v="OPERACIÓN"/>
    <s v="MAESTRO M1"/>
    <x v="33"/>
  </r>
  <r>
    <s v="OPERACIÓN"/>
    <s v="AYUDANTE"/>
    <x v="34"/>
  </r>
  <r>
    <s v="OPERADOR"/>
    <s v="OPERADOR DE EQUIPO DE LEVANTE "/>
    <x v="35"/>
  </r>
  <r>
    <s v="OPERACIÓN"/>
    <s v="CAPATAZ MINERÍA - OOCC"/>
    <x v="36"/>
  </r>
  <r>
    <s v="OPERACIÓN"/>
    <s v="MAESTRO M1"/>
    <x v="37"/>
  </r>
  <r>
    <s v="OPERACIÓN"/>
    <s v="MAESTRO M1"/>
    <x v="38"/>
  </r>
  <r>
    <s v="OPERACIÓN"/>
    <s v="AYUDANTE"/>
    <x v="39"/>
  </r>
  <r>
    <s v="OPERADOR"/>
    <s v="OPERADOR DE EQUIPO DE LEVANTE "/>
    <x v="40"/>
  </r>
  <r>
    <s v="OPERACIÓN"/>
    <s v="CAPATAZ MINERÍA - OOCC"/>
    <x v="41"/>
  </r>
  <r>
    <s v="OPERACIÓN"/>
    <s v="MAESTRO M1"/>
    <x v="42"/>
  </r>
  <r>
    <s v="OPERACIÓN"/>
    <s v="MAESTRO M1"/>
    <x v="43"/>
  </r>
  <r>
    <s v="OPERACIÓN"/>
    <s v="AYUDANTE"/>
    <x v="44"/>
  </r>
  <r>
    <s v="OPERADOR"/>
    <s v="OPERADOR DE EQUIPO DE LEVANTE "/>
    <x v="45"/>
  </r>
  <r>
    <s v="OPERACIÓN"/>
    <s v="CAPATAZ MINERÍA - OOCC"/>
    <x v="46"/>
  </r>
  <r>
    <s v="OPERACIÓN"/>
    <s v="MAESTRO M1"/>
    <x v="47"/>
  </r>
  <r>
    <s v="OPERACIÓN"/>
    <s v="MAESTRO M1"/>
    <x v="48"/>
  </r>
  <r>
    <s v="OPERACIÓN"/>
    <s v="AYUDANTE"/>
    <x v="49"/>
  </r>
  <r>
    <s v="OPERADOR"/>
    <s v="OPERADOR DE EQUIPO DE LEVANTE "/>
    <x v="50"/>
  </r>
  <r>
    <s v="OPERACIÓN"/>
    <s v="CAPATAZ MINERÍA - OOCC"/>
    <x v="51"/>
  </r>
  <r>
    <s v="OPERACIÓN"/>
    <s v="MAESTRO M1"/>
    <x v="52"/>
  </r>
  <r>
    <s v="OPERACIÓN"/>
    <s v="MAESTRO M1"/>
    <x v="53"/>
  </r>
  <r>
    <s v="OPERADOR"/>
    <s v="OPERADOR DE EQUIPO DE LEVANTE "/>
    <x v="54"/>
  </r>
  <r>
    <s v="OPERACIÓN"/>
    <s v="CAPATAZ MINERÍA - OOCC"/>
    <x v="55"/>
  </r>
  <r>
    <s v="OPERACIÓN"/>
    <s v="MAESTRO M1"/>
    <x v="56"/>
  </r>
  <r>
    <s v="OPERACIÓN"/>
    <s v="MAESTRO M1"/>
    <x v="57"/>
  </r>
  <r>
    <s v="OPERADOR"/>
    <s v="OPERADOR DE EQUIPO DE LEVANTE "/>
    <x v="58"/>
  </r>
  <r>
    <s v="OPERACIÓN"/>
    <s v="CAPATAZ MINERÍA - OOCC"/>
    <x v="59"/>
  </r>
  <r>
    <s v="OPERACIÓN"/>
    <s v="MAESTRO M1"/>
    <x v="60"/>
  </r>
  <r>
    <s v="OPERACIÓN"/>
    <s v="AYUDANTE"/>
    <x v="61"/>
  </r>
  <r>
    <s v="OPERADOR"/>
    <s v="OPERADOR DE EQUIPO DE LEVANTE "/>
    <x v="62"/>
  </r>
  <r>
    <s v="OPERACIÓN"/>
    <s v="CAPATAZ MINERÍA - OOCC"/>
    <x v="63"/>
  </r>
  <r>
    <s v="OPERACIÓN"/>
    <s v="MAESTRO M1"/>
    <x v="64"/>
  </r>
  <r>
    <s v="OPERACIÓN"/>
    <s v="AYUDANTE"/>
    <x v="65"/>
  </r>
  <r>
    <s v="OPERADOR"/>
    <s v="OPERADOR DE EQUIPO DE LEVANTE "/>
    <x v="66"/>
  </r>
  <r>
    <s v="OPERACIÓN"/>
    <s v="CAPATAZ MINERÍA - OOCC"/>
    <x v="67"/>
  </r>
  <r>
    <s v="OPERACIÓN"/>
    <s v="MAESTRO M1"/>
    <x v="68"/>
  </r>
  <r>
    <s v="OPERACIÓN"/>
    <s v="MAESTRO M1"/>
    <x v="69"/>
  </r>
  <r>
    <s v="OPERACIÓN"/>
    <s v="SOLDADOR"/>
    <x v="70"/>
  </r>
  <r>
    <s v="OPERADOR"/>
    <s v="OPERADOR DE EQUIPO DE LEVANTE "/>
    <x v="71"/>
  </r>
  <r>
    <s v="OPERACIÓN"/>
    <s v="CAPATAZ MINERÍA - OOCC"/>
    <x v="72"/>
  </r>
  <r>
    <s v="OPERACIÓN"/>
    <s v="MAESTRO M1"/>
    <x v="73"/>
  </r>
  <r>
    <s v="OPERACIÓN"/>
    <s v="MAESTRO M1"/>
    <x v="74"/>
  </r>
  <r>
    <s v="OPERACIÓN"/>
    <s v="SOLDADOR"/>
    <x v="75"/>
  </r>
  <r>
    <s v="OPERADOR"/>
    <s v="OPERADOR DE EQUIPO DE LEVANTE "/>
    <x v="76"/>
  </r>
  <r>
    <s v="OPERACIÓN"/>
    <s v="CAPATAZ MINERÍA - OOCC"/>
    <x v="77"/>
  </r>
  <r>
    <s v="OPERACIÓN"/>
    <s v="MAESTRO M1"/>
    <x v="78"/>
  </r>
  <r>
    <s v="OPERACIÓN"/>
    <s v="MAESTRO M1"/>
    <x v="79"/>
  </r>
  <r>
    <s v="OPERADOR"/>
    <s v="OPERADOR DE EQUIPO DE LEVANTE "/>
    <x v="80"/>
  </r>
  <r>
    <s v="OPERACIÓN"/>
    <s v="CAPATAZ MINERÍA - OOCC"/>
    <x v="81"/>
  </r>
  <r>
    <s v="OPERACIÓN"/>
    <s v="MAESTRO M1"/>
    <x v="82"/>
  </r>
  <r>
    <s v="OPERACIÓN"/>
    <s v="MAESTRO M1"/>
    <x v="83"/>
  </r>
  <r>
    <s v="OPERADOR"/>
    <s v="OPERADOR DE EQUIPO DE LEVANTE "/>
    <x v="84"/>
  </r>
  <r>
    <s v="OPERACIÓN"/>
    <s v="CAPATAZ MONTAJE"/>
    <x v="85"/>
  </r>
  <r>
    <s v="OPERACIÓN"/>
    <s v="MAESTRO MONTAJE 1"/>
    <x v="86"/>
  </r>
  <r>
    <s v="OPERACIÓN"/>
    <s v="MAESTRO MONTAJE 2"/>
    <x v="87"/>
  </r>
  <r>
    <s v="OPERACIÓN"/>
    <s v="SOLDADOR MONTAJE"/>
    <x v="88"/>
  </r>
  <r>
    <s v="OPERACIÓN"/>
    <s v="SOLDADOR MONTAJE"/>
    <x v="89"/>
  </r>
  <r>
    <s v="OPERACIÓN"/>
    <s v="JEFE DE TURNO 1"/>
    <x v="90"/>
  </r>
  <r>
    <s v="OPERACIÓN"/>
    <s v="JEFE DE TURNO 2"/>
    <x v="91"/>
  </r>
  <r>
    <s v="PREVENCION"/>
    <s v="APR 1"/>
    <x v="92"/>
  </r>
  <r>
    <s v="PREVENCION"/>
    <s v="APR 2"/>
    <x v="93"/>
  </r>
  <r>
    <s v="OF. TECNICA"/>
    <s v="SALA CONTROL"/>
    <x v="94"/>
  </r>
  <r>
    <s v="ELECTRICO"/>
    <s v="LÍDER ELECTRICISTA"/>
    <x v="95"/>
  </r>
  <r>
    <s v="ELECTRICO"/>
    <s v="MAESTRO ELECTRICISTA 1"/>
    <x v="96"/>
  </r>
  <r>
    <s v="ELECTRICO"/>
    <s v="MAESTRO ELECTRICISTA 2"/>
    <x v="97"/>
  </r>
  <r>
    <s v="ELECTRICO"/>
    <s v="MAESTRO ELECTRICISTA 3"/>
    <x v="98"/>
  </r>
  <r>
    <s v="ELECTRICO"/>
    <s v="ELECTRÓNICO"/>
    <x v="99"/>
  </r>
  <r>
    <s v="MECANICO"/>
    <s v="LÍDER MECÁNICO"/>
    <x v="100"/>
  </r>
  <r>
    <s v="MECANICO"/>
    <s v="MAESTRO MECÁNICO 1"/>
    <x v="101"/>
  </r>
  <r>
    <s v="MECANICO"/>
    <s v="MAESTRO MECÁNICO 2"/>
    <x v="102"/>
  </r>
  <r>
    <s v="MECANICO"/>
    <s v="MAESTRO MECÁNICO 3"/>
    <x v="103"/>
  </r>
  <r>
    <s v="MECANICO"/>
    <s v="ELECTROMECÁNICO"/>
    <x v="104"/>
  </r>
  <r>
    <s v="OPERACIÓN"/>
    <s v="BODEGUERO 1"/>
    <x v="105"/>
  </r>
  <r>
    <s v="OPERACIÓN"/>
    <s v="CHOFER DE SERVICIOS 1"/>
    <x v="106"/>
  </r>
  <r>
    <s v="OPERACIÓN"/>
    <s v="CHOFER DE SERVICIOS 2"/>
    <x v="107"/>
  </r>
  <r>
    <s v="OPERACIÓN"/>
    <s v="CHOFER DE SERVICIOS 3"/>
    <x v="108"/>
  </r>
  <r>
    <s v="OPERADOR"/>
    <s v="OPERADOR JUMBO FORTIFICACION 1"/>
    <x v="109"/>
  </r>
  <r>
    <s v="OPERADOR"/>
    <s v="OPERADOR JUMBO FORTIFICACION 2"/>
    <x v="110"/>
  </r>
  <r>
    <s v="OPERADOR"/>
    <s v="OPERADOR JUMBO FORTIFICACION 3"/>
    <x v="111"/>
  </r>
  <r>
    <s v="OPERADOR"/>
    <s v="OPERADOR JUMBO RADIAL"/>
    <x v="112"/>
  </r>
  <r>
    <s v="OPERADOR"/>
    <s v="OPERADOR JUMBO BOLTEC"/>
    <x v="113"/>
  </r>
  <r>
    <s v="OPERADOR"/>
    <s v="OPERADOR SCOOP 1"/>
    <x v="114"/>
  </r>
  <r>
    <s v="OPERADOR"/>
    <s v="OPERADOR SCOOP 2"/>
    <x v="115"/>
  </r>
  <r>
    <s v="OPERADOR"/>
    <s v="OPERADOR ROBOSHOT 1"/>
    <x v="116"/>
  </r>
  <r>
    <s v="OPERADOR"/>
    <s v="OPERADOR ROBOSHOT 2"/>
    <x v="117"/>
  </r>
  <r>
    <s v="OPERADOR"/>
    <s v="OPERADOR RETROEXCAVADORA - ACUÑADOR"/>
    <x v="118"/>
  </r>
  <r>
    <s v="OPERADOR"/>
    <s v="OPERADOR MIXER"/>
    <x v="119"/>
  </r>
  <r>
    <s v="OPERACIÓN"/>
    <s v="CAPATAZ MINERÍA - OOCC"/>
    <x v="120"/>
  </r>
  <r>
    <s v="OPERACIÓN"/>
    <s v="MAESTRO M1"/>
    <x v="121"/>
  </r>
  <r>
    <s v="OPERACIÓN"/>
    <s v="MAESTRO M1"/>
    <x v="122"/>
  </r>
  <r>
    <s v="OPERACIÓN"/>
    <s v="AYUDANTE"/>
    <x v="123"/>
  </r>
  <r>
    <s v="OPERADOR"/>
    <s v="OPERADOR DE EQUIPO DE LEVANTE "/>
    <x v="124"/>
  </r>
  <r>
    <s v="OPERACIÓN"/>
    <s v="CAPATAZ MINERÍA - OOCC"/>
    <x v="125"/>
  </r>
  <r>
    <s v="OPERACIÓN"/>
    <s v="MAESTRO M1"/>
    <x v="126"/>
  </r>
  <r>
    <s v="OPERACIÓN"/>
    <s v="MAESTRO M1"/>
    <x v="127"/>
  </r>
  <r>
    <s v="OPERACIÓN"/>
    <s v="AYUDANTE"/>
    <x v="128"/>
  </r>
  <r>
    <s v="OPERADOR"/>
    <s v="OPERADOR DE EQUIPO DE LEVANTE "/>
    <x v="129"/>
  </r>
  <r>
    <s v="OPERACIÓN"/>
    <s v="CAPATAZ MINERÍA - OOCC"/>
    <x v="130"/>
  </r>
  <r>
    <s v="OPERACIÓN"/>
    <s v="MAESTRO M1"/>
    <x v="131"/>
  </r>
  <r>
    <s v="OPERACIÓN"/>
    <s v="MAESTRO M1"/>
    <x v="132"/>
  </r>
  <r>
    <s v="OPERACIÓN"/>
    <s v="AYUDANTE"/>
    <x v="133"/>
  </r>
  <r>
    <s v="OPERADOR"/>
    <s v="OPERADOR DE EQUIPO DE LEVANTE "/>
    <x v="134"/>
  </r>
  <r>
    <s v="OPERACIÓN"/>
    <s v="CAPATAZ MINERÍA - OOCC"/>
    <x v="135"/>
  </r>
  <r>
    <s v="OPERACIÓN"/>
    <s v="MAESTRO M1"/>
    <x v="136"/>
  </r>
  <r>
    <s v="OPERACIÓN"/>
    <s v="MAESTRO M1"/>
    <x v="137"/>
  </r>
  <r>
    <s v="OPERACIÓN"/>
    <s v="AYUDANTE"/>
    <x v="138"/>
  </r>
  <r>
    <s v="OPERADOR"/>
    <s v="OPERADOR DE EQUIPO DE LEVANTE "/>
    <x v="139"/>
  </r>
  <r>
    <s v="OPERACIÓN"/>
    <s v="CAPATAZ MINERÍA - OOCC"/>
    <x v="140"/>
  </r>
  <r>
    <s v="OPERACIÓN"/>
    <s v="MAESTRO M1"/>
    <x v="141"/>
  </r>
  <r>
    <s v="OPERACIÓN"/>
    <s v="MAESTRO M1"/>
    <x v="142"/>
  </r>
  <r>
    <s v="OPERADOR"/>
    <s v="OPERADOR DE EQUIPO DE LEVANTE "/>
    <x v="143"/>
  </r>
  <r>
    <s v="OPERACIÓN"/>
    <s v="CAPATAZ MINERÍA - OOCC"/>
    <x v="144"/>
  </r>
  <r>
    <s v="OPERACIÓN"/>
    <s v="MAESTRO M1"/>
    <x v="145"/>
  </r>
  <r>
    <s v="OPERACIÓN"/>
    <s v="MAESTRO M1"/>
    <x v="146"/>
  </r>
  <r>
    <s v="OPERADOR"/>
    <s v="OPERADOR DE EQUIPO DE LEVANTE "/>
    <x v="147"/>
  </r>
  <r>
    <s v="OPERACIÓN"/>
    <s v="CAPATAZ MINERÍA - OOCC"/>
    <x v="148"/>
  </r>
  <r>
    <s v="OPERACIÓN"/>
    <s v="MAESTRO M1"/>
    <x v="149"/>
  </r>
  <r>
    <s v="OPERACIÓN"/>
    <s v="AYUDANTE"/>
    <x v="150"/>
  </r>
  <r>
    <s v="OPERADOR"/>
    <s v="OPERADOR DE EQUIPO DE LEVANTE "/>
    <x v="151"/>
  </r>
  <r>
    <s v="OPERACIÓN"/>
    <s v="CAPATAZ MINERÍA - OOCC"/>
    <x v="152"/>
  </r>
  <r>
    <s v="OPERACIÓN"/>
    <s v="MAESTRO M1"/>
    <x v="153"/>
  </r>
  <r>
    <s v="OPERACIÓN"/>
    <s v="AYUDANTE"/>
    <x v="154"/>
  </r>
  <r>
    <s v="OPERADOR"/>
    <s v="OPERADOR DE EQUIPO DE LEVANTE "/>
    <x v="155"/>
  </r>
  <r>
    <s v="OPERACIÓN"/>
    <s v="CAPATAZ MINERÍA - OOCC"/>
    <x v="156"/>
  </r>
  <r>
    <s v="OPERACIÓN"/>
    <s v="MAESTRO M1"/>
    <x v="157"/>
  </r>
  <r>
    <s v="OPERACIÓN"/>
    <s v="MAESTRO M1"/>
    <x v="158"/>
  </r>
  <r>
    <s v="OPERACIÓN"/>
    <s v="SOLDADOR"/>
    <x v="159"/>
  </r>
  <r>
    <s v="OPERADOR"/>
    <s v="OPERADOR DE EQUIPO DE LEVANTE "/>
    <x v="160"/>
  </r>
  <r>
    <s v="OPERACIÓN"/>
    <s v="CAPATAZ MINERÍA - OOCC"/>
    <x v="161"/>
  </r>
  <r>
    <s v="OPERACIÓN"/>
    <s v="MAESTRO M1"/>
    <x v="162"/>
  </r>
  <r>
    <s v="OPERACIÓN"/>
    <s v="MAESTRO M1"/>
    <x v="163"/>
  </r>
  <r>
    <s v="OPERACIÓN"/>
    <s v="SOLDADOR"/>
    <x v="164"/>
  </r>
  <r>
    <s v="OPERADOR"/>
    <s v="OPERADOR DE EQUIPO DE LEVANTE "/>
    <x v="165"/>
  </r>
  <r>
    <s v="OPERACIÓN"/>
    <s v="CAPATAZ MINERÍA - OOCC"/>
    <x v="166"/>
  </r>
  <r>
    <s v="OPERACIÓN"/>
    <s v="MAESTRO M1"/>
    <x v="167"/>
  </r>
  <r>
    <s v="OPERACIÓN"/>
    <s v="MAESTRO M1"/>
    <x v="168"/>
  </r>
  <r>
    <s v="OPERACIÓN"/>
    <s v="SOLDADOR"/>
    <x v="169"/>
  </r>
  <r>
    <s v="OPERADOR"/>
    <s v="OPERADOR DE EQUIPO DE LEVANTE "/>
    <x v="170"/>
  </r>
  <r>
    <s v="OPERACIÓN"/>
    <s v="CAPATAZ MINERÍA - OOCC"/>
    <x v="171"/>
  </r>
  <r>
    <s v="OPERACIÓN"/>
    <s v="MAESTRO M1"/>
    <x v="172"/>
  </r>
  <r>
    <s v="OPERACIÓN"/>
    <s v="MAESTRO M1"/>
    <x v="173"/>
  </r>
  <r>
    <s v="OPERACIÓN"/>
    <s v="SOLDADOR"/>
    <x v="174"/>
  </r>
  <r>
    <s v="OPERADOR"/>
    <s v="OPERADOR DE EQUIPO DE LEVANTE "/>
    <x v="175"/>
  </r>
  <r>
    <s v="OPERACIÓN"/>
    <s v="CAPATAZ MONTAJE"/>
    <x v="176"/>
  </r>
  <r>
    <s v="OPERACIÓN"/>
    <s v="MAESTRO MONTAJE 1"/>
    <x v="177"/>
  </r>
  <r>
    <s v="OPERACIÓN"/>
    <s v="MAESTRO MONTAJE 2"/>
    <x v="178"/>
  </r>
  <r>
    <s v="OPERACIÓN"/>
    <s v="SOLDADOR MONTAJE"/>
    <x v="179"/>
  </r>
  <r>
    <s v="OPERACIÓN"/>
    <s v="SOLDADOR MONTAJE"/>
    <x v="180"/>
  </r>
  <r>
    <s v="OPERACIÓN"/>
    <s v="JEFE DE TURNO 1"/>
    <x v="181"/>
  </r>
  <r>
    <s v="OPERACIÓN"/>
    <s v="JEFE DE TURNO 2"/>
    <x v="182"/>
  </r>
  <r>
    <s v="PREVENCION"/>
    <s v="APR 1"/>
    <x v="183"/>
  </r>
  <r>
    <s v="PREVENCION"/>
    <s v="APR 2"/>
    <x v="184"/>
  </r>
  <r>
    <s v="OF. TECNICA"/>
    <s v="SALA CONTROL"/>
    <x v="185"/>
  </r>
  <r>
    <s v="ELECTRICO"/>
    <s v="LÍDER ELECTRICISTA"/>
    <x v="186"/>
  </r>
  <r>
    <s v="ELECTRICO"/>
    <s v="MAESTRO ELECTRICISTA 1"/>
    <x v="187"/>
  </r>
  <r>
    <s v="ELECTRICO"/>
    <s v="MAESTRO ELECTRICISTA 2"/>
    <x v="188"/>
  </r>
  <r>
    <s v="ELECTRICO"/>
    <s v="MAESTRO ELECTRICISTA 3"/>
    <x v="189"/>
  </r>
  <r>
    <s v="ELECTRICO"/>
    <s v="ELECTRÓNICO"/>
    <x v="190"/>
  </r>
  <r>
    <s v="MECANICO"/>
    <s v="LÍDER MECÁNICO"/>
    <x v="191"/>
  </r>
  <r>
    <s v="MECANICO"/>
    <s v="MAESTRO MECÁNICO 1"/>
    <x v="192"/>
  </r>
  <r>
    <s v="MECANICO"/>
    <s v="MAESTRO MECÁNICO 2"/>
    <x v="193"/>
  </r>
  <r>
    <s v="MECANICO"/>
    <s v="MAESTRO MECÁNICO 3"/>
    <x v="194"/>
  </r>
  <r>
    <s v="MECANICO"/>
    <s v="ELECTROMECÁNICO"/>
    <x v="195"/>
  </r>
  <r>
    <s v="OPERACIÓN"/>
    <s v="BODEGUERO 1"/>
    <x v="196"/>
  </r>
  <r>
    <s v="OPERACIÓN"/>
    <s v="CHOFER DE SERVICIOS 1"/>
    <x v="197"/>
  </r>
  <r>
    <s v="OPERACIÓN"/>
    <s v="CHOFER DE SERVICIOS 2"/>
    <x v="198"/>
  </r>
  <r>
    <s v="OPERACIÓN"/>
    <s v="CHOFER DE SERVICIOS 3"/>
    <x v="199"/>
  </r>
  <r>
    <s v="OPERADOR"/>
    <s v="OPERADOR JUMBO FORTIFICACION 1"/>
    <x v="200"/>
  </r>
  <r>
    <s v="OPERADOR"/>
    <s v="OPERADOR JUMBO FORTIFICACION 2"/>
    <x v="201"/>
  </r>
  <r>
    <s v="OPERADOR"/>
    <s v="OPERADOR JUMBO FORTIFICACION 3"/>
    <x v="202"/>
  </r>
  <r>
    <s v="OPERADOR"/>
    <s v="OPERADOR JUMBO RADIAL"/>
    <x v="203"/>
  </r>
  <r>
    <s v="OPERADOR"/>
    <s v="OPERADOR JUMBO BOLTEC"/>
    <x v="204"/>
  </r>
  <r>
    <s v="OPERADOR"/>
    <s v="OPERADOR SCOOP 1"/>
    <x v="205"/>
  </r>
  <r>
    <s v="OPERADOR"/>
    <s v="OPERADOR SCOOP 2"/>
    <x v="206"/>
  </r>
  <r>
    <s v="OPERADOR"/>
    <s v="OPERADOR ROBOSHOT 1"/>
    <x v="207"/>
  </r>
  <r>
    <s v="OPERADOR"/>
    <s v="OPERADOR ROBOSHOT 2"/>
    <x v="208"/>
  </r>
  <r>
    <s v="OPERADOR"/>
    <s v="OPERADOR RETROEXCAVADORA - ACUÑADOR"/>
    <x v="209"/>
  </r>
  <r>
    <s v="OPERADOR"/>
    <s v="OPERADOR RETROEXCAVADORA - ACUÑADOR"/>
    <x v="210"/>
  </r>
  <r>
    <s v="OPERADOR"/>
    <s v="OPERADOR MIXER"/>
    <x v="211"/>
  </r>
  <r>
    <s v="OPERADOR"/>
    <s v="OPERADOR MIXER"/>
    <x v="212"/>
  </r>
  <r>
    <s v="OPERACIÓN"/>
    <s v="CAPATAZ MINERÍA - OOCC"/>
    <x v="213"/>
  </r>
  <r>
    <s v="OPERACIÓN"/>
    <s v="MAESTRO M1"/>
    <x v="214"/>
  </r>
  <r>
    <s v="OPERACIÓN"/>
    <s v="MAESTRO M1"/>
    <x v="215"/>
  </r>
  <r>
    <s v="OPERACIÓN"/>
    <s v="AYUDANTE"/>
    <x v="216"/>
  </r>
  <r>
    <s v="OPERADOR"/>
    <s v="OPERADOR DE EQUIPO DE LEVANTE "/>
    <x v="217"/>
  </r>
  <r>
    <s v="OPERACIÓN"/>
    <s v="CAPATAZ MINERÍA - OOCC"/>
    <x v="218"/>
  </r>
  <r>
    <s v="OPERACIÓN"/>
    <s v="MAESTRO M1"/>
    <x v="219"/>
  </r>
  <r>
    <s v="OPERACIÓN"/>
    <s v="MAESTRO M1"/>
    <x v="220"/>
  </r>
  <r>
    <s v="OPERACIÓN"/>
    <s v="AYUDANTE"/>
    <x v="221"/>
  </r>
  <r>
    <s v="OPERADOR"/>
    <s v="OPERADOR DE EQUIPO DE LEVANTE "/>
    <x v="222"/>
  </r>
  <r>
    <s v="OPERACIÓN"/>
    <s v="CAPATAZ MINERÍA - OOCC"/>
    <x v="223"/>
  </r>
  <r>
    <s v="OPERACIÓN"/>
    <s v="MAESTRO M1"/>
    <x v="224"/>
  </r>
  <r>
    <s v="OPERACIÓN"/>
    <s v="MAESTRO M1"/>
    <x v="225"/>
  </r>
  <r>
    <s v="OPERACIÓN"/>
    <s v="AYUDANTE"/>
    <x v="226"/>
  </r>
  <r>
    <s v="OPERADOR"/>
    <s v="OPERADOR DE EQUIPO DE LEVANTE "/>
    <x v="227"/>
  </r>
  <r>
    <s v="OPERACIÓN"/>
    <s v="CAPATAZ MINERÍA - OOCC"/>
    <x v="228"/>
  </r>
  <r>
    <s v="OPERACIÓN"/>
    <s v="MAESTRO M1"/>
    <x v="229"/>
  </r>
  <r>
    <s v="OPERACIÓN"/>
    <s v="MAESTRO M1"/>
    <x v="230"/>
  </r>
  <r>
    <s v="OPERACIÓN"/>
    <s v="AYUDANTE"/>
    <x v="231"/>
  </r>
  <r>
    <s v="OPERADOR"/>
    <s v="OPERADOR DE EQUIPO DE LEVANTE "/>
    <x v="232"/>
  </r>
  <r>
    <s v="OPERACIÓN"/>
    <s v="CAPATAZ MINERÍA - OOCC"/>
    <x v="233"/>
  </r>
  <r>
    <s v="OPERACIÓN"/>
    <s v="MAESTRO M1"/>
    <x v="234"/>
  </r>
  <r>
    <s v="OPERACIÓN"/>
    <s v="MAESTRO M1"/>
    <x v="235"/>
  </r>
  <r>
    <s v="OPERADOR"/>
    <s v="OPERADOR DE EQUIPO DE LEVANTE "/>
    <x v="236"/>
  </r>
  <r>
    <s v="OPERACIÓN"/>
    <s v="CAPATAZ MINERÍA - OOCC"/>
    <x v="237"/>
  </r>
  <r>
    <s v="OPERACIÓN"/>
    <s v="MAESTRO M1"/>
    <x v="238"/>
  </r>
  <r>
    <s v="OPERACIÓN"/>
    <s v="MAESTRO M1"/>
    <x v="239"/>
  </r>
  <r>
    <s v="OPERADOR"/>
    <s v="OPERADOR DE EQUIPO DE LEVANTE "/>
    <x v="240"/>
  </r>
  <r>
    <s v="OPERACIÓN"/>
    <s v="CAPATAZ MINERÍA - OOCC"/>
    <x v="241"/>
  </r>
  <r>
    <s v="OPERACIÓN"/>
    <s v="MAESTRO M1"/>
    <x v="242"/>
  </r>
  <r>
    <s v="OPERACIÓN"/>
    <s v="AYUDANTE"/>
    <x v="243"/>
  </r>
  <r>
    <s v="OPERADOR"/>
    <s v="OPERADOR DE EQUIPO DE LEVANTE "/>
    <x v="244"/>
  </r>
  <r>
    <s v="OPERACIÓN"/>
    <s v="CAPATAZ MINERÍA - OOCC"/>
    <x v="245"/>
  </r>
  <r>
    <s v="OPERACIÓN"/>
    <s v="MAESTRO M1"/>
    <x v="246"/>
  </r>
  <r>
    <s v="OPERACIÓN"/>
    <s v="AYUDANTE"/>
    <x v="247"/>
  </r>
  <r>
    <s v="OPERADOR"/>
    <s v="OPERADOR DE EQUIPO DE LEVANTE "/>
    <x v="248"/>
  </r>
  <r>
    <s v="OPERACIÓN"/>
    <s v="CAPATAZ MINERÍA - OOCC"/>
    <x v="249"/>
  </r>
  <r>
    <s v="OPERACIÓN"/>
    <s v="MAESTRO M1"/>
    <x v="250"/>
  </r>
  <r>
    <s v="OPERACIÓN"/>
    <s v="MAESTRO M1"/>
    <x v="251"/>
  </r>
  <r>
    <s v="OPERACIÓN"/>
    <s v="SOLDADOR"/>
    <x v="252"/>
  </r>
  <r>
    <s v="OPERADOR"/>
    <s v="OPERADOR DE EQUIPO DE LEVANTE "/>
    <x v="253"/>
  </r>
  <r>
    <s v="OPERACIÓN"/>
    <s v="CAPATAZ MINERÍA - OOCC"/>
    <x v="254"/>
  </r>
  <r>
    <s v="OPERACIÓN"/>
    <s v="MAESTRO M1"/>
    <x v="255"/>
  </r>
  <r>
    <s v="OPERACIÓN"/>
    <s v="MAESTRO M1"/>
    <x v="256"/>
  </r>
  <r>
    <s v="OPERACIÓN"/>
    <s v="SOLDADOR"/>
    <x v="257"/>
  </r>
  <r>
    <s v="OPERADOR"/>
    <s v="OPERADOR DE EQUIPO DE LEVANTE "/>
    <x v="258"/>
  </r>
  <r>
    <s v="OPERACIÓN"/>
    <s v="CAPATAZ MINERÍA - OOCC"/>
    <x v="259"/>
  </r>
  <r>
    <s v="OPERACIÓN"/>
    <s v="MAESTRO M1"/>
    <x v="260"/>
  </r>
  <r>
    <s v="OPERACIÓN"/>
    <s v="MAESTRO M1"/>
    <x v="261"/>
  </r>
  <r>
    <s v="OPERACIÓN"/>
    <s v="SOLDADOR"/>
    <x v="262"/>
  </r>
  <r>
    <s v="OPERADOR"/>
    <s v="OPERADOR DE EQUIPO DE LEVANTE "/>
    <x v="263"/>
  </r>
  <r>
    <s v="OPERACIÓN"/>
    <s v="CAPATAZ MINERÍA - OOCC"/>
    <x v="264"/>
  </r>
  <r>
    <s v="OPERACIÓN"/>
    <s v="MAESTRO M1"/>
    <x v="265"/>
  </r>
  <r>
    <s v="OPERACIÓN"/>
    <s v="MAESTRO M1"/>
    <x v="266"/>
  </r>
  <r>
    <s v="OPERACIÓN"/>
    <s v="SOLDADOR"/>
    <x v="267"/>
  </r>
  <r>
    <s v="OPERADOR"/>
    <s v="OPERADOR DE EQUIPO DE LEVANTE "/>
    <x v="268"/>
  </r>
  <r>
    <s v="OPERACIÓN"/>
    <s v="CAPATAZ MONTAJE"/>
    <x v="269"/>
  </r>
  <r>
    <s v="OPERACIÓN"/>
    <s v="MAESTRO MONTAJE 1"/>
    <x v="270"/>
  </r>
  <r>
    <s v="OPERACIÓN"/>
    <s v="MAESTRO MONTAJE 2"/>
    <x v="271"/>
  </r>
  <r>
    <s v="OPERACIÓN"/>
    <s v="SOLDADOR MONTAJE"/>
    <x v="272"/>
  </r>
  <r>
    <s v="OPERACIÓN"/>
    <s v="SOLDADOR MONTAJE"/>
    <x v="273"/>
  </r>
  <r>
    <s v="OPERACIÓN"/>
    <s v="JEFE DE TURNO 1"/>
    <x v="274"/>
  </r>
  <r>
    <s v="OPERACIÓN"/>
    <s v="JEFE DE TURNO 2"/>
    <x v="275"/>
  </r>
  <r>
    <s v="PREVENCION"/>
    <s v="APR 1"/>
    <x v="276"/>
  </r>
  <r>
    <s v="PREVENCION"/>
    <s v="APR 2"/>
    <x v="277"/>
  </r>
  <r>
    <s v="OF. TECNICA"/>
    <s v="SALA CONTROL"/>
    <x v="278"/>
  </r>
  <r>
    <s v="ELECTRICO"/>
    <s v="LÍDER ELECTRICISTA"/>
    <x v="279"/>
  </r>
  <r>
    <s v="ELECTRICO"/>
    <s v="MAESTRO ELECTRICISTA 1"/>
    <x v="280"/>
  </r>
  <r>
    <s v="ELECTRICO"/>
    <s v="MAESTRO ELECTRICISTA 2"/>
    <x v="281"/>
  </r>
  <r>
    <s v="ELECTRICO"/>
    <s v="MAESTRO ELECTRICISTA 3"/>
    <x v="282"/>
  </r>
  <r>
    <s v="ELECTRICO"/>
    <s v="ELECTRÓNICO"/>
    <x v="283"/>
  </r>
  <r>
    <s v="MECANICO"/>
    <s v="LÍDER MECÁNICO"/>
    <x v="284"/>
  </r>
  <r>
    <s v="MECANICO"/>
    <s v="MAESTRO MECÁNICO 1"/>
    <x v="285"/>
  </r>
  <r>
    <s v="MECANICO"/>
    <s v="MAESTRO MECÁNICO 2"/>
    <x v="286"/>
  </r>
  <r>
    <s v="MECANICO"/>
    <s v="MAESTRO MECÁNICO 3"/>
    <x v="287"/>
  </r>
  <r>
    <s v="MECANICO"/>
    <s v="ELECTROMECÁNICO"/>
    <x v="288"/>
  </r>
  <r>
    <s v="OPERACIÓN"/>
    <s v="BODEGUERO 1"/>
    <x v="289"/>
  </r>
  <r>
    <s v="OPERACIÓN"/>
    <s v="CHOFER DE SERVICIOS 1"/>
    <x v="290"/>
  </r>
  <r>
    <s v="OPERACIÓN"/>
    <s v="CHOFER DE SERVICIOS 2"/>
    <x v="291"/>
  </r>
  <r>
    <s v="OPERACIÓN"/>
    <s v="CHOFER DE SERVICIOS 3"/>
    <x v="292"/>
  </r>
  <r>
    <s v="OPERADOR"/>
    <s v="OPERADOR JUMBO FORTIFICACION 1"/>
    <x v="293"/>
  </r>
  <r>
    <s v="OPERADOR"/>
    <s v="OPERADOR JUMBO FORTIFICACION 2"/>
    <x v="294"/>
  </r>
  <r>
    <s v="OPERADOR"/>
    <s v="OPERADOR JUMBO FORTIFICACION 3"/>
    <x v="295"/>
  </r>
  <r>
    <s v="OPERADOR"/>
    <s v="OPERADOR JUMBO RADIAL"/>
    <x v="296"/>
  </r>
  <r>
    <s v="OPERADOR"/>
    <s v="OPERADOR JUMBO BOLTEC"/>
    <x v="297"/>
  </r>
  <r>
    <s v="OPERADOR"/>
    <s v="OPERADOR SCOOP 1"/>
    <x v="298"/>
  </r>
  <r>
    <s v="OPERADOR"/>
    <s v="OPERADOR SCOOP 2"/>
    <x v="299"/>
  </r>
  <r>
    <s v="OPERADOR"/>
    <s v="OPERADOR ROBOSHOT 1"/>
    <x v="300"/>
  </r>
  <r>
    <s v="OPERADOR"/>
    <s v="OPERADOR ROBOSHOT 2"/>
    <x v="301"/>
  </r>
  <r>
    <s v="OPERADOR"/>
    <s v="OPERADOR RETROEXCAVADORA - ACUÑADOR"/>
    <x v="302"/>
  </r>
  <r>
    <s v="OPERADOR"/>
    <s v="OPERADOR RETROEXCAVADORA - ACUÑADOR"/>
    <x v="303"/>
  </r>
  <r>
    <s v="OPERADOR"/>
    <s v="OPERADOR MIXER"/>
    <x v="304"/>
  </r>
  <r>
    <s v="OPERADOR"/>
    <s v="OPERADOR MIXER"/>
    <x v="305"/>
  </r>
  <r>
    <s v="OPERACIÓN"/>
    <s v="CAPATAZ MINERÍA - OOCC"/>
    <x v="306"/>
  </r>
  <r>
    <s v="OPERACIÓN"/>
    <s v="MAESTRO M1"/>
    <x v="307"/>
  </r>
  <r>
    <s v="OPERACIÓN"/>
    <s v="MAESTRO M1"/>
    <x v="308"/>
  </r>
  <r>
    <s v="OPERACIÓN"/>
    <s v="AYUDANTE"/>
    <x v="309"/>
  </r>
  <r>
    <s v="OPERADOR"/>
    <s v="OPERADOR DE EQUIPO DE LEVANTE "/>
    <x v="310"/>
  </r>
  <r>
    <s v="OPERACIÓN"/>
    <s v="CAPATAZ MINERÍA - OOCC"/>
    <x v="311"/>
  </r>
  <r>
    <s v="OPERACIÓN"/>
    <s v="MAESTRO M1"/>
    <x v="312"/>
  </r>
  <r>
    <s v="OPERACIÓN"/>
    <s v="MAESTRO M1"/>
    <x v="313"/>
  </r>
  <r>
    <s v="OPERACIÓN"/>
    <s v="AYUDANTE"/>
    <x v="314"/>
  </r>
  <r>
    <s v="OPERADOR"/>
    <s v="OPERADOR DE EQUIPO DE LEVANTE "/>
    <x v="315"/>
  </r>
  <r>
    <s v="OPERACIÓN"/>
    <s v="CAPATAZ MINERÍA - OOCC"/>
    <x v="316"/>
  </r>
  <r>
    <s v="OPERACIÓN"/>
    <s v="MAESTRO M1"/>
    <x v="317"/>
  </r>
  <r>
    <s v="OPERACIÓN"/>
    <s v="MAESTRO M1"/>
    <x v="318"/>
  </r>
  <r>
    <s v="OPERACIÓN"/>
    <s v="AYUDANTE"/>
    <x v="319"/>
  </r>
  <r>
    <s v="OPERADOR"/>
    <s v="OPERADOR DE EQUIPO DE LEVANTE "/>
    <x v="320"/>
  </r>
  <r>
    <s v="OPERACIÓN"/>
    <s v="CAPATAZ MINERÍA - OOCC"/>
    <x v="321"/>
  </r>
  <r>
    <s v="OPERACIÓN"/>
    <s v="MAESTRO M1"/>
    <x v="322"/>
  </r>
  <r>
    <s v="OPERACIÓN"/>
    <s v="MAESTRO M1"/>
    <x v="323"/>
  </r>
  <r>
    <s v="OPERACIÓN"/>
    <s v="AYUDANTE"/>
    <x v="324"/>
  </r>
  <r>
    <s v="OPERADOR"/>
    <s v="OPERADOR DE EQUIPO DE LEVANTE "/>
    <x v="325"/>
  </r>
  <r>
    <s v="OPERACIÓN"/>
    <s v="CAPATAZ MINERÍA - OOCC"/>
    <x v="326"/>
  </r>
  <r>
    <s v="OPERACIÓN"/>
    <s v="MAESTRO M1"/>
    <x v="327"/>
  </r>
  <r>
    <s v="OPERACIÓN"/>
    <s v="MAESTRO M1"/>
    <x v="328"/>
  </r>
  <r>
    <s v="OPERADOR"/>
    <s v="OPERADOR DE EQUIPO DE LEVANTE "/>
    <x v="329"/>
  </r>
  <r>
    <s v="OPERACIÓN"/>
    <s v="CAPATAZ MINERÍA - OOCC"/>
    <x v="330"/>
  </r>
  <r>
    <s v="OPERACIÓN"/>
    <s v="MAESTRO M1"/>
    <x v="331"/>
  </r>
  <r>
    <s v="OPERACIÓN"/>
    <s v="MAESTRO M1"/>
    <x v="332"/>
  </r>
  <r>
    <s v="OPERADOR"/>
    <s v="OPERADOR DE EQUIPO DE LEVANTE "/>
    <x v="333"/>
  </r>
  <r>
    <s v="OPERACIÓN"/>
    <s v="CAPATAZ MINERÍA - OOCC"/>
    <x v="334"/>
  </r>
  <r>
    <s v="OPERACIÓN"/>
    <s v="MAESTRO M1"/>
    <x v="335"/>
  </r>
  <r>
    <s v="OPERACIÓN"/>
    <s v="AYUDANTE"/>
    <x v="336"/>
  </r>
  <r>
    <s v="OPERADOR"/>
    <s v="OPERADOR DE EQUIPO DE LEVANTE "/>
    <x v="337"/>
  </r>
  <r>
    <s v="OPERACIÓN"/>
    <s v="CAPATAZ MINERÍA - OOCC"/>
    <x v="338"/>
  </r>
  <r>
    <s v="OPERACIÓN"/>
    <s v="MAESTRO M1"/>
    <x v="339"/>
  </r>
  <r>
    <s v="OPERACIÓN"/>
    <s v="AYUDANTE"/>
    <x v="340"/>
  </r>
  <r>
    <s v="OPERADOR"/>
    <s v="OPERADOR DE EQUIPO DE LEVANTE "/>
    <x v="341"/>
  </r>
  <r>
    <s v="OPERACIÓN"/>
    <s v="CAPATAZ MINERÍA - OOCC"/>
    <x v="342"/>
  </r>
  <r>
    <s v="OPERACIÓN"/>
    <s v="MAESTRO M1"/>
    <x v="343"/>
  </r>
  <r>
    <s v="OPERACIÓN"/>
    <s v="MAESTRO M1"/>
    <x v="344"/>
  </r>
  <r>
    <s v="OPERACIÓN"/>
    <s v="SOLDADOR"/>
    <x v="345"/>
  </r>
  <r>
    <s v="OPERADOR"/>
    <s v="OPERADOR DE EQUIPO DE LEVANTE "/>
    <x v="346"/>
  </r>
  <r>
    <s v="OPERACIÓN"/>
    <s v="CAPATAZ MINERÍA - OOCC"/>
    <x v="347"/>
  </r>
  <r>
    <s v="OPERACIÓN"/>
    <s v="MAESTRO M1"/>
    <x v="348"/>
  </r>
  <r>
    <s v="OPERACIÓN"/>
    <s v="MAESTRO M1"/>
    <x v="349"/>
  </r>
  <r>
    <s v="OPERACIÓN"/>
    <s v="SOLDADOR"/>
    <x v="350"/>
  </r>
  <r>
    <s v="OPERADOR"/>
    <s v="OPERADOR DE EQUIPO DE LEVANTE "/>
    <x v="351"/>
  </r>
  <r>
    <s v="OPERACIÓN"/>
    <s v="CAPATAZ MINERÍA - OOCC"/>
    <x v="352"/>
  </r>
  <r>
    <s v="OPERACIÓN"/>
    <s v="MAESTRO M1"/>
    <x v="353"/>
  </r>
  <r>
    <s v="OPERACIÓN"/>
    <s v="MAESTRO M1"/>
    <x v="354"/>
  </r>
  <r>
    <s v="OPERACIÓN"/>
    <s v="SOLDADOR"/>
    <x v="355"/>
  </r>
  <r>
    <s v="OPERADOR"/>
    <s v="OPERADOR DE EQUIPO DE LEVANTE "/>
    <x v="356"/>
  </r>
  <r>
    <s v="OPERACIÓN"/>
    <s v="CAPATAZ MINERÍA - OOCC"/>
    <x v="357"/>
  </r>
  <r>
    <s v="OPERACIÓN"/>
    <s v="MAESTRO M1"/>
    <x v="358"/>
  </r>
  <r>
    <s v="OPERACIÓN"/>
    <s v="MAESTRO M1"/>
    <x v="359"/>
  </r>
  <r>
    <s v="OPERACIÓN"/>
    <s v="SOLDADOR"/>
    <x v="360"/>
  </r>
  <r>
    <s v="OPERADOR"/>
    <s v="OPERADOR DE EQUIPO DE LEVANTE "/>
    <x v="361"/>
  </r>
  <r>
    <s v="OPERACIÓN"/>
    <s v="CAPATAZ MONTAJE"/>
    <x v="362"/>
  </r>
  <r>
    <s v="OPERACIÓN"/>
    <s v="MAESTRO MONTAJE 1"/>
    <x v="363"/>
  </r>
  <r>
    <s v="OPERACIÓN"/>
    <s v="MAESTRO MONTAJE 2"/>
    <x v="364"/>
  </r>
  <r>
    <s v="OPERACIÓN"/>
    <s v="SOLDADOR MONTAJE"/>
    <x v="365"/>
  </r>
  <r>
    <s v="OPERACIÓN"/>
    <s v="SOLDADOR MONTAJE"/>
    <x v="366"/>
  </r>
  <r>
    <s v="MECANICO"/>
    <s v="MAESTRO MECÁNICO 4 G1-G2"/>
    <x v="367"/>
  </r>
  <r>
    <s v="MECANICO"/>
    <s v="MAESTRO MECÁNICO 4 G3-G4"/>
    <x v="368"/>
  </r>
  <r>
    <s v="MECANICO"/>
    <s v="MECÁNICO MANTENCIÓN G1-G2"/>
    <x v="369"/>
  </r>
  <r>
    <s v="MECANICO"/>
    <s v="MECÁNICO MANTENCIÓN G3-G4"/>
    <x v="370"/>
  </r>
  <r>
    <s v="MECANICO"/>
    <s v="MECÁNICO ESPECIALISTA G1-G2"/>
    <x v="371"/>
  </r>
  <r>
    <s v="MECANICO"/>
    <s v="MECÁNICO ESPECIALISTA G3-G4"/>
    <x v="372"/>
  </r>
  <r>
    <s v="MECANICO"/>
    <s v="ELECTROMECÁNICO G1-G2"/>
    <x v="373"/>
  </r>
  <r>
    <s v="MECANICO"/>
    <s v="ELECTROMECÁNICO G3-G4"/>
    <x v="374"/>
  </r>
  <r>
    <s v="OPERACIÓN"/>
    <s v="CAPATAZ 7X7 TA G1 -G2"/>
    <x v="375"/>
  </r>
  <r>
    <s v="OPERACIÓN"/>
    <s v="CAPATAZ 7X7 TA G1 -G2"/>
    <x v="376"/>
  </r>
  <r>
    <s v="OPERACIÓN"/>
    <s v="SOLDADOR MANTENCIÓN G1-G2"/>
    <x v="377"/>
  </r>
  <r>
    <s v="OPERACIÓN"/>
    <s v="SOLDADOR MANTENCIÓN G3-G4"/>
    <x v="378"/>
  </r>
  <r>
    <s v="OPERACIÓN"/>
    <s v="VULCANIZADOR G1-G2"/>
    <x v="379"/>
  </r>
  <r>
    <s v="OPERACIÓN"/>
    <s v="VULCANIZADOR G3-G4"/>
    <x v="380"/>
  </r>
  <r>
    <s v="OPERADOR"/>
    <s v="CHOFER CAMIÓN PLANO 1 G1-G2"/>
    <x v="381"/>
  </r>
  <r>
    <s v="OPERADOR"/>
    <s v="CHOFER CAMIÓN PLANO 1 G2-G3"/>
    <x v="382"/>
  </r>
  <r>
    <s v="OPERADOR"/>
    <s v="CHOFER CAMIÓN PLANO 2 G1-G2"/>
    <x v="383"/>
  </r>
  <r>
    <s v="OPERADOR"/>
    <s v="CHOFER CAMIÓN PLANO 2 G3-G4"/>
    <x v="384"/>
  </r>
  <r>
    <s v="OPERADOR"/>
    <s v="CHOFER CAMIÓN TOLVA G1-G2"/>
    <x v="385"/>
  </r>
  <r>
    <s v="OPERADOR"/>
    <s v="CHOFER CAMIÓN TOLVA G3 - G4"/>
    <x v="386"/>
  </r>
  <r>
    <s v="OPERADOR"/>
    <s v="CHOFER CAMIÓN PLANO 3 "/>
    <x v="387"/>
  </r>
  <r>
    <s v="MECÁNICO"/>
    <s v="SOLDADOR MANTENCIÓN"/>
    <x v="388"/>
  </r>
  <r>
    <s v="OPERACIÓN"/>
    <s v="INSTRUCTOR BOLTEC"/>
    <x v="389"/>
  </r>
  <r>
    <s v="OPERACIÓN"/>
    <s v="SUPERVISOR MONTAJE"/>
    <x v="390"/>
  </r>
  <r>
    <s v="OPERACIÓN"/>
    <s v="CAPATAZ MISCELÁNEOS"/>
    <x v="391"/>
  </r>
  <r>
    <s v="OPERACIÓN"/>
    <s v="MAESTRO AVANZADO MISCELÁNEOS"/>
    <x v="392"/>
  </r>
  <r>
    <s v="OPERACIÓN"/>
    <s v="MAESTRO OOCC MISCELÁNEOS"/>
    <x v="393"/>
  </r>
  <r>
    <s v="OPERACIÓN"/>
    <s v="SOLDADOR MONTAJE MISCELÁNEOS"/>
    <x v="394"/>
  </r>
  <r>
    <s v="ADC"/>
    <s v="ADMINISTRADOR DE CONTRATO"/>
    <x v="395"/>
  </r>
  <r>
    <s v="OPERACIÓN"/>
    <s v="JEFE DE OPERACIONES"/>
    <x v="396"/>
  </r>
  <r>
    <s v="OPERACIÓN"/>
    <s v="JEFE DE TERRENO 8x6 G1-G2"/>
    <x v="397"/>
  </r>
  <r>
    <s v="OPERACIÓN"/>
    <s v="JEFE DE TERRENO 8x6 G3-G4"/>
    <x v="398"/>
  </r>
  <r>
    <s v="OF TECNICA"/>
    <s v="JEFE OFICINA TECNICA"/>
    <x v="399"/>
  </r>
  <r>
    <s v="OF TECNICA"/>
    <s v="INGENIERO PROGRAMACION Y CONTROL"/>
    <x v="400"/>
  </r>
  <r>
    <s v="OF TECNICA"/>
    <s v="INGENIERO PROGRAMACION Y CONTROL"/>
    <x v="401"/>
  </r>
  <r>
    <s v="OF TECNICA"/>
    <s v="INGENIERO OF. TECNICA A"/>
    <x v="402"/>
  </r>
  <r>
    <s v="OF TECNICA"/>
    <s v="INGENIERO OF. TECNICA B"/>
    <x v="403"/>
  </r>
  <r>
    <s v="OF TECNICA"/>
    <s v="JEFE SALA DE CONTROL"/>
    <x v="404"/>
  </r>
  <r>
    <s v="OF TECNICA"/>
    <s v="ENCARGADO DE CALIDAD"/>
    <x v="405"/>
  </r>
  <r>
    <s v="OF TECNICA"/>
    <s v="INSPECTOR DE CALIDAD 7x7 G1-G2"/>
    <x v="406"/>
  </r>
  <r>
    <s v="OF TECNICA"/>
    <s v="INSPECTOR DE CALIDAD 7x7 G1-G2"/>
    <x v="407"/>
  </r>
  <r>
    <s v="OF TECNICA"/>
    <s v="LABORATORISTA"/>
    <x v="408"/>
  </r>
  <r>
    <s v="OF TECNICA"/>
    <s v="TOPOGRAFO"/>
    <x v="409"/>
  </r>
  <r>
    <s v="OF TECNICA"/>
    <s v="ALARIFE"/>
    <x v="410"/>
  </r>
  <r>
    <s v="OF TECNICA"/>
    <s v="DIBUJANTE"/>
    <x v="411"/>
  </r>
  <r>
    <s v="OF TECNICA"/>
    <s v="ASISTENTE OFICINA TÉCNICA"/>
    <x v="412"/>
  </r>
  <r>
    <s v="OF TECNICA"/>
    <s v="ASISTENTE OFICINA TÉCNICA"/>
    <x v="413"/>
  </r>
  <r>
    <s v="PREVENCION"/>
    <s v="JEFE SSO"/>
    <x v="414"/>
  </r>
  <r>
    <s v="PREVENCION"/>
    <s v="ENCARGADO HERRAM. GESTION"/>
    <x v="415"/>
  </r>
  <r>
    <s v="PREVENCION"/>
    <s v="ENCARGADO HERRAM. GESTION"/>
    <x v="416"/>
  </r>
  <r>
    <s v="PREVENCION"/>
    <s v="CONTROL DOCUMENTOS"/>
    <x v="417"/>
  </r>
  <r>
    <s v="PREVENCION"/>
    <s v="ENCARGADO RESSO"/>
    <x v="418"/>
  </r>
  <r>
    <s v="PREVENCION"/>
    <s v="ENCARGADO MA"/>
    <x v="419"/>
  </r>
  <r>
    <s v="PREVENCION"/>
    <s v="ASISTENTE SSOO"/>
    <x v="420"/>
  </r>
  <r>
    <s v="RRLL"/>
    <s v="JEFE ADMINISTRATIVO"/>
    <x v="421"/>
  </r>
  <r>
    <s v="RRLL"/>
    <s v="ASISTENTE ADMINISTRATIVO"/>
    <x v="422"/>
  </r>
  <r>
    <s v="RRLL"/>
    <s v="ASISTENTE ADMINISTRATIVO"/>
    <x v="423"/>
  </r>
  <r>
    <s v="RRLL"/>
    <s v="ASISTENTE ADMINISTRATIVO"/>
    <x v="424"/>
  </r>
  <r>
    <s v="RRLL"/>
    <s v="PASATIEMPO "/>
    <x v="425"/>
  </r>
  <r>
    <s v="RRLL"/>
    <s v="ASISTENTE DE ASEO"/>
    <x v="426"/>
  </r>
  <r>
    <s v="MAQUINARIA"/>
    <s v="JEFE MAQUINARIA"/>
    <x v="427"/>
  </r>
  <r>
    <s v="MAQUINARIA"/>
    <s v="SUPERVISOR MECÁNICO (7X7 TA)"/>
    <x v="428"/>
  </r>
  <r>
    <s v="MAQUINARIA"/>
    <s v="SECRETARIO TECNICO MAQUINARIA"/>
    <x v="429"/>
  </r>
  <r>
    <s v="ELECTRICO"/>
    <s v="JEFE ELECTRICO"/>
    <x v="430"/>
  </r>
  <r>
    <s v="BODEGA"/>
    <s v="ENCARGADO DE BODEGA "/>
    <x v="431"/>
  </r>
  <r>
    <s v="BODEGA"/>
    <s v="BODEGUERO/COMPRADOR"/>
    <x v="432"/>
  </r>
  <r>
    <s v="BODEGA"/>
    <s v="BODEGUERO PLAT 12"/>
    <x v="433"/>
  </r>
  <r>
    <s v="BODEGA"/>
    <s v="OPERADOR DE EQUIPO DE LEVANTE "/>
    <x v="434"/>
  </r>
  <r>
    <s v="BODEGA"/>
    <s v="BODEGUERO"/>
    <x v="435"/>
  </r>
  <r>
    <s v="OTROS"/>
    <s v="CHOFER DE SERVICIOS"/>
    <x v="436"/>
  </r>
  <r>
    <s v="OTROS"/>
    <s v="CHOFER DE SERVICIOS"/>
    <x v="437"/>
  </r>
  <r>
    <s v="OTROS"/>
    <s v="CHOFER DE SERVICIOS"/>
    <x v="438"/>
  </r>
  <r>
    <s v="OTROS"/>
    <s v="ENCARGADO HERRAM. GESTION"/>
    <x v="439"/>
  </r>
  <r>
    <s v="OTROS"/>
    <s v="PASATIEMPO"/>
    <x v="440"/>
  </r>
  <r>
    <s v="OTROS"/>
    <s v="OPERADOR EQUIPO LEVANTE"/>
    <x v="441"/>
  </r>
  <r>
    <s v="OTROS"/>
    <s v="PRACTICANTE"/>
    <x v="442"/>
  </r>
  <r>
    <s v="OTROS"/>
    <s v="CAPATAZ MINERÍA-OOCC"/>
    <x v="443"/>
  </r>
  <r>
    <s v="OTROS"/>
    <s v="CAPATAZ"/>
    <x v="4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FC330F-B364-4138-8F7F-DD514DD860FD}" name="TablaDinámica3" cacheId="1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449" firstHeaderRow="1" firstDataRow="1" firstDataCol="1"/>
  <pivotFields count="3">
    <pivotField showAll="0"/>
    <pivotField showAll="0"/>
    <pivotField axis="axisRow" dataField="1" showAll="0">
      <items count="446">
        <item x="300"/>
        <item x="14"/>
        <item x="220"/>
        <item x="345"/>
        <item x="406"/>
        <item x="240"/>
        <item x="200"/>
        <item x="283"/>
        <item x="350"/>
        <item x="59"/>
        <item x="35"/>
        <item x="195"/>
        <item x="374"/>
        <item x="338"/>
        <item x="90"/>
        <item x="363"/>
        <item x="423"/>
        <item x="434"/>
        <item x="425"/>
        <item x="49"/>
        <item x="135"/>
        <item x="302"/>
        <item x="16"/>
        <item x="272"/>
        <item x="164"/>
        <item x="403"/>
        <item x="235"/>
        <item x="160"/>
        <item x="231"/>
        <item x="428"/>
        <item x="318"/>
        <item x="94"/>
        <item x="40"/>
        <item x="167"/>
        <item x="414"/>
        <item x="188"/>
        <item x="233"/>
        <item x="130"/>
        <item x="213"/>
        <item x="266"/>
        <item x="146"/>
        <item x="119"/>
        <item x="375"/>
        <item x="77"/>
        <item x="245"/>
        <item x="289"/>
        <item x="339"/>
        <item x="443"/>
        <item x="133"/>
        <item x="224"/>
        <item x="256"/>
        <item x="370"/>
        <item x="154"/>
        <item x="280"/>
        <item x="104"/>
        <item x="173"/>
        <item x="353"/>
        <item x="298"/>
        <item x="62"/>
        <item x="81"/>
        <item x="237"/>
        <item x="348"/>
        <item x="57"/>
        <item x="321"/>
        <item x="56"/>
        <item x="442"/>
        <item x="304"/>
        <item x="227"/>
        <item x="9"/>
        <item x="111"/>
        <item x="60"/>
        <item x="107"/>
        <item x="184"/>
        <item x="291"/>
        <item x="432"/>
        <item x="271"/>
        <item x="252"/>
        <item x="323"/>
        <item x="22"/>
        <item x="55"/>
        <item x="297"/>
        <item x="314"/>
        <item x="433"/>
        <item x="78"/>
        <item x="441"/>
        <item x="396"/>
        <item x="263"/>
        <item x="301"/>
        <item x="138"/>
        <item x="185"/>
        <item x="46"/>
        <item x="226"/>
        <item x="440"/>
        <item x="385"/>
        <item x="143"/>
        <item x="127"/>
        <item x="128"/>
        <item x="196"/>
        <item x="387"/>
        <item x="404"/>
        <item x="386"/>
        <item x="80"/>
        <item x="194"/>
        <item x="64"/>
        <item x="178"/>
        <item x="74"/>
        <item x="325"/>
        <item x="228"/>
        <item x="61"/>
        <item x="269"/>
        <item x="407"/>
        <item x="268"/>
        <item x="115"/>
        <item x="120"/>
        <item x="51"/>
        <item x="29"/>
        <item x="0"/>
        <item x="398"/>
        <item x="75"/>
        <item x="251"/>
        <item x="125"/>
        <item x="32"/>
        <item x="371"/>
        <item x="322"/>
        <item x="429"/>
        <item x="413"/>
        <item x="199"/>
        <item x="142"/>
        <item x="85"/>
        <item x="218"/>
        <item x="270"/>
        <item x="343"/>
        <item x="79"/>
        <item x="234"/>
        <item x="203"/>
        <item x="148"/>
        <item x="362"/>
        <item x="72"/>
        <item x="96"/>
        <item x="412"/>
        <item x="25"/>
        <item x="28"/>
        <item x="285"/>
        <item x="198"/>
        <item x="30"/>
        <item x="421"/>
        <item x="330"/>
        <item x="308"/>
        <item x="175"/>
        <item x="236"/>
        <item x="182"/>
        <item x="69"/>
        <item x="265"/>
        <item x="402"/>
        <item x="211"/>
        <item x="380"/>
        <item x="420"/>
        <item x="355"/>
        <item x="191"/>
        <item x="152"/>
        <item x="131"/>
        <item x="316"/>
        <item x="8"/>
        <item x="311"/>
        <item x="293"/>
        <item x="50"/>
        <item x="201"/>
        <item x="328"/>
        <item x="63"/>
        <item x="290"/>
        <item x="346"/>
        <item x="317"/>
        <item x="393"/>
        <item x="352"/>
        <item x="140"/>
        <item x="279"/>
        <item x="54"/>
        <item x="264"/>
        <item x="189"/>
        <item x="278"/>
        <item x="248"/>
        <item x="110"/>
        <item x="229"/>
        <item x="163"/>
        <item x="336"/>
        <item x="217"/>
        <item x="431"/>
        <item x="151"/>
        <item x="202"/>
        <item x="274"/>
        <item x="408"/>
        <item x="395"/>
        <item x="254"/>
        <item x="23"/>
        <item x="177"/>
        <item x="183"/>
        <item x="376"/>
        <item x="58"/>
        <item x="372"/>
        <item x="383"/>
        <item x="216"/>
        <item x="337"/>
        <item x="360"/>
        <item x="257"/>
        <item x="424"/>
        <item x="415"/>
        <item x="392"/>
        <item x="153"/>
        <item x="91"/>
        <item x="39"/>
        <item x="161"/>
        <item x="366"/>
        <item x="400"/>
        <item x="162"/>
        <item x="27"/>
        <item x="122"/>
        <item x="253"/>
        <item x="249"/>
        <item x="190"/>
        <item x="284"/>
        <item x="208"/>
        <item x="247"/>
        <item x="124"/>
        <item x="319"/>
        <item x="327"/>
        <item x="326"/>
        <item x="354"/>
        <item x="123"/>
        <item x="31"/>
        <item x="267"/>
        <item x="307"/>
        <item x="397"/>
        <item x="320"/>
        <item x="367"/>
        <item x="436"/>
        <item x="351"/>
        <item x="38"/>
        <item x="24"/>
        <item x="273"/>
        <item x="232"/>
        <item x="171"/>
        <item x="21"/>
        <item x="287"/>
        <item x="418"/>
        <item x="34"/>
        <item x="288"/>
        <item x="70"/>
        <item x="158"/>
        <item x="399"/>
        <item x="101"/>
        <item x="97"/>
        <item x="176"/>
        <item x="417"/>
        <item x="45"/>
        <item x="156"/>
        <item x="82"/>
        <item x="157"/>
        <item x="204"/>
        <item x="106"/>
        <item x="118"/>
        <item x="331"/>
        <item x="113"/>
        <item x="411"/>
        <item x="205"/>
        <item x="134"/>
        <item x="294"/>
        <item x="18"/>
        <item x="369"/>
        <item x="335"/>
        <item x="114"/>
        <item x="44"/>
        <item x="391"/>
        <item x="71"/>
        <item x="435"/>
        <item x="405"/>
        <item x="3"/>
        <item x="42"/>
        <item x="73"/>
        <item x="15"/>
        <item x="225"/>
        <item x="312"/>
        <item x="305"/>
        <item x="430"/>
        <item x="52"/>
        <item x="394"/>
        <item x="145"/>
        <item x="159"/>
        <item x="255"/>
        <item x="313"/>
        <item x="192"/>
        <item x="389"/>
        <item x="422"/>
        <item x="242"/>
        <item x="92"/>
        <item x="277"/>
        <item x="215"/>
        <item x="260"/>
        <item x="427"/>
        <item x="174"/>
        <item x="99"/>
        <item x="47"/>
        <item x="93"/>
        <item x="342"/>
        <item x="155"/>
        <item x="378"/>
        <item x="426"/>
        <item x="214"/>
        <item x="102"/>
        <item x="349"/>
        <item x="66"/>
        <item x="315"/>
        <item x="108"/>
        <item x="95"/>
        <item x="168"/>
        <item x="19"/>
        <item x="437"/>
        <item x="309"/>
        <item x="65"/>
        <item x="141"/>
        <item x="390"/>
        <item x="67"/>
        <item x="409"/>
        <item x="332"/>
        <item x="239"/>
        <item x="261"/>
        <item x="347"/>
        <item x="244"/>
        <item x="340"/>
        <item x="48"/>
        <item x="33"/>
        <item x="334"/>
        <item x="209"/>
        <item x="36"/>
        <item x="365"/>
        <item x="306"/>
        <item x="139"/>
        <item x="212"/>
        <item x="147"/>
        <item x="299"/>
        <item x="438"/>
        <item x="11"/>
        <item x="361"/>
        <item x="1"/>
        <item x="381"/>
        <item x="10"/>
        <item x="275"/>
        <item x="187"/>
        <item x="377"/>
        <item x="344"/>
        <item x="324"/>
        <item x="373"/>
        <item x="368"/>
        <item x="144"/>
        <item x="20"/>
        <item x="258"/>
        <item x="6"/>
        <item x="98"/>
        <item x="276"/>
        <item x="219"/>
        <item x="179"/>
        <item x="382"/>
        <item x="2"/>
        <item x="379"/>
        <item x="295"/>
        <item x="303"/>
        <item x="169"/>
        <item x="137"/>
        <item x="150"/>
        <item x="193"/>
        <item x="17"/>
        <item x="89"/>
        <item x="358"/>
        <item x="223"/>
        <item x="149"/>
        <item x="12"/>
        <item x="4"/>
        <item x="243"/>
        <item x="329"/>
        <item x="132"/>
        <item x="170"/>
        <item x="262"/>
        <item x="86"/>
        <item x="7"/>
        <item x="281"/>
        <item x="41"/>
        <item x="401"/>
        <item x="76"/>
        <item x="416"/>
        <item x="5"/>
        <item x="444"/>
        <item x="333"/>
        <item x="310"/>
        <item x="126"/>
        <item x="88"/>
        <item x="410"/>
        <item x="26"/>
        <item x="84"/>
        <item x="53"/>
        <item x="186"/>
        <item x="241"/>
        <item x="129"/>
        <item x="112"/>
        <item x="105"/>
        <item x="259"/>
        <item x="238"/>
        <item x="136"/>
        <item x="359"/>
        <item x="116"/>
        <item x="388"/>
        <item x="181"/>
        <item x="197"/>
        <item x="364"/>
        <item x="83"/>
        <item x="357"/>
        <item x="207"/>
        <item x="282"/>
        <item x="100"/>
        <item x="43"/>
        <item x="172"/>
        <item x="165"/>
        <item x="117"/>
        <item x="292"/>
        <item x="384"/>
        <item x="37"/>
        <item x="103"/>
        <item x="356"/>
        <item x="166"/>
        <item x="246"/>
        <item x="439"/>
        <item x="230"/>
        <item x="286"/>
        <item x="250"/>
        <item x="180"/>
        <item x="210"/>
        <item x="296"/>
        <item x="222"/>
        <item x="221"/>
        <item x="13"/>
        <item x="121"/>
        <item x="109"/>
        <item x="206"/>
        <item x="419"/>
        <item x="87"/>
        <item x="68"/>
        <item x="341"/>
        <item t="default"/>
      </items>
    </pivotField>
  </pivotFields>
  <rowFields count="1">
    <field x="2"/>
  </rowFields>
  <rowItems count="44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 t="grand">
      <x/>
    </i>
  </rowItems>
  <colItems count="1">
    <i/>
  </colItems>
  <dataFields count="1">
    <dataField name="Cuenta de NOMBRE" fld="2" subtotal="count" baseField="0" baseItem="0"/>
  </dataFields>
  <formats count="4">
    <format dxfId="3">
      <pivotArea dataOnly="0" labelOnly="1" fieldPosition="0">
        <references count="1">
          <reference field="2" count="1">
            <x v="83"/>
          </reference>
        </references>
      </pivotArea>
    </format>
    <format dxfId="2">
      <pivotArea dataOnly="0" labelOnly="1" fieldPosition="0">
        <references count="1">
          <reference field="2" count="1">
            <x v="102"/>
          </reference>
        </references>
      </pivotArea>
    </format>
    <format dxfId="1">
      <pivotArea collapsedLevelsAreSubtotals="1" fieldPosition="0">
        <references count="1">
          <reference field="2" count="4">
            <x v="107"/>
            <x v="108"/>
            <x v="109"/>
            <x v="110"/>
          </reference>
        </references>
      </pivotArea>
    </format>
    <format dxfId="0">
      <pivotArea dataOnly="0" labelOnly="1" fieldPosition="0">
        <references count="1">
          <reference field="2" count="4">
            <x v="107"/>
            <x v="108"/>
            <x v="109"/>
            <x v="1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43AE205-41F8-4B92-8B14-7CE7A26BB483}" name="TablaDinámica2" cacheId="13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7" firstHeaderRow="1" firstDataRow="1" firstDataCol="1"/>
  <pivotFields count="3">
    <pivotField showAll="0"/>
    <pivotField axis="axisRow" dataField="1" showAll="0">
      <items count="17">
        <item m="1" x="14"/>
        <item x="12"/>
        <item m="1" x="15"/>
        <item x="9"/>
        <item x="8"/>
        <item x="11"/>
        <item x="4"/>
        <item x="6"/>
        <item x="7"/>
        <item x="3"/>
        <item x="0"/>
        <item x="2"/>
        <item x="1"/>
        <item x="5"/>
        <item x="10"/>
        <item m="1" x="13"/>
        <item t="default"/>
      </items>
    </pivotField>
    <pivotField showAll="0"/>
  </pivotFields>
  <rowFields count="1">
    <field x="1"/>
  </rowFields>
  <rowItems count="14">
    <i>
      <x v="1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uenta de CARGO " fld="1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E17B391-6AF2-4832-A487-C91D62AEB241}" name="TablaDinámica1" cacheId="1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4" firstHeaderRow="1" firstDataRow="1" firstDataCol="1"/>
  <pivotFields count="14">
    <pivotField axis="axisRow" multipleItemSelectionAllowed="1" showAll="0">
      <items count="10">
        <item x="4"/>
        <item x="5"/>
        <item m="1" x="8"/>
        <item x="1"/>
        <item x="6"/>
        <item m="1" x="7"/>
        <item x="0"/>
        <item x="2"/>
        <item x="3"/>
        <item t="default"/>
      </items>
    </pivotField>
    <pivotField axis="axisRow" showAll="0">
      <items count="57">
        <item x="3"/>
        <item x="4"/>
        <item x="37"/>
        <item x="17"/>
        <item x="35"/>
        <item x="52"/>
        <item x="18"/>
        <item x="19"/>
        <item x="20"/>
        <item x="34"/>
        <item x="48"/>
        <item x="49"/>
        <item x="50"/>
        <item x="39"/>
        <item x="40"/>
        <item x="41"/>
        <item x="42"/>
        <item x="43"/>
        <item x="44"/>
        <item x="45"/>
        <item x="46"/>
        <item x="51"/>
        <item x="16"/>
        <item x="11"/>
        <item x="21"/>
        <item x="1"/>
        <item x="2"/>
        <item x="7"/>
        <item x="12"/>
        <item x="8"/>
        <item x="9"/>
        <item x="10"/>
        <item x="36"/>
        <item x="13"/>
        <item x="14"/>
        <item x="15"/>
        <item x="53"/>
        <item x="54"/>
        <item x="33"/>
        <item x="38"/>
        <item x="26"/>
        <item x="22"/>
        <item x="23"/>
        <item x="24"/>
        <item x="25"/>
        <item x="32"/>
        <item x="31"/>
        <item x="29"/>
        <item x="30"/>
        <item x="27"/>
        <item x="28"/>
        <item x="5"/>
        <item x="47"/>
        <item x="55"/>
        <item x="6"/>
        <item x="0"/>
        <item t="default"/>
      </items>
    </pivotField>
    <pivotField dataField="1" showAll="0"/>
    <pivotField axis="axisRow" showAll="0">
      <items count="6">
        <item x="1"/>
        <item m="1" x="4"/>
        <item x="2"/>
        <item x="3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3">
    <field x="0"/>
    <field x="3"/>
    <field x="1"/>
  </rowFields>
  <rowItems count="81">
    <i>
      <x/>
    </i>
    <i r="1">
      <x/>
    </i>
    <i r="2">
      <x v="23"/>
    </i>
    <i r="2">
      <x v="27"/>
    </i>
    <i r="2">
      <x v="29"/>
    </i>
    <i r="2">
      <x v="30"/>
    </i>
    <i r="2">
      <x v="31"/>
    </i>
    <i>
      <x v="1"/>
    </i>
    <i r="1">
      <x/>
    </i>
    <i r="2">
      <x v="22"/>
    </i>
    <i r="2">
      <x v="28"/>
    </i>
    <i r="2">
      <x v="33"/>
    </i>
    <i r="2">
      <x v="34"/>
    </i>
    <i r="2">
      <x v="35"/>
    </i>
    <i>
      <x v="3"/>
    </i>
    <i r="1">
      <x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25"/>
    </i>
    <i r="2">
      <x v="26"/>
    </i>
    <i r="2">
      <x v="32"/>
    </i>
    <i r="2">
      <x v="36"/>
    </i>
    <i r="2">
      <x v="37"/>
    </i>
    <i r="2">
      <x v="52"/>
    </i>
    <i r="2">
      <x v="53"/>
    </i>
    <i r="1">
      <x v="2"/>
    </i>
    <i r="2">
      <x v="4"/>
    </i>
    <i r="1">
      <x v="3"/>
    </i>
    <i r="2">
      <x v="32"/>
    </i>
    <i>
      <x v="4"/>
    </i>
    <i r="1">
      <x/>
    </i>
    <i r="2">
      <x v="39"/>
    </i>
    <i r="2">
      <x v="40"/>
    </i>
    <i r="2">
      <x v="41"/>
    </i>
    <i r="2">
      <x v="42"/>
    </i>
    <i r="2">
      <x v="43"/>
    </i>
    <i r="2">
      <x v="44"/>
    </i>
    <i r="2">
      <x v="45"/>
    </i>
    <i r="2">
      <x v="46"/>
    </i>
    <i r="2">
      <x v="47"/>
    </i>
    <i r="2">
      <x v="48"/>
    </i>
    <i r="2">
      <x v="49"/>
    </i>
    <i r="2">
      <x v="50"/>
    </i>
    <i r="1">
      <x v="2"/>
    </i>
    <i r="2">
      <x v="39"/>
    </i>
    <i r="2">
      <x v="46"/>
    </i>
    <i r="1">
      <x v="3"/>
    </i>
    <i r="2">
      <x v="45"/>
    </i>
    <i r="1">
      <x v="4"/>
    </i>
    <i r="2">
      <x v="38"/>
    </i>
    <i>
      <x v="6"/>
    </i>
    <i r="1">
      <x v="4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4"/>
    </i>
    <i r="2">
      <x v="54"/>
    </i>
    <i r="2">
      <x v="55"/>
    </i>
    <i>
      <x v="7"/>
    </i>
    <i r="1">
      <x/>
    </i>
    <i r="2">
      <x/>
    </i>
    <i r="2">
      <x v="1"/>
    </i>
    <i>
      <x v="8"/>
    </i>
    <i r="1">
      <x/>
    </i>
    <i r="2">
      <x v="51"/>
    </i>
    <i t="grand">
      <x/>
    </i>
  </rowItems>
  <colItems count="1">
    <i/>
  </colItems>
  <dataFields count="1">
    <dataField name="Cuenta de GRUPO 1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6CB277E-2BBA-4A93-A6F4-E65E501E9282}" name="TablaDinámica2" cacheId="1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32" firstHeaderRow="1" firstDataRow="1" firstDataCol="1"/>
  <pivotFields count="5">
    <pivotField axis="axisRow" showAll="0">
      <items count="4">
        <item x="0"/>
        <item x="1"/>
        <item x="2"/>
        <item t="default"/>
      </items>
    </pivotField>
    <pivotField axis="axisRow" showAll="0">
      <items count="20">
        <item x="13"/>
        <item x="14"/>
        <item x="15"/>
        <item x="16"/>
        <item x="17"/>
        <item x="18"/>
        <item x="6"/>
        <item x="7"/>
        <item x="0"/>
        <item x="1"/>
        <item x="4"/>
        <item x="5"/>
        <item x="2"/>
        <item x="3"/>
        <item x="9"/>
        <item x="10"/>
        <item x="11"/>
        <item x="12"/>
        <item x="8"/>
        <item t="default"/>
      </items>
    </pivotField>
    <pivotField dataField="1" showAll="0"/>
    <pivotField axis="axisRow" showAll="0">
      <items count="5">
        <item x="1"/>
        <item m="1" x="3"/>
        <item x="0"/>
        <item x="2"/>
        <item t="default"/>
      </items>
    </pivotField>
    <pivotField showAll="0"/>
  </pivotFields>
  <rowFields count="3">
    <field x="0"/>
    <field x="3"/>
    <field x="1"/>
  </rowFields>
  <rowItems count="29">
    <i>
      <x/>
    </i>
    <i r="1">
      <x/>
    </i>
    <i r="2">
      <x v="7"/>
    </i>
    <i r="2">
      <x v="12"/>
    </i>
    <i r="1">
      <x v="2"/>
    </i>
    <i r="2">
      <x v="8"/>
    </i>
    <i r="2">
      <x v="9"/>
    </i>
    <i r="2">
      <x v="10"/>
    </i>
    <i r="2">
      <x v="11"/>
    </i>
    <i r="2">
      <x v="13"/>
    </i>
    <i r="1">
      <x v="3"/>
    </i>
    <i r="2">
      <x v="6"/>
    </i>
    <i>
      <x v="1"/>
    </i>
    <i r="1">
      <x/>
    </i>
    <i r="2">
      <x v="14"/>
    </i>
    <i r="2">
      <x v="15"/>
    </i>
    <i r="2">
      <x v="16"/>
    </i>
    <i r="2">
      <x v="17"/>
    </i>
    <i r="2">
      <x v="18"/>
    </i>
    <i>
      <x v="2"/>
    </i>
    <i r="1">
      <x/>
    </i>
    <i r="2">
      <x/>
    </i>
    <i r="2">
      <x v="1"/>
    </i>
    <i r="2">
      <x v="2"/>
    </i>
    <i r="2">
      <x v="3"/>
    </i>
    <i r="2">
      <x v="4"/>
    </i>
    <i r="1">
      <x v="3"/>
    </i>
    <i r="2">
      <x v="5"/>
    </i>
    <i t="grand">
      <x/>
    </i>
  </rowItems>
  <colItems count="1">
    <i/>
  </colItems>
  <dataFields count="1">
    <dataField name="Cuenta de SOPORTE OPERACIÓN 7x7 T°A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97BD5FC-AC7A-44FD-A2E9-278F91E1DF1C}" name="TablaDinámica3" cacheId="1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9" firstHeaderRow="1" firstDataRow="1" firstDataCol="1"/>
  <pivotFields count="5">
    <pivotField axis="axisRow" showAll="0">
      <items count="3">
        <item x="1"/>
        <item x="0"/>
        <item t="default"/>
      </items>
    </pivotField>
    <pivotField axis="axisRow" showAll="0">
      <items count="10">
        <item x="7"/>
        <item x="4"/>
        <item x="0"/>
        <item x="1"/>
        <item x="2"/>
        <item x="5"/>
        <item x="6"/>
        <item x="8"/>
        <item x="3"/>
        <item t="default"/>
      </items>
    </pivotField>
    <pivotField dataField="1" showAll="0"/>
    <pivotField axis="axisRow" showAll="0">
      <items count="5">
        <item x="1"/>
        <item m="1" x="3"/>
        <item x="0"/>
        <item m="1" x="2"/>
        <item t="default"/>
      </items>
    </pivotField>
    <pivotField showAll="0"/>
  </pivotFields>
  <rowFields count="3">
    <field x="0"/>
    <field x="3"/>
    <field x="1"/>
  </rowFields>
  <rowItems count="16">
    <i>
      <x/>
    </i>
    <i r="1">
      <x/>
    </i>
    <i r="2">
      <x v="1"/>
    </i>
    <i r="2">
      <x v="4"/>
    </i>
    <i r="2">
      <x v="5"/>
    </i>
    <i r="2">
      <x v="6"/>
    </i>
    <i r="2">
      <x v="7"/>
    </i>
    <i r="2">
      <x v="8"/>
    </i>
    <i r="1">
      <x v="2"/>
    </i>
    <i r="2">
      <x/>
    </i>
    <i>
      <x v="1"/>
    </i>
    <i r="1">
      <x/>
    </i>
    <i r="2">
      <x v="3"/>
    </i>
    <i r="1">
      <x v="2"/>
    </i>
    <i r="2">
      <x v="2"/>
    </i>
    <i t="grand">
      <x/>
    </i>
  </rowItems>
  <colItems count="1">
    <i/>
  </colItems>
  <dataFields count="1">
    <dataField name="Cuenta de SOPORTE OPERACIÓN 5x2" fld="2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e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M32" dT="2026-03-23T18:58:14.29" personId="{73982D8E-A359-4CD3-8F4B-6CE3DCB31EFA}" id="{E75F20E7-D1BF-43D6-92AA-D610F2299B7D}">
    <text>Falta acreditar y licencia para operar</text>
  </threadedComment>
  <threadedComment ref="G40" dT="2026-03-23T18:48:07.52" personId="{73982D8E-A359-4CD3-8F4B-6CE3DCB31EFA}" id="{6D72AE4F-1A14-446B-8992-2D6C1BE38A94}">
    <text>Falta licencia y certificar</text>
  </threadedComment>
  <threadedComment ref="E47" dT="2026-04-01T11:55:13.14" personId="{73982D8E-A359-4CD3-8F4B-6CE3DCB31EFA}" id="{E464F1EB-951F-4AB1-9C71-69C3549D0EC9}">
    <text>LM</text>
  </threadedComment>
  <threadedComment ref="E60" dT="2026-03-23T19:15:32.93" personId="{73982D8E-A359-4CD3-8F4B-6CE3DCB31EFA}" id="{886B6643-CFD0-46B9-8F38-D4B7A4D9B39B}">
    <text>Falta certificar y licencia</text>
  </threadedComment>
  <threadedComment ref="J75" dT="2026-03-04T18:24:17.84" personId="{73982D8E-A359-4CD3-8F4B-6CE3DCB31EFA}" id="{70BF7156-DD76-45B6-B59E-245A4E31A558}">
    <text>IMM</text>
  </threadedComment>
  <threadedComment ref="G104" dT="2026-03-23T18:50:28.27" personId="{73982D8E-A359-4CD3-8F4B-6CE3DCB31EFA}" id="{1E1D4F05-6D4A-48E3-ABAB-7EC7B873898B}">
    <text>Falta licencia y acreditar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89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FC16B82-C9A3-43F1-BF8A-C54D142A3531}">
  <we:reference id="wa200009404" version="1.0.0.8" store="es-ES" storeType="OMEX"/>
  <we:alternateReferences>
    <we:reference id="wa200009404" version="1.0.0.8" store="wa200009404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ECA551-A1C5-422C-B0BC-4DC5F62C3E49}">
  <sheetPr codeName="Hoja1"/>
  <dimension ref="B2:G81"/>
  <sheetViews>
    <sheetView topLeftCell="A7" workbookViewId="0">
      <selection activeCell="C33" sqref="C33"/>
    </sheetView>
  </sheetViews>
  <sheetFormatPr baseColWidth="10" defaultRowHeight="14.4" x14ac:dyDescent="0.3"/>
  <cols>
    <col min="2" max="2" width="32.109375" customWidth="1"/>
    <col min="3" max="3" width="16.109375" bestFit="1" customWidth="1"/>
    <col min="6" max="6" width="4.44140625" customWidth="1"/>
  </cols>
  <sheetData>
    <row r="2" spans="2:7" x14ac:dyDescent="0.3">
      <c r="B2" t="s">
        <v>55</v>
      </c>
      <c r="C2" t="s">
        <v>78</v>
      </c>
      <c r="D2" t="s">
        <v>54</v>
      </c>
      <c r="E2" t="s">
        <v>53</v>
      </c>
      <c r="G2" t="s">
        <v>68</v>
      </c>
    </row>
    <row r="3" spans="2:7" x14ac:dyDescent="0.3">
      <c r="B3" t="s">
        <v>0</v>
      </c>
      <c r="C3">
        <v>4</v>
      </c>
      <c r="D3">
        <v>4</v>
      </c>
      <c r="E3">
        <f>C3+D3</f>
        <v>8</v>
      </c>
      <c r="G3">
        <f>E3</f>
        <v>8</v>
      </c>
    </row>
    <row r="4" spans="2:7" x14ac:dyDescent="0.3">
      <c r="B4" t="s">
        <v>1</v>
      </c>
      <c r="C4">
        <v>4</v>
      </c>
      <c r="D4">
        <v>4</v>
      </c>
      <c r="E4">
        <f t="shared" ref="E4:E44" si="0">C4+D4</f>
        <v>8</v>
      </c>
      <c r="G4">
        <f t="shared" ref="G4:G44" si="1">E4</f>
        <v>8</v>
      </c>
    </row>
    <row r="5" spans="2:7" x14ac:dyDescent="0.3">
      <c r="B5" t="s">
        <v>2</v>
      </c>
      <c r="C5">
        <v>4</v>
      </c>
      <c r="D5">
        <v>0</v>
      </c>
      <c r="E5">
        <f t="shared" si="0"/>
        <v>4</v>
      </c>
      <c r="G5">
        <f t="shared" si="1"/>
        <v>4</v>
      </c>
    </row>
    <row r="6" spans="2:7" ht="14.25" customHeight="1" x14ac:dyDescent="0.3">
      <c r="B6" t="s">
        <v>3</v>
      </c>
      <c r="C6">
        <v>0</v>
      </c>
      <c r="D6">
        <v>4</v>
      </c>
      <c r="E6">
        <f t="shared" si="0"/>
        <v>4</v>
      </c>
      <c r="G6">
        <f t="shared" si="1"/>
        <v>4</v>
      </c>
    </row>
    <row r="7" spans="2:7" x14ac:dyDescent="0.3">
      <c r="B7" s="4" t="s">
        <v>4</v>
      </c>
      <c r="C7" s="4">
        <f>6+5</f>
        <v>11</v>
      </c>
      <c r="D7" s="4">
        <v>6</v>
      </c>
      <c r="E7" s="4">
        <f t="shared" si="0"/>
        <v>17</v>
      </c>
      <c r="F7" s="4"/>
      <c r="G7" s="4">
        <f>8+6</f>
        <v>14</v>
      </c>
    </row>
    <row r="8" spans="2:7" x14ac:dyDescent="0.3">
      <c r="B8" s="4" t="s">
        <v>5</v>
      </c>
      <c r="C8" s="4">
        <v>4</v>
      </c>
      <c r="D8" s="4">
        <v>0</v>
      </c>
      <c r="E8" s="4">
        <f t="shared" si="0"/>
        <v>4</v>
      </c>
      <c r="F8" s="4"/>
      <c r="G8" s="4">
        <v>0</v>
      </c>
    </row>
    <row r="9" spans="2:7" x14ac:dyDescent="0.3">
      <c r="B9" t="s">
        <v>7</v>
      </c>
      <c r="C9">
        <v>0</v>
      </c>
      <c r="D9">
        <v>4</v>
      </c>
      <c r="E9">
        <f t="shared" si="0"/>
        <v>4</v>
      </c>
      <c r="G9">
        <f t="shared" si="1"/>
        <v>4</v>
      </c>
    </row>
    <row r="10" spans="2:7" x14ac:dyDescent="0.3">
      <c r="B10" t="s">
        <v>9</v>
      </c>
      <c r="C10">
        <v>12</v>
      </c>
      <c r="D10">
        <v>2</v>
      </c>
      <c r="E10">
        <f t="shared" si="0"/>
        <v>14</v>
      </c>
      <c r="G10">
        <f t="shared" si="1"/>
        <v>14</v>
      </c>
    </row>
    <row r="11" spans="2:7" x14ac:dyDescent="0.3">
      <c r="B11" t="s">
        <v>11</v>
      </c>
      <c r="C11">
        <v>0</v>
      </c>
      <c r="D11">
        <v>4</v>
      </c>
      <c r="E11">
        <f t="shared" si="0"/>
        <v>4</v>
      </c>
      <c r="G11">
        <f t="shared" si="1"/>
        <v>4</v>
      </c>
    </row>
    <row r="12" spans="2:7" x14ac:dyDescent="0.3">
      <c r="B12" t="s">
        <v>12</v>
      </c>
      <c r="C12">
        <v>0</v>
      </c>
      <c r="D12">
        <v>2</v>
      </c>
      <c r="E12">
        <f t="shared" si="0"/>
        <v>2</v>
      </c>
      <c r="G12">
        <f t="shared" si="1"/>
        <v>2</v>
      </c>
    </row>
    <row r="13" spans="2:7" x14ac:dyDescent="0.3">
      <c r="B13" t="s">
        <v>13</v>
      </c>
      <c r="C13">
        <v>0</v>
      </c>
      <c r="D13">
        <v>0</v>
      </c>
      <c r="E13">
        <f t="shared" si="0"/>
        <v>0</v>
      </c>
      <c r="G13">
        <f t="shared" si="1"/>
        <v>0</v>
      </c>
    </row>
    <row r="14" spans="2:7" x14ac:dyDescent="0.3">
      <c r="B14" t="s">
        <v>15</v>
      </c>
      <c r="C14">
        <v>2</v>
      </c>
      <c r="D14">
        <v>0</v>
      </c>
      <c r="E14">
        <f t="shared" si="0"/>
        <v>2</v>
      </c>
      <c r="G14">
        <f t="shared" si="1"/>
        <v>2</v>
      </c>
    </row>
    <row r="15" spans="2:7" x14ac:dyDescent="0.3">
      <c r="B15" t="s">
        <v>17</v>
      </c>
      <c r="C15">
        <v>4</v>
      </c>
      <c r="D15">
        <v>0</v>
      </c>
      <c r="E15">
        <f t="shared" si="0"/>
        <v>4</v>
      </c>
      <c r="G15">
        <f t="shared" si="1"/>
        <v>4</v>
      </c>
    </row>
    <row r="16" spans="2:7" x14ac:dyDescent="0.3">
      <c r="B16" t="s">
        <v>18</v>
      </c>
      <c r="C16">
        <v>2</v>
      </c>
      <c r="D16">
        <v>2</v>
      </c>
      <c r="E16">
        <f t="shared" si="0"/>
        <v>4</v>
      </c>
      <c r="G16">
        <f t="shared" si="1"/>
        <v>4</v>
      </c>
    </row>
    <row r="17" spans="2:7" x14ac:dyDescent="0.3">
      <c r="B17" t="s">
        <v>56</v>
      </c>
      <c r="C17">
        <v>0</v>
      </c>
      <c r="D17">
        <v>1</v>
      </c>
      <c r="E17">
        <f t="shared" si="0"/>
        <v>1</v>
      </c>
      <c r="G17">
        <f t="shared" si="1"/>
        <v>1</v>
      </c>
    </row>
    <row r="18" spans="2:7" x14ac:dyDescent="0.3">
      <c r="B18" t="s">
        <v>19</v>
      </c>
      <c r="C18">
        <v>4</v>
      </c>
      <c r="D18">
        <v>4</v>
      </c>
      <c r="E18">
        <f t="shared" si="0"/>
        <v>8</v>
      </c>
      <c r="G18">
        <f t="shared" si="1"/>
        <v>8</v>
      </c>
    </row>
    <row r="19" spans="2:7" x14ac:dyDescent="0.3">
      <c r="B19" t="s">
        <v>57</v>
      </c>
      <c r="C19">
        <v>0</v>
      </c>
      <c r="D19">
        <v>1</v>
      </c>
      <c r="E19">
        <f t="shared" si="0"/>
        <v>1</v>
      </c>
      <c r="G19">
        <f t="shared" si="1"/>
        <v>1</v>
      </c>
    </row>
    <row r="20" spans="2:7" x14ac:dyDescent="0.3">
      <c r="B20" t="s">
        <v>20</v>
      </c>
      <c r="C20">
        <v>14</v>
      </c>
      <c r="D20">
        <v>7</v>
      </c>
      <c r="E20">
        <f t="shared" si="0"/>
        <v>21</v>
      </c>
      <c r="G20">
        <f t="shared" si="1"/>
        <v>21</v>
      </c>
    </row>
    <row r="21" spans="2:7" x14ac:dyDescent="0.3">
      <c r="B21" t="s">
        <v>21</v>
      </c>
      <c r="C21">
        <v>8</v>
      </c>
      <c r="D21">
        <v>4</v>
      </c>
      <c r="E21">
        <f t="shared" si="0"/>
        <v>12</v>
      </c>
      <c r="G21">
        <f t="shared" si="1"/>
        <v>12</v>
      </c>
    </row>
    <row r="22" spans="2:7" x14ac:dyDescent="0.3">
      <c r="B22" t="s">
        <v>23</v>
      </c>
      <c r="C22">
        <v>4</v>
      </c>
      <c r="D22">
        <v>0</v>
      </c>
      <c r="E22">
        <f t="shared" si="0"/>
        <v>4</v>
      </c>
      <c r="G22">
        <f t="shared" si="1"/>
        <v>4</v>
      </c>
    </row>
    <row r="23" spans="2:7" x14ac:dyDescent="0.3">
      <c r="B23" t="s">
        <v>58</v>
      </c>
      <c r="C23">
        <v>0</v>
      </c>
      <c r="D23">
        <v>4</v>
      </c>
      <c r="E23">
        <f t="shared" si="0"/>
        <v>4</v>
      </c>
      <c r="G23">
        <f t="shared" si="1"/>
        <v>4</v>
      </c>
    </row>
    <row r="24" spans="2:7" x14ac:dyDescent="0.3">
      <c r="B24" t="s">
        <v>14</v>
      </c>
      <c r="C24">
        <v>8</v>
      </c>
      <c r="D24">
        <v>0</v>
      </c>
      <c r="E24">
        <f t="shared" si="0"/>
        <v>8</v>
      </c>
      <c r="G24">
        <f t="shared" si="1"/>
        <v>8</v>
      </c>
    </row>
    <row r="25" spans="2:7" s="1" customFormat="1" x14ac:dyDescent="0.3">
      <c r="B25" s="1" t="s">
        <v>22</v>
      </c>
      <c r="C25" s="1">
        <v>4</v>
      </c>
      <c r="D25" s="1">
        <v>4</v>
      </c>
      <c r="E25">
        <f t="shared" si="0"/>
        <v>8</v>
      </c>
      <c r="G25">
        <f t="shared" si="1"/>
        <v>8</v>
      </c>
    </row>
    <row r="26" spans="2:7" x14ac:dyDescent="0.3">
      <c r="B26" s="4" t="s">
        <v>24</v>
      </c>
      <c r="C26" s="4">
        <v>8</v>
      </c>
      <c r="D26" s="4">
        <v>0</v>
      </c>
      <c r="E26" s="4">
        <f t="shared" si="0"/>
        <v>8</v>
      </c>
      <c r="F26" s="4"/>
      <c r="G26" s="4">
        <v>0</v>
      </c>
    </row>
    <row r="27" spans="2:7" x14ac:dyDescent="0.3">
      <c r="B27" t="s">
        <v>25</v>
      </c>
      <c r="C27">
        <v>8</v>
      </c>
      <c r="D27">
        <v>0</v>
      </c>
      <c r="E27">
        <f t="shared" si="0"/>
        <v>8</v>
      </c>
      <c r="G27">
        <f t="shared" si="1"/>
        <v>8</v>
      </c>
    </row>
    <row r="28" spans="2:7" x14ac:dyDescent="0.3">
      <c r="B28" t="s">
        <v>59</v>
      </c>
      <c r="C28">
        <v>0</v>
      </c>
      <c r="D28">
        <v>8</v>
      </c>
      <c r="E28">
        <f t="shared" si="0"/>
        <v>8</v>
      </c>
      <c r="G28">
        <f t="shared" si="1"/>
        <v>8</v>
      </c>
    </row>
    <row r="29" spans="2:7" x14ac:dyDescent="0.3">
      <c r="B29" t="s">
        <v>60</v>
      </c>
      <c r="C29">
        <v>0</v>
      </c>
      <c r="D29">
        <v>4</v>
      </c>
      <c r="E29">
        <f t="shared" si="0"/>
        <v>4</v>
      </c>
      <c r="G29">
        <f t="shared" si="1"/>
        <v>4</v>
      </c>
    </row>
    <row r="30" spans="2:7" x14ac:dyDescent="0.3">
      <c r="B30" t="s">
        <v>26</v>
      </c>
      <c r="C30">
        <v>32</v>
      </c>
      <c r="D30">
        <v>16</v>
      </c>
      <c r="E30">
        <f t="shared" si="0"/>
        <v>48</v>
      </c>
      <c r="G30">
        <f t="shared" si="1"/>
        <v>48</v>
      </c>
    </row>
    <row r="31" spans="2:7" x14ac:dyDescent="0.3">
      <c r="B31" t="s">
        <v>27</v>
      </c>
      <c r="C31">
        <v>32</v>
      </c>
      <c r="D31">
        <v>16</v>
      </c>
      <c r="E31">
        <f t="shared" si="0"/>
        <v>48</v>
      </c>
      <c r="G31">
        <f t="shared" si="1"/>
        <v>48</v>
      </c>
    </row>
    <row r="32" spans="2:7" x14ac:dyDescent="0.3">
      <c r="B32" t="s">
        <v>28</v>
      </c>
      <c r="C32">
        <v>56</v>
      </c>
      <c r="D32">
        <v>32</v>
      </c>
      <c r="E32">
        <f t="shared" si="0"/>
        <v>88</v>
      </c>
      <c r="G32">
        <f t="shared" si="1"/>
        <v>88</v>
      </c>
    </row>
    <row r="33" spans="2:7" x14ac:dyDescent="0.3">
      <c r="B33" t="s">
        <v>29</v>
      </c>
      <c r="C33">
        <f>4*7</f>
        <v>28</v>
      </c>
      <c r="D33">
        <v>0</v>
      </c>
      <c r="E33">
        <f t="shared" si="0"/>
        <v>28</v>
      </c>
      <c r="G33">
        <f t="shared" si="1"/>
        <v>28</v>
      </c>
    </row>
    <row r="34" spans="2:7" x14ac:dyDescent="0.3">
      <c r="B34" t="s">
        <v>61</v>
      </c>
      <c r="C34">
        <v>0</v>
      </c>
      <c r="D34">
        <v>16</v>
      </c>
      <c r="E34">
        <f t="shared" si="0"/>
        <v>16</v>
      </c>
      <c r="G34">
        <f t="shared" si="1"/>
        <v>16</v>
      </c>
    </row>
    <row r="35" spans="2:7" x14ac:dyDescent="0.3">
      <c r="B35" t="s">
        <v>62</v>
      </c>
      <c r="C35">
        <v>0</v>
      </c>
      <c r="D35">
        <v>1</v>
      </c>
      <c r="E35">
        <f t="shared" si="0"/>
        <v>1</v>
      </c>
      <c r="G35">
        <f t="shared" si="1"/>
        <v>1</v>
      </c>
    </row>
    <row r="36" spans="2:7" x14ac:dyDescent="0.3">
      <c r="B36" t="s">
        <v>30</v>
      </c>
      <c r="C36">
        <v>4</v>
      </c>
      <c r="D36">
        <v>0</v>
      </c>
      <c r="E36">
        <f t="shared" si="0"/>
        <v>4</v>
      </c>
      <c r="G36">
        <f t="shared" si="1"/>
        <v>4</v>
      </c>
    </row>
    <row r="37" spans="2:7" x14ac:dyDescent="0.3">
      <c r="B37" t="s">
        <v>6</v>
      </c>
      <c r="C37">
        <v>12</v>
      </c>
      <c r="D37">
        <v>0</v>
      </c>
      <c r="E37">
        <f t="shared" si="0"/>
        <v>12</v>
      </c>
      <c r="G37">
        <f t="shared" si="1"/>
        <v>12</v>
      </c>
    </row>
    <row r="38" spans="2:7" x14ac:dyDescent="0.3">
      <c r="B38" t="s">
        <v>8</v>
      </c>
      <c r="C38">
        <v>4</v>
      </c>
      <c r="D38">
        <v>0</v>
      </c>
      <c r="E38">
        <f t="shared" si="0"/>
        <v>4</v>
      </c>
      <c r="G38">
        <f t="shared" si="1"/>
        <v>4</v>
      </c>
    </row>
    <row r="39" spans="2:7" x14ac:dyDescent="0.3">
      <c r="B39" t="s">
        <v>10</v>
      </c>
      <c r="C39">
        <v>4</v>
      </c>
      <c r="D39">
        <v>0</v>
      </c>
      <c r="E39">
        <f t="shared" si="0"/>
        <v>4</v>
      </c>
      <c r="G39">
        <f t="shared" si="1"/>
        <v>4</v>
      </c>
    </row>
    <row r="40" spans="2:7" x14ac:dyDescent="0.3">
      <c r="B40" t="s">
        <v>63</v>
      </c>
      <c r="C40">
        <v>0</v>
      </c>
      <c r="D40">
        <v>1</v>
      </c>
      <c r="E40">
        <f t="shared" si="0"/>
        <v>1</v>
      </c>
      <c r="G40">
        <f t="shared" si="1"/>
        <v>1</v>
      </c>
    </row>
    <row r="41" spans="2:7" x14ac:dyDescent="0.3">
      <c r="B41" t="s">
        <v>64</v>
      </c>
      <c r="C41">
        <v>0</v>
      </c>
      <c r="D41">
        <v>1</v>
      </c>
      <c r="E41">
        <f t="shared" si="0"/>
        <v>1</v>
      </c>
      <c r="G41">
        <f t="shared" si="1"/>
        <v>1</v>
      </c>
    </row>
    <row r="42" spans="2:7" x14ac:dyDescent="0.3">
      <c r="B42" t="s">
        <v>65</v>
      </c>
      <c r="C42">
        <v>0</v>
      </c>
      <c r="D42">
        <v>1</v>
      </c>
      <c r="E42">
        <f t="shared" si="0"/>
        <v>1</v>
      </c>
      <c r="G42">
        <f t="shared" si="1"/>
        <v>1</v>
      </c>
    </row>
    <row r="43" spans="2:7" x14ac:dyDescent="0.3">
      <c r="B43" t="s">
        <v>66</v>
      </c>
      <c r="C43">
        <v>0</v>
      </c>
      <c r="D43">
        <v>1</v>
      </c>
      <c r="E43">
        <f t="shared" si="0"/>
        <v>1</v>
      </c>
      <c r="G43">
        <f t="shared" si="1"/>
        <v>1</v>
      </c>
    </row>
    <row r="44" spans="2:7" x14ac:dyDescent="0.3">
      <c r="B44" t="s">
        <v>67</v>
      </c>
      <c r="C44">
        <v>0</v>
      </c>
      <c r="D44">
        <v>1</v>
      </c>
      <c r="E44">
        <f t="shared" si="0"/>
        <v>1</v>
      </c>
      <c r="G44">
        <f t="shared" si="1"/>
        <v>1</v>
      </c>
    </row>
    <row r="45" spans="2:7" x14ac:dyDescent="0.3">
      <c r="B45" s="3" t="s">
        <v>31</v>
      </c>
      <c r="C45" s="3">
        <f>SUM(C3:C44)</f>
        <v>277</v>
      </c>
      <c r="D45" s="3">
        <f>SUM(D3:D44)</f>
        <v>155</v>
      </c>
      <c r="E45" s="3">
        <f>SUM(E3:E44)</f>
        <v>432</v>
      </c>
      <c r="F45" s="3"/>
      <c r="G45" s="3">
        <f t="shared" ref="G45" si="2">SUM(G3:G44)</f>
        <v>417</v>
      </c>
    </row>
    <row r="47" spans="2:7" s="3" customFormat="1" x14ac:dyDescent="0.3"/>
    <row r="50" spans="2:7" x14ac:dyDescent="0.3">
      <c r="B50" t="s">
        <v>33</v>
      </c>
      <c r="C50">
        <v>1</v>
      </c>
      <c r="D50">
        <v>0</v>
      </c>
      <c r="E50">
        <f t="shared" ref="E50:E78" si="3">C50+D50</f>
        <v>1</v>
      </c>
      <c r="G50">
        <f>E50</f>
        <v>1</v>
      </c>
    </row>
    <row r="51" spans="2:7" x14ac:dyDescent="0.3">
      <c r="B51" t="s">
        <v>34</v>
      </c>
      <c r="C51">
        <v>2</v>
      </c>
      <c r="D51">
        <v>0</v>
      </c>
      <c r="E51">
        <f t="shared" si="3"/>
        <v>2</v>
      </c>
      <c r="G51">
        <f t="shared" ref="G51:G78" si="4">E51</f>
        <v>2</v>
      </c>
    </row>
    <row r="52" spans="2:7" x14ac:dyDescent="0.3">
      <c r="B52" t="s">
        <v>35</v>
      </c>
      <c r="C52">
        <v>1</v>
      </c>
      <c r="D52">
        <v>0</v>
      </c>
      <c r="E52">
        <f t="shared" si="3"/>
        <v>1</v>
      </c>
      <c r="G52">
        <f t="shared" si="4"/>
        <v>1</v>
      </c>
    </row>
    <row r="53" spans="2:7" x14ac:dyDescent="0.3">
      <c r="B53" t="s">
        <v>69</v>
      </c>
      <c r="C53">
        <v>1</v>
      </c>
      <c r="D53">
        <v>0</v>
      </c>
      <c r="E53">
        <f t="shared" si="3"/>
        <v>1</v>
      </c>
      <c r="G53">
        <f t="shared" si="4"/>
        <v>1</v>
      </c>
    </row>
    <row r="54" spans="2:7" x14ac:dyDescent="0.3">
      <c r="B54" t="s">
        <v>36</v>
      </c>
      <c r="C54">
        <v>1</v>
      </c>
      <c r="D54">
        <v>1</v>
      </c>
      <c r="E54">
        <f t="shared" si="3"/>
        <v>2</v>
      </c>
      <c r="G54">
        <f t="shared" si="4"/>
        <v>2</v>
      </c>
    </row>
    <row r="55" spans="2:7" x14ac:dyDescent="0.3">
      <c r="B55" t="s">
        <v>37</v>
      </c>
      <c r="C55">
        <v>1</v>
      </c>
      <c r="D55">
        <v>0</v>
      </c>
      <c r="E55">
        <f t="shared" si="3"/>
        <v>1</v>
      </c>
      <c r="G55">
        <f t="shared" si="4"/>
        <v>1</v>
      </c>
    </row>
    <row r="56" spans="2:7" x14ac:dyDescent="0.3">
      <c r="B56" t="s">
        <v>38</v>
      </c>
      <c r="C56">
        <v>1</v>
      </c>
      <c r="D56">
        <v>0</v>
      </c>
      <c r="E56">
        <f t="shared" si="3"/>
        <v>1</v>
      </c>
      <c r="G56">
        <f t="shared" si="4"/>
        <v>1</v>
      </c>
    </row>
    <row r="57" spans="2:7" x14ac:dyDescent="0.3">
      <c r="B57" t="s">
        <v>70</v>
      </c>
      <c r="C57">
        <v>0</v>
      </c>
      <c r="D57">
        <v>1</v>
      </c>
      <c r="E57">
        <f t="shared" si="3"/>
        <v>1</v>
      </c>
      <c r="G57">
        <f t="shared" si="4"/>
        <v>1</v>
      </c>
    </row>
    <row r="58" spans="2:7" x14ac:dyDescent="0.3">
      <c r="B58" t="s">
        <v>39</v>
      </c>
      <c r="C58">
        <v>1</v>
      </c>
      <c r="D58">
        <v>0</v>
      </c>
      <c r="E58">
        <f t="shared" si="3"/>
        <v>1</v>
      </c>
      <c r="G58">
        <f t="shared" si="4"/>
        <v>1</v>
      </c>
    </row>
    <row r="59" spans="2:7" x14ac:dyDescent="0.3">
      <c r="B59" t="s">
        <v>71</v>
      </c>
      <c r="C59">
        <v>0</v>
      </c>
      <c r="D59">
        <v>2</v>
      </c>
      <c r="E59">
        <f t="shared" si="3"/>
        <v>2</v>
      </c>
      <c r="G59">
        <f t="shared" si="4"/>
        <v>2</v>
      </c>
    </row>
    <row r="60" spans="2:7" x14ac:dyDescent="0.3">
      <c r="B60" t="s">
        <v>40</v>
      </c>
      <c r="C60">
        <v>1</v>
      </c>
      <c r="D60">
        <v>0</v>
      </c>
      <c r="E60">
        <f t="shared" si="3"/>
        <v>1</v>
      </c>
      <c r="G60">
        <f t="shared" si="4"/>
        <v>1</v>
      </c>
    </row>
    <row r="61" spans="2:7" x14ac:dyDescent="0.3">
      <c r="B61" t="s">
        <v>42</v>
      </c>
      <c r="C61">
        <v>1</v>
      </c>
      <c r="D61">
        <v>0</v>
      </c>
      <c r="E61">
        <f t="shared" si="3"/>
        <v>1</v>
      </c>
      <c r="G61">
        <f t="shared" si="4"/>
        <v>1</v>
      </c>
    </row>
    <row r="62" spans="2:7" x14ac:dyDescent="0.3">
      <c r="B62" t="s">
        <v>72</v>
      </c>
      <c r="C62">
        <v>0</v>
      </c>
      <c r="D62">
        <v>1</v>
      </c>
      <c r="E62">
        <f t="shared" si="3"/>
        <v>1</v>
      </c>
      <c r="G62">
        <f t="shared" si="4"/>
        <v>1</v>
      </c>
    </row>
    <row r="63" spans="2:7" x14ac:dyDescent="0.3">
      <c r="B63" t="s">
        <v>73</v>
      </c>
      <c r="C63">
        <v>0</v>
      </c>
      <c r="D63">
        <v>1</v>
      </c>
      <c r="E63">
        <f t="shared" si="3"/>
        <v>1</v>
      </c>
      <c r="G63">
        <f t="shared" si="4"/>
        <v>1</v>
      </c>
    </row>
    <row r="64" spans="2:7" x14ac:dyDescent="0.3">
      <c r="B64" t="s">
        <v>43</v>
      </c>
      <c r="C64">
        <v>1</v>
      </c>
      <c r="D64">
        <v>0</v>
      </c>
      <c r="E64">
        <f t="shared" si="3"/>
        <v>1</v>
      </c>
      <c r="G64">
        <f t="shared" si="4"/>
        <v>1</v>
      </c>
    </row>
    <row r="65" spans="2:7" x14ac:dyDescent="0.3">
      <c r="B65" t="s">
        <v>45</v>
      </c>
      <c r="C65">
        <v>1</v>
      </c>
      <c r="D65">
        <v>0</v>
      </c>
      <c r="E65">
        <f t="shared" si="3"/>
        <v>1</v>
      </c>
      <c r="G65">
        <f t="shared" si="4"/>
        <v>1</v>
      </c>
    </row>
    <row r="66" spans="2:7" x14ac:dyDescent="0.3">
      <c r="B66" t="s">
        <v>46</v>
      </c>
      <c r="C66">
        <v>2</v>
      </c>
      <c r="D66">
        <v>0</v>
      </c>
      <c r="E66">
        <f t="shared" si="3"/>
        <v>2</v>
      </c>
      <c r="G66">
        <f t="shared" si="4"/>
        <v>2</v>
      </c>
    </row>
    <row r="67" spans="2:7" x14ac:dyDescent="0.3">
      <c r="B67" t="s">
        <v>32</v>
      </c>
      <c r="C67">
        <v>1</v>
      </c>
      <c r="D67">
        <v>0</v>
      </c>
      <c r="E67">
        <f t="shared" si="3"/>
        <v>1</v>
      </c>
      <c r="G67">
        <f t="shared" si="4"/>
        <v>1</v>
      </c>
    </row>
    <row r="68" spans="2:7" x14ac:dyDescent="0.3">
      <c r="B68" t="s">
        <v>74</v>
      </c>
      <c r="C68">
        <v>0</v>
      </c>
      <c r="D68">
        <v>1</v>
      </c>
      <c r="E68">
        <f t="shared" si="3"/>
        <v>1</v>
      </c>
      <c r="G68">
        <f t="shared" si="4"/>
        <v>1</v>
      </c>
    </row>
    <row r="69" spans="2:7" x14ac:dyDescent="0.3">
      <c r="B69" t="s">
        <v>75</v>
      </c>
      <c r="C69">
        <v>0</v>
      </c>
      <c r="D69">
        <v>1</v>
      </c>
      <c r="E69">
        <f t="shared" si="3"/>
        <v>1</v>
      </c>
      <c r="G69">
        <f t="shared" si="4"/>
        <v>1</v>
      </c>
    </row>
    <row r="70" spans="2:7" x14ac:dyDescent="0.3">
      <c r="B70" t="s">
        <v>44</v>
      </c>
      <c r="C70">
        <v>1</v>
      </c>
      <c r="D70">
        <v>0</v>
      </c>
      <c r="E70">
        <f t="shared" si="3"/>
        <v>1</v>
      </c>
      <c r="G70">
        <f t="shared" si="4"/>
        <v>1</v>
      </c>
    </row>
    <row r="71" spans="2:7" x14ac:dyDescent="0.3">
      <c r="B71" t="s">
        <v>47</v>
      </c>
      <c r="C71">
        <v>2</v>
      </c>
      <c r="D71">
        <v>1</v>
      </c>
      <c r="E71">
        <f t="shared" si="3"/>
        <v>3</v>
      </c>
      <c r="G71">
        <f t="shared" si="4"/>
        <v>3</v>
      </c>
    </row>
    <row r="72" spans="2:7" x14ac:dyDescent="0.3">
      <c r="B72" t="s">
        <v>48</v>
      </c>
      <c r="C72">
        <v>2</v>
      </c>
      <c r="D72">
        <v>0</v>
      </c>
      <c r="E72">
        <f t="shared" si="3"/>
        <v>2</v>
      </c>
      <c r="G72">
        <f t="shared" si="4"/>
        <v>2</v>
      </c>
    </row>
    <row r="73" spans="2:7" x14ac:dyDescent="0.3">
      <c r="B73" t="s">
        <v>49</v>
      </c>
      <c r="C73">
        <v>1</v>
      </c>
      <c r="D73">
        <v>0</v>
      </c>
      <c r="E73">
        <f t="shared" si="3"/>
        <v>1</v>
      </c>
      <c r="G73">
        <f t="shared" si="4"/>
        <v>1</v>
      </c>
    </row>
    <row r="74" spans="2:7" x14ac:dyDescent="0.3">
      <c r="B74" t="s">
        <v>41</v>
      </c>
      <c r="C74">
        <v>1</v>
      </c>
      <c r="D74">
        <v>0</v>
      </c>
      <c r="E74">
        <f t="shared" si="3"/>
        <v>1</v>
      </c>
      <c r="G74">
        <f t="shared" si="4"/>
        <v>1</v>
      </c>
    </row>
    <row r="75" spans="2:7" x14ac:dyDescent="0.3">
      <c r="B75" t="s">
        <v>50</v>
      </c>
      <c r="C75">
        <v>1</v>
      </c>
      <c r="D75">
        <v>0</v>
      </c>
      <c r="E75">
        <f t="shared" si="3"/>
        <v>1</v>
      </c>
      <c r="G75">
        <f t="shared" si="4"/>
        <v>1</v>
      </c>
    </row>
    <row r="76" spans="2:7" x14ac:dyDescent="0.3">
      <c r="B76" t="s">
        <v>76</v>
      </c>
      <c r="C76">
        <v>1</v>
      </c>
      <c r="D76">
        <v>0</v>
      </c>
      <c r="E76">
        <f t="shared" si="3"/>
        <v>1</v>
      </c>
      <c r="G76">
        <f t="shared" si="4"/>
        <v>1</v>
      </c>
    </row>
    <row r="77" spans="2:7" x14ac:dyDescent="0.3">
      <c r="B77" t="s">
        <v>77</v>
      </c>
      <c r="C77">
        <v>0</v>
      </c>
      <c r="D77">
        <v>1</v>
      </c>
      <c r="E77">
        <f t="shared" si="3"/>
        <v>1</v>
      </c>
      <c r="G77">
        <f t="shared" si="4"/>
        <v>1</v>
      </c>
    </row>
    <row r="78" spans="2:7" x14ac:dyDescent="0.3">
      <c r="B78" t="s">
        <v>51</v>
      </c>
      <c r="C78">
        <v>0</v>
      </c>
      <c r="D78">
        <v>1</v>
      </c>
      <c r="E78">
        <f t="shared" si="3"/>
        <v>1</v>
      </c>
      <c r="G78">
        <f t="shared" si="4"/>
        <v>1</v>
      </c>
    </row>
    <row r="79" spans="2:7" s="3" customFormat="1" x14ac:dyDescent="0.3">
      <c r="B79" s="3" t="s">
        <v>52</v>
      </c>
      <c r="C79" s="3">
        <f>SUM(C50:C78)</f>
        <v>25</v>
      </c>
      <c r="D79" s="3">
        <f>SUM(D50:D78)</f>
        <v>11</v>
      </c>
      <c r="E79" s="3">
        <f>SUM(E50:E78)</f>
        <v>36</v>
      </c>
      <c r="G79" s="3">
        <f>SUM(G50:G78)</f>
        <v>36</v>
      </c>
    </row>
    <row r="81" spans="2:7" s="3" customFormat="1" x14ac:dyDescent="0.3">
      <c r="B81" s="3" t="s">
        <v>53</v>
      </c>
      <c r="C81" s="3">
        <f>C45+C79</f>
        <v>302</v>
      </c>
      <c r="D81" s="3">
        <f t="shared" ref="D81:G81" si="5">D45+D79</f>
        <v>166</v>
      </c>
      <c r="E81" s="3">
        <f t="shared" si="5"/>
        <v>468</v>
      </c>
      <c r="F81" s="3">
        <f t="shared" si="5"/>
        <v>0</v>
      </c>
      <c r="G81" s="3">
        <f t="shared" si="5"/>
        <v>453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25FA2-CB9B-4686-8638-DE1AB69D93EC}">
  <sheetPr codeName="Hoja2"/>
  <dimension ref="B2:W302"/>
  <sheetViews>
    <sheetView showGridLines="0" topLeftCell="B198" zoomScale="97" zoomScaleNormal="80" workbookViewId="0">
      <selection activeCell="E209" sqref="E209"/>
    </sheetView>
  </sheetViews>
  <sheetFormatPr baseColWidth="10" defaultRowHeight="14.4" x14ac:dyDescent="0.3"/>
  <cols>
    <col min="2" max="2" width="19.44140625" customWidth="1"/>
    <col min="3" max="3" width="45.44140625" customWidth="1"/>
    <col min="4" max="4" width="48.44140625" customWidth="1"/>
    <col min="5" max="5" width="4.33203125" customWidth="1"/>
    <col min="6" max="6" width="4" customWidth="1"/>
    <col min="7" max="7" width="35.109375" customWidth="1"/>
    <col min="8" max="8" width="4.33203125" customWidth="1"/>
    <col min="9" max="9" width="4" customWidth="1"/>
    <col min="10" max="10" width="48.6640625" style="1" customWidth="1"/>
    <col min="11" max="11" width="4.33203125" style="1" customWidth="1"/>
    <col min="12" max="12" width="4" style="1" customWidth="1"/>
    <col min="13" max="13" width="46.5546875" style="1" customWidth="1"/>
    <col min="14" max="14" width="4.33203125" style="1" customWidth="1"/>
    <col min="15" max="15" width="4" style="1" customWidth="1"/>
    <col min="16" max="16" width="5.5546875" style="8" customWidth="1"/>
    <col min="17" max="19" width="6" style="8" customWidth="1"/>
    <col min="20" max="20" width="11.109375" style="8" customWidth="1"/>
    <col min="22" max="22" width="47.5546875" customWidth="1"/>
    <col min="24" max="24" width="41.44140625" customWidth="1"/>
    <col min="26" max="26" width="31" customWidth="1"/>
  </cols>
  <sheetData>
    <row r="2" spans="2:23" x14ac:dyDescent="0.3">
      <c r="B2" s="6" t="s">
        <v>551</v>
      </c>
      <c r="C2" s="2" t="s">
        <v>55</v>
      </c>
      <c r="D2" s="2" t="s">
        <v>105</v>
      </c>
      <c r="E2" s="2" t="s">
        <v>558</v>
      </c>
      <c r="F2" s="2" t="s">
        <v>559</v>
      </c>
      <c r="G2" s="2" t="s">
        <v>106</v>
      </c>
      <c r="H2" s="2" t="s">
        <v>560</v>
      </c>
      <c r="I2" s="2" t="s">
        <v>561</v>
      </c>
      <c r="J2" s="5" t="s">
        <v>107</v>
      </c>
      <c r="K2" s="5" t="s">
        <v>562</v>
      </c>
      <c r="L2" s="5" t="s">
        <v>563</v>
      </c>
      <c r="M2" s="5" t="s">
        <v>108</v>
      </c>
      <c r="N2" s="5" t="s">
        <v>564</v>
      </c>
      <c r="O2" s="5" t="s">
        <v>565</v>
      </c>
      <c r="P2" s="41" t="s">
        <v>202</v>
      </c>
      <c r="Q2" s="8" t="s">
        <v>203</v>
      </c>
      <c r="R2" s="8" t="s">
        <v>684</v>
      </c>
      <c r="T2" s="8" t="s">
        <v>204</v>
      </c>
    </row>
    <row r="3" spans="2:23" s="3" customFormat="1" x14ac:dyDescent="0.3">
      <c r="B3" s="6"/>
      <c r="C3" s="6" t="s">
        <v>99</v>
      </c>
      <c r="D3" s="18"/>
      <c r="E3" s="19"/>
      <c r="F3" s="19"/>
      <c r="G3" s="19"/>
      <c r="H3" s="19"/>
      <c r="I3" s="19"/>
      <c r="J3" s="24"/>
      <c r="K3" s="24"/>
      <c r="L3" s="24"/>
      <c r="M3" s="24"/>
      <c r="N3" s="24"/>
      <c r="O3" s="28"/>
      <c r="P3" s="8"/>
      <c r="Q3" s="8"/>
      <c r="R3" s="8"/>
      <c r="S3" s="8"/>
      <c r="T3" s="9"/>
    </row>
    <row r="4" spans="2:23" x14ac:dyDescent="0.3">
      <c r="B4" s="2" t="s">
        <v>552</v>
      </c>
      <c r="C4" s="2" t="s">
        <v>101</v>
      </c>
      <c r="D4" s="2" t="s">
        <v>624</v>
      </c>
      <c r="E4" s="2" t="s">
        <v>200</v>
      </c>
      <c r="F4" s="2" t="s">
        <v>201</v>
      </c>
      <c r="G4" s="2" t="s">
        <v>623</v>
      </c>
      <c r="H4" s="2" t="s">
        <v>200</v>
      </c>
      <c r="I4" s="2" t="s">
        <v>201</v>
      </c>
      <c r="J4" s="5" t="s">
        <v>214</v>
      </c>
      <c r="K4" s="5" t="s">
        <v>200</v>
      </c>
      <c r="L4" s="5"/>
      <c r="M4" s="5" t="s">
        <v>215</v>
      </c>
      <c r="N4" s="5" t="s">
        <v>200</v>
      </c>
      <c r="O4" s="5"/>
      <c r="P4" s="8">
        <v>4</v>
      </c>
      <c r="T4" s="25">
        <f t="shared" ref="T4:T35" si="0">SUM(P4:Q4)</f>
        <v>4</v>
      </c>
    </row>
    <row r="5" spans="2:23" x14ac:dyDescent="0.3">
      <c r="B5" s="2" t="s">
        <v>552</v>
      </c>
      <c r="C5" s="2" t="s">
        <v>102</v>
      </c>
      <c r="D5" s="20" t="s">
        <v>309</v>
      </c>
      <c r="E5" s="2" t="s">
        <v>200</v>
      </c>
      <c r="F5" s="20"/>
      <c r="G5" s="20" t="s">
        <v>326</v>
      </c>
      <c r="H5" s="2" t="s">
        <v>200</v>
      </c>
      <c r="I5" s="20"/>
      <c r="J5" s="20" t="s">
        <v>625</v>
      </c>
      <c r="K5" s="5" t="s">
        <v>200</v>
      </c>
      <c r="L5" s="5" t="s">
        <v>201</v>
      </c>
      <c r="M5" s="20" t="s">
        <v>579</v>
      </c>
      <c r="N5" s="5" t="s">
        <v>200</v>
      </c>
      <c r="O5" s="17"/>
      <c r="Q5" s="8">
        <v>4</v>
      </c>
      <c r="R5" s="8">
        <v>4</v>
      </c>
      <c r="S5" s="8">
        <f>+COUNTIF(D5:O5,"A")+COUNTIF(D5:O5,"C")</f>
        <v>4</v>
      </c>
      <c r="T5" s="25">
        <f t="shared" si="0"/>
        <v>4</v>
      </c>
      <c r="V5" s="20"/>
      <c r="W5" t="s">
        <v>422</v>
      </c>
    </row>
    <row r="6" spans="2:23" x14ac:dyDescent="0.3">
      <c r="B6" s="2" t="s">
        <v>553</v>
      </c>
      <c r="C6" s="2" t="s">
        <v>103</v>
      </c>
      <c r="D6" s="2" t="s">
        <v>216</v>
      </c>
      <c r="E6" s="2" t="s">
        <v>200</v>
      </c>
      <c r="F6" s="2"/>
      <c r="G6" s="2" t="s">
        <v>217</v>
      </c>
      <c r="H6" s="2" t="s">
        <v>200</v>
      </c>
      <c r="I6" s="2"/>
      <c r="J6" s="5" t="s">
        <v>622</v>
      </c>
      <c r="K6" s="5" t="s">
        <v>200</v>
      </c>
      <c r="L6" s="5"/>
      <c r="M6" s="5" t="s">
        <v>421</v>
      </c>
      <c r="N6" s="5" t="s">
        <v>200</v>
      </c>
      <c r="O6" s="5"/>
      <c r="P6" s="8">
        <v>4</v>
      </c>
      <c r="T6" s="25">
        <f t="shared" si="0"/>
        <v>4</v>
      </c>
      <c r="V6" s="2"/>
      <c r="W6" t="s">
        <v>423</v>
      </c>
    </row>
    <row r="7" spans="2:23" x14ac:dyDescent="0.3">
      <c r="B7" s="2" t="s">
        <v>553</v>
      </c>
      <c r="C7" s="2" t="s">
        <v>104</v>
      </c>
      <c r="D7" s="20" t="s">
        <v>435</v>
      </c>
      <c r="E7" s="2" t="s">
        <v>200</v>
      </c>
      <c r="F7" s="20"/>
      <c r="G7" s="20" t="s">
        <v>674</v>
      </c>
      <c r="H7" s="20" t="s">
        <v>240</v>
      </c>
      <c r="I7" s="20"/>
      <c r="J7" s="17" t="s">
        <v>544</v>
      </c>
      <c r="K7" s="2" t="s">
        <v>200</v>
      </c>
      <c r="L7" s="17"/>
      <c r="M7" s="17" t="s">
        <v>602</v>
      </c>
      <c r="N7" s="17" t="s">
        <v>408</v>
      </c>
      <c r="O7" s="17"/>
      <c r="Q7" s="8">
        <v>4</v>
      </c>
      <c r="R7" s="8">
        <v>2</v>
      </c>
      <c r="S7" s="8">
        <f>+COUNTIF(D7:O7,"A")+COUNTIF(D7:O7,"C")</f>
        <v>3</v>
      </c>
      <c r="T7" s="25">
        <f t="shared" si="0"/>
        <v>4</v>
      </c>
    </row>
    <row r="8" spans="2:23" x14ac:dyDescent="0.3">
      <c r="B8" s="2" t="s">
        <v>554</v>
      </c>
      <c r="C8" s="2" t="s">
        <v>100</v>
      </c>
      <c r="D8" s="2" t="s">
        <v>360</v>
      </c>
      <c r="E8" s="2" t="s">
        <v>200</v>
      </c>
      <c r="F8" s="2"/>
      <c r="G8" s="2" t="s">
        <v>219</v>
      </c>
      <c r="H8" s="2" t="s">
        <v>200</v>
      </c>
      <c r="I8" s="2"/>
      <c r="J8" s="5" t="s">
        <v>220</v>
      </c>
      <c r="K8" s="5" t="s">
        <v>200</v>
      </c>
      <c r="L8" s="5"/>
      <c r="M8" s="5" t="s">
        <v>221</v>
      </c>
      <c r="N8" s="5" t="s">
        <v>200</v>
      </c>
      <c r="O8" s="5"/>
      <c r="P8" s="8">
        <v>4</v>
      </c>
      <c r="T8" s="25">
        <f t="shared" si="0"/>
        <v>4</v>
      </c>
      <c r="V8" s="40"/>
    </row>
    <row r="9" spans="2:23" s="3" customFormat="1" x14ac:dyDescent="0.3">
      <c r="B9" s="6"/>
      <c r="C9" s="6" t="s">
        <v>109</v>
      </c>
      <c r="D9" s="18"/>
      <c r="E9" s="19"/>
      <c r="F9" s="19"/>
      <c r="G9" s="19"/>
      <c r="H9" s="19"/>
      <c r="I9" s="19"/>
      <c r="J9" s="24"/>
      <c r="K9" s="24"/>
      <c r="L9" s="24"/>
      <c r="M9" s="24"/>
      <c r="N9" s="24"/>
      <c r="O9" s="28"/>
      <c r="P9" s="8"/>
      <c r="Q9" s="8"/>
      <c r="R9" s="8"/>
      <c r="S9" s="8"/>
      <c r="T9" s="25">
        <f t="shared" si="0"/>
        <v>0</v>
      </c>
      <c r="V9" s="40"/>
    </row>
    <row r="10" spans="2:23" x14ac:dyDescent="0.3">
      <c r="B10" s="2" t="s">
        <v>555</v>
      </c>
      <c r="C10" s="2" t="s">
        <v>110</v>
      </c>
      <c r="D10" s="2" t="s">
        <v>222</v>
      </c>
      <c r="E10" s="2" t="s">
        <v>200</v>
      </c>
      <c r="F10" s="2" t="s">
        <v>201</v>
      </c>
      <c r="G10" s="2" t="s">
        <v>228</v>
      </c>
      <c r="H10" s="2" t="s">
        <v>200</v>
      </c>
      <c r="I10" s="20"/>
      <c r="J10" s="5" t="s">
        <v>223</v>
      </c>
      <c r="K10" s="5" t="s">
        <v>200</v>
      </c>
      <c r="L10" s="5" t="s">
        <v>201</v>
      </c>
      <c r="M10" s="5" t="s">
        <v>226</v>
      </c>
      <c r="N10" s="5" t="s">
        <v>200</v>
      </c>
      <c r="O10" s="17"/>
      <c r="Q10" s="8">
        <v>4</v>
      </c>
      <c r="R10" s="8">
        <v>4</v>
      </c>
      <c r="S10" s="8">
        <f>+COUNTIF(D10:O10,"A")+COUNTIF(D10:O10,"C")</f>
        <v>4</v>
      </c>
      <c r="T10" s="25">
        <f t="shared" si="0"/>
        <v>4</v>
      </c>
      <c r="V10" s="40"/>
    </row>
    <row r="11" spans="2:23" x14ac:dyDescent="0.3">
      <c r="B11" s="2" t="s">
        <v>555</v>
      </c>
      <c r="C11" s="2" t="s">
        <v>111</v>
      </c>
      <c r="D11" s="2" t="s">
        <v>224</v>
      </c>
      <c r="E11" s="2" t="s">
        <v>200</v>
      </c>
      <c r="F11" s="2"/>
      <c r="G11" s="2" t="s">
        <v>225</v>
      </c>
      <c r="H11" s="2" t="s">
        <v>200</v>
      </c>
      <c r="I11" s="2"/>
      <c r="J11" s="5" t="s">
        <v>587</v>
      </c>
      <c r="K11" s="5" t="s">
        <v>200</v>
      </c>
      <c r="L11" s="5"/>
      <c r="M11" s="5"/>
      <c r="N11" s="5" t="s">
        <v>671</v>
      </c>
      <c r="O11" s="5"/>
      <c r="P11" s="8">
        <v>4</v>
      </c>
      <c r="T11" s="25">
        <f t="shared" si="0"/>
        <v>4</v>
      </c>
      <c r="V11" s="40"/>
    </row>
    <row r="12" spans="2:23" x14ac:dyDescent="0.3">
      <c r="B12" s="2" t="s">
        <v>555</v>
      </c>
      <c r="C12" s="2" t="s">
        <v>112</v>
      </c>
      <c r="D12" s="2" t="s">
        <v>227</v>
      </c>
      <c r="E12" s="2" t="s">
        <v>200</v>
      </c>
      <c r="F12" s="2"/>
      <c r="G12" s="49" t="s">
        <v>682</v>
      </c>
      <c r="H12" s="2" t="s">
        <v>200</v>
      </c>
      <c r="I12" s="2"/>
      <c r="J12" s="5" t="s">
        <v>229</v>
      </c>
      <c r="K12" s="5" t="s">
        <v>200</v>
      </c>
      <c r="L12" s="5"/>
      <c r="M12" s="5" t="s">
        <v>230</v>
      </c>
      <c r="N12" s="5" t="s">
        <v>200</v>
      </c>
      <c r="O12" s="5"/>
      <c r="P12" s="8">
        <v>4</v>
      </c>
      <c r="T12" s="25">
        <f t="shared" si="0"/>
        <v>4</v>
      </c>
      <c r="V12" s="49"/>
    </row>
    <row r="13" spans="2:23" x14ac:dyDescent="0.3">
      <c r="B13" s="2" t="s">
        <v>555</v>
      </c>
      <c r="C13" s="2" t="s">
        <v>113</v>
      </c>
      <c r="D13" s="20" t="s">
        <v>536</v>
      </c>
      <c r="E13" s="2" t="s">
        <v>200</v>
      </c>
      <c r="F13" s="20"/>
      <c r="G13" s="20"/>
      <c r="H13" s="2" t="s">
        <v>234</v>
      </c>
      <c r="I13" s="20"/>
      <c r="J13" s="17" t="s">
        <v>523</v>
      </c>
      <c r="K13" s="2" t="s">
        <v>200</v>
      </c>
      <c r="L13" s="17"/>
      <c r="M13" s="17" t="s">
        <v>617</v>
      </c>
      <c r="N13" s="17" t="s">
        <v>240</v>
      </c>
      <c r="O13" s="17"/>
      <c r="Q13" s="8">
        <v>4</v>
      </c>
      <c r="R13" s="8">
        <v>2</v>
      </c>
      <c r="S13" s="8">
        <f t="shared" ref="S13:S15" si="1">+COUNTIF(D13:O13,"A")+COUNTIF(D13:O13,"C")</f>
        <v>2</v>
      </c>
      <c r="T13" s="25">
        <f t="shared" si="0"/>
        <v>4</v>
      </c>
      <c r="V13" s="49"/>
    </row>
    <row r="14" spans="2:23" x14ac:dyDescent="0.3">
      <c r="B14" s="5" t="s">
        <v>555</v>
      </c>
      <c r="C14" s="5" t="s">
        <v>114</v>
      </c>
      <c r="D14" s="2" t="s">
        <v>232</v>
      </c>
      <c r="E14" s="2" t="s">
        <v>200</v>
      </c>
      <c r="F14" s="2"/>
      <c r="G14" s="20" t="s">
        <v>618</v>
      </c>
      <c r="H14" s="2" t="s">
        <v>408</v>
      </c>
      <c r="I14" s="20"/>
      <c r="J14" s="5" t="s">
        <v>231</v>
      </c>
      <c r="K14" s="5" t="s">
        <v>200</v>
      </c>
      <c r="L14" s="5"/>
      <c r="M14" s="17" t="s">
        <v>524</v>
      </c>
      <c r="N14" s="2" t="s">
        <v>200</v>
      </c>
      <c r="O14" s="17"/>
      <c r="P14" s="8">
        <v>2</v>
      </c>
      <c r="Q14" s="8">
        <v>2</v>
      </c>
      <c r="R14" s="8">
        <v>2</v>
      </c>
      <c r="S14" s="8">
        <f t="shared" si="1"/>
        <v>4</v>
      </c>
      <c r="T14" s="25">
        <f t="shared" si="0"/>
        <v>4</v>
      </c>
      <c r="V14" s="49"/>
    </row>
    <row r="15" spans="2:23" x14ac:dyDescent="0.3">
      <c r="B15" s="2" t="s">
        <v>556</v>
      </c>
      <c r="C15" s="2" t="s">
        <v>115</v>
      </c>
      <c r="D15" s="20" t="s">
        <v>505</v>
      </c>
      <c r="E15" s="2" t="s">
        <v>200</v>
      </c>
      <c r="F15" s="20"/>
      <c r="G15" s="20" t="s">
        <v>506</v>
      </c>
      <c r="H15" s="2" t="s">
        <v>200</v>
      </c>
      <c r="I15" s="20"/>
      <c r="J15" s="17" t="s">
        <v>233</v>
      </c>
      <c r="K15" s="2" t="s">
        <v>200</v>
      </c>
      <c r="L15" s="17"/>
      <c r="M15" t="s">
        <v>640</v>
      </c>
      <c r="N15" s="2" t="s">
        <v>200</v>
      </c>
      <c r="O15" s="17"/>
      <c r="Q15" s="8">
        <v>4</v>
      </c>
      <c r="R15" s="8">
        <v>4</v>
      </c>
      <c r="S15" s="8">
        <f t="shared" si="1"/>
        <v>4</v>
      </c>
      <c r="T15" s="25">
        <f t="shared" si="0"/>
        <v>4</v>
      </c>
      <c r="V15" s="49"/>
    </row>
    <row r="16" spans="2:23" x14ac:dyDescent="0.3">
      <c r="B16" s="2" t="s">
        <v>556</v>
      </c>
      <c r="C16" s="2" t="s">
        <v>116</v>
      </c>
      <c r="D16" s="2" t="s">
        <v>586</v>
      </c>
      <c r="E16" s="2" t="s">
        <v>200</v>
      </c>
      <c r="F16" s="2"/>
      <c r="G16" s="2" t="s">
        <v>235</v>
      </c>
      <c r="H16" s="2" t="s">
        <v>200</v>
      </c>
      <c r="I16" s="2"/>
      <c r="J16" s="5" t="s">
        <v>236</v>
      </c>
      <c r="K16" s="5" t="s">
        <v>200</v>
      </c>
      <c r="L16" s="5"/>
      <c r="M16" s="5" t="s">
        <v>237</v>
      </c>
      <c r="N16" s="5" t="s">
        <v>200</v>
      </c>
      <c r="O16" s="5"/>
      <c r="P16" s="8">
        <v>4</v>
      </c>
      <c r="T16" s="25">
        <f t="shared" si="0"/>
        <v>4</v>
      </c>
      <c r="V16" s="49"/>
    </row>
    <row r="17" spans="2:22" x14ac:dyDescent="0.3">
      <c r="B17" s="2" t="s">
        <v>556</v>
      </c>
      <c r="C17" s="2" t="s">
        <v>117</v>
      </c>
      <c r="D17" s="2" t="s">
        <v>414</v>
      </c>
      <c r="E17" s="2" t="s">
        <v>200</v>
      </c>
      <c r="F17" s="2"/>
      <c r="G17" s="2" t="s">
        <v>417</v>
      </c>
      <c r="H17" s="2" t="s">
        <v>200</v>
      </c>
      <c r="I17" s="2"/>
      <c r="J17" s="5" t="s">
        <v>550</v>
      </c>
      <c r="K17" s="5" t="s">
        <v>200</v>
      </c>
      <c r="L17" s="5"/>
      <c r="M17" s="5" t="s">
        <v>413</v>
      </c>
      <c r="N17" s="5" t="s">
        <v>200</v>
      </c>
      <c r="O17" s="5"/>
      <c r="P17" s="8">
        <v>4</v>
      </c>
      <c r="T17" s="25">
        <f t="shared" si="0"/>
        <v>4</v>
      </c>
      <c r="V17" s="49"/>
    </row>
    <row r="18" spans="2:22" x14ac:dyDescent="0.3">
      <c r="B18" s="2" t="s">
        <v>556</v>
      </c>
      <c r="C18" s="2" t="s">
        <v>118</v>
      </c>
      <c r="D18" s="2" t="s">
        <v>415</v>
      </c>
      <c r="E18" s="2" t="s">
        <v>200</v>
      </c>
      <c r="F18" s="2"/>
      <c r="G18" s="2" t="s">
        <v>416</v>
      </c>
      <c r="H18" s="2" t="s">
        <v>200</v>
      </c>
      <c r="I18" s="2"/>
      <c r="J18" s="5" t="s">
        <v>418</v>
      </c>
      <c r="K18" s="5" t="s">
        <v>200</v>
      </c>
      <c r="L18" s="5"/>
      <c r="M18" s="5" t="s">
        <v>419</v>
      </c>
      <c r="N18" s="5" t="s">
        <v>200</v>
      </c>
      <c r="O18" s="5"/>
      <c r="P18" s="8">
        <v>4</v>
      </c>
      <c r="T18" s="25">
        <f t="shared" si="0"/>
        <v>4</v>
      </c>
      <c r="V18" s="49"/>
    </row>
    <row r="19" spans="2:22" x14ac:dyDescent="0.3">
      <c r="B19" s="2" t="s">
        <v>556</v>
      </c>
      <c r="C19" s="2" t="s">
        <v>119</v>
      </c>
      <c r="D19" s="2" t="s">
        <v>238</v>
      </c>
      <c r="E19" s="2" t="s">
        <v>200</v>
      </c>
      <c r="F19" s="2"/>
      <c r="G19" s="2" t="s">
        <v>239</v>
      </c>
      <c r="H19" s="2" t="s">
        <v>200</v>
      </c>
      <c r="I19" s="2"/>
      <c r="J19" s="5" t="s">
        <v>444</v>
      </c>
      <c r="K19" s="5" t="s">
        <v>200</v>
      </c>
      <c r="L19" s="5"/>
      <c r="M19" s="5" t="s">
        <v>420</v>
      </c>
      <c r="N19" s="5" t="s">
        <v>200</v>
      </c>
      <c r="O19" s="5"/>
      <c r="P19" s="8">
        <v>4</v>
      </c>
      <c r="T19" s="25">
        <f t="shared" si="0"/>
        <v>4</v>
      </c>
      <c r="V19" s="49"/>
    </row>
    <row r="20" spans="2:22" x14ac:dyDescent="0.3">
      <c r="B20" s="2" t="s">
        <v>552</v>
      </c>
      <c r="C20" s="2" t="s">
        <v>120</v>
      </c>
      <c r="D20" s="2" t="s">
        <v>628</v>
      </c>
      <c r="E20" s="2" t="s">
        <v>200</v>
      </c>
      <c r="F20" s="2"/>
      <c r="G20" s="2" t="s">
        <v>636</v>
      </c>
      <c r="H20" s="2" t="s">
        <v>200</v>
      </c>
      <c r="I20" s="2"/>
      <c r="J20" s="5" t="s">
        <v>639</v>
      </c>
      <c r="K20" s="5" t="s">
        <v>200</v>
      </c>
      <c r="L20" s="5"/>
      <c r="M20" s="5" t="s">
        <v>495</v>
      </c>
      <c r="N20" s="5" t="s">
        <v>200</v>
      </c>
      <c r="O20" s="5"/>
      <c r="P20" s="8">
        <v>4</v>
      </c>
      <c r="T20" s="25">
        <f t="shared" si="0"/>
        <v>4</v>
      </c>
      <c r="V20" s="49"/>
    </row>
    <row r="21" spans="2:22" x14ac:dyDescent="0.3">
      <c r="B21" s="2" t="s">
        <v>552</v>
      </c>
      <c r="C21" s="2" t="s">
        <v>121</v>
      </c>
      <c r="D21" s="5" t="s">
        <v>433</v>
      </c>
      <c r="E21" s="5" t="s">
        <v>200</v>
      </c>
      <c r="F21" s="2"/>
      <c r="G21" s="2" t="s">
        <v>243</v>
      </c>
      <c r="H21" s="2" t="s">
        <v>200</v>
      </c>
      <c r="I21" s="2" t="s">
        <v>201</v>
      </c>
      <c r="J21" s="5" t="s">
        <v>438</v>
      </c>
      <c r="K21" s="5" t="s">
        <v>200</v>
      </c>
      <c r="L21" s="5"/>
      <c r="M21" s="5" t="s">
        <v>244</v>
      </c>
      <c r="N21" s="5" t="s">
        <v>200</v>
      </c>
      <c r="O21" s="5" t="s">
        <v>201</v>
      </c>
      <c r="P21" s="8">
        <v>4</v>
      </c>
      <c r="T21" s="25">
        <f t="shared" si="0"/>
        <v>4</v>
      </c>
      <c r="V21" s="49"/>
    </row>
    <row r="22" spans="2:22" x14ac:dyDescent="0.3">
      <c r="B22" s="2" t="s">
        <v>552</v>
      </c>
      <c r="C22" s="2" t="s">
        <v>122</v>
      </c>
      <c r="D22" s="2" t="s">
        <v>245</v>
      </c>
      <c r="E22" s="2" t="s">
        <v>200</v>
      </c>
      <c r="F22" s="2" t="s">
        <v>201</v>
      </c>
      <c r="G22" s="2" t="s">
        <v>647</v>
      </c>
      <c r="H22" s="2" t="s">
        <v>240</v>
      </c>
      <c r="I22" s="2"/>
      <c r="J22" s="5" t="s">
        <v>246</v>
      </c>
      <c r="K22" s="5" t="s">
        <v>200</v>
      </c>
      <c r="L22" s="5"/>
      <c r="M22" s="5" t="s">
        <v>247</v>
      </c>
      <c r="N22" s="5" t="s">
        <v>200</v>
      </c>
      <c r="O22" s="5" t="s">
        <v>201</v>
      </c>
      <c r="P22" s="8">
        <v>4</v>
      </c>
      <c r="T22" s="25">
        <f t="shared" si="0"/>
        <v>4</v>
      </c>
      <c r="V22" s="49"/>
    </row>
    <row r="23" spans="2:22" x14ac:dyDescent="0.3">
      <c r="B23" s="2" t="s">
        <v>552</v>
      </c>
      <c r="C23" s="2" t="s">
        <v>123</v>
      </c>
      <c r="D23" s="2" t="s">
        <v>248</v>
      </c>
      <c r="E23" s="2" t="s">
        <v>200</v>
      </c>
      <c r="F23" s="2" t="s">
        <v>201</v>
      </c>
      <c r="G23" s="2" t="s">
        <v>289</v>
      </c>
      <c r="H23" s="2" t="s">
        <v>200</v>
      </c>
      <c r="I23" s="2"/>
      <c r="J23" s="5" t="s">
        <v>241</v>
      </c>
      <c r="K23" s="5" t="s">
        <v>200</v>
      </c>
      <c r="L23" s="5"/>
      <c r="M23" s="5" t="s">
        <v>242</v>
      </c>
      <c r="N23" s="5" t="s">
        <v>200</v>
      </c>
      <c r="O23" s="5"/>
      <c r="P23" s="8">
        <v>3</v>
      </c>
      <c r="Q23" s="8">
        <v>1</v>
      </c>
      <c r="R23" s="8">
        <v>1</v>
      </c>
      <c r="S23" s="8">
        <f>+COUNTIF(D23:O23,"A")+COUNTIF(D23:O23,"C")</f>
        <v>4</v>
      </c>
      <c r="T23" s="25">
        <f t="shared" si="0"/>
        <v>4</v>
      </c>
      <c r="V23" s="49"/>
    </row>
    <row r="24" spans="2:22" s="3" customFormat="1" ht="13.5" customHeight="1" x14ac:dyDescent="0.3">
      <c r="B24" s="6"/>
      <c r="C24" s="6" t="s">
        <v>124</v>
      </c>
      <c r="D24" s="18"/>
      <c r="E24" s="19"/>
      <c r="F24" s="19"/>
      <c r="G24" s="19"/>
      <c r="H24" s="19"/>
      <c r="I24" s="19"/>
      <c r="J24" s="24"/>
      <c r="K24" s="24"/>
      <c r="L24" s="24"/>
      <c r="M24" s="24"/>
      <c r="N24" s="24"/>
      <c r="O24" s="28"/>
      <c r="P24" s="8"/>
      <c r="Q24" s="8"/>
      <c r="R24" s="8"/>
      <c r="S24" s="8"/>
      <c r="T24" s="25">
        <f t="shared" si="0"/>
        <v>0</v>
      </c>
      <c r="V24" s="49"/>
    </row>
    <row r="25" spans="2:22" x14ac:dyDescent="0.3">
      <c r="B25" s="2" t="s">
        <v>557</v>
      </c>
      <c r="C25" s="2" t="s">
        <v>125</v>
      </c>
      <c r="D25" s="2" t="s">
        <v>249</v>
      </c>
      <c r="E25" s="2" t="s">
        <v>200</v>
      </c>
      <c r="F25" s="2"/>
      <c r="G25" s="2" t="s">
        <v>250</v>
      </c>
      <c r="H25" s="2" t="s">
        <v>200</v>
      </c>
      <c r="I25" s="2" t="s">
        <v>201</v>
      </c>
      <c r="J25" s="5" t="s">
        <v>251</v>
      </c>
      <c r="K25" s="5" t="s">
        <v>200</v>
      </c>
      <c r="L25" s="5" t="s">
        <v>201</v>
      </c>
      <c r="M25" s="5" t="s">
        <v>252</v>
      </c>
      <c r="N25" s="5" t="s">
        <v>200</v>
      </c>
      <c r="O25" s="5"/>
      <c r="P25" s="8">
        <v>4</v>
      </c>
      <c r="T25" s="25">
        <f t="shared" si="0"/>
        <v>4</v>
      </c>
      <c r="V25" s="49"/>
    </row>
    <row r="26" spans="2:22" x14ac:dyDescent="0.3">
      <c r="B26" s="2" t="s">
        <v>557</v>
      </c>
      <c r="C26" s="2" t="s">
        <v>126</v>
      </c>
      <c r="D26" s="2" t="s">
        <v>253</v>
      </c>
      <c r="E26" s="2" t="s">
        <v>200</v>
      </c>
      <c r="F26" s="2" t="s">
        <v>201</v>
      </c>
      <c r="G26" s="2" t="s">
        <v>254</v>
      </c>
      <c r="H26" s="2" t="s">
        <v>200</v>
      </c>
      <c r="I26" s="2" t="s">
        <v>201</v>
      </c>
      <c r="J26" s="5" t="s">
        <v>255</v>
      </c>
      <c r="K26" s="5" t="s">
        <v>200</v>
      </c>
      <c r="L26" s="5" t="s">
        <v>201</v>
      </c>
      <c r="M26" s="5" t="s">
        <v>256</v>
      </c>
      <c r="N26" s="5" t="s">
        <v>200</v>
      </c>
      <c r="O26" s="5" t="s">
        <v>201</v>
      </c>
      <c r="P26" s="8">
        <v>4</v>
      </c>
      <c r="T26" s="25">
        <f t="shared" si="0"/>
        <v>4</v>
      </c>
      <c r="V26" s="49"/>
    </row>
    <row r="27" spans="2:22" x14ac:dyDescent="0.3">
      <c r="B27" s="2" t="s">
        <v>557</v>
      </c>
      <c r="C27" s="2" t="s">
        <v>132</v>
      </c>
      <c r="D27" s="2" t="s">
        <v>389</v>
      </c>
      <c r="E27" s="2" t="s">
        <v>200</v>
      </c>
      <c r="F27" s="2" t="s">
        <v>201</v>
      </c>
      <c r="G27" s="20" t="s">
        <v>468</v>
      </c>
      <c r="H27" s="20" t="s">
        <v>408</v>
      </c>
      <c r="I27" s="20"/>
      <c r="J27" s="17" t="s">
        <v>539</v>
      </c>
      <c r="K27" s="17" t="s">
        <v>408</v>
      </c>
      <c r="L27" s="17"/>
      <c r="M27" s="17" t="s">
        <v>540</v>
      </c>
      <c r="N27" s="17" t="s">
        <v>408</v>
      </c>
      <c r="O27" s="17"/>
      <c r="Q27" s="8">
        <v>4</v>
      </c>
      <c r="R27" s="8">
        <v>1</v>
      </c>
      <c r="S27" s="8">
        <f>+COUNTIF(D27:O27,"A")+COUNTIF(D27:O27,"C")</f>
        <v>4</v>
      </c>
      <c r="T27" s="25">
        <f t="shared" si="0"/>
        <v>4</v>
      </c>
      <c r="V27" s="49"/>
    </row>
    <row r="28" spans="2:22" x14ac:dyDescent="0.3">
      <c r="B28" s="2" t="s">
        <v>557</v>
      </c>
      <c r="C28" s="2" t="s">
        <v>23</v>
      </c>
      <c r="D28" s="2" t="s">
        <v>257</v>
      </c>
      <c r="E28" s="2" t="s">
        <v>200</v>
      </c>
      <c r="F28" s="2" t="s">
        <v>201</v>
      </c>
      <c r="G28" s="2" t="s">
        <v>258</v>
      </c>
      <c r="H28" s="2" t="s">
        <v>200</v>
      </c>
      <c r="I28" s="2" t="s">
        <v>201</v>
      </c>
      <c r="J28" s="5" t="s">
        <v>259</v>
      </c>
      <c r="K28" s="5" t="s">
        <v>200</v>
      </c>
      <c r="L28" s="5" t="s">
        <v>201</v>
      </c>
      <c r="M28" s="5" t="s">
        <v>260</v>
      </c>
      <c r="N28" s="5" t="s">
        <v>200</v>
      </c>
      <c r="O28" s="5" t="s">
        <v>201</v>
      </c>
      <c r="P28" s="8">
        <v>4</v>
      </c>
      <c r="T28" s="25">
        <f t="shared" si="0"/>
        <v>4</v>
      </c>
      <c r="V28" s="49"/>
    </row>
    <row r="29" spans="2:22" x14ac:dyDescent="0.3">
      <c r="B29" s="2" t="s">
        <v>557</v>
      </c>
      <c r="C29" s="2" t="s">
        <v>131</v>
      </c>
      <c r="D29" s="20" t="s">
        <v>526</v>
      </c>
      <c r="E29" s="2" t="s">
        <v>200</v>
      </c>
      <c r="F29" s="20"/>
      <c r="G29" s="20" t="s">
        <v>535</v>
      </c>
      <c r="H29" s="2" t="s">
        <v>200</v>
      </c>
      <c r="I29" s="20"/>
      <c r="J29" s="17" t="s">
        <v>527</v>
      </c>
      <c r="K29" s="2" t="s">
        <v>200</v>
      </c>
      <c r="L29" s="17"/>
      <c r="M29" s="17" t="s">
        <v>661</v>
      </c>
      <c r="N29" s="17" t="s">
        <v>240</v>
      </c>
      <c r="O29" s="17"/>
      <c r="Q29" s="8">
        <v>4</v>
      </c>
      <c r="R29" s="8">
        <v>3</v>
      </c>
      <c r="S29" s="8">
        <f>+COUNTIF(D29:O29,"A")+COUNTIF(D29:O29,"C")</f>
        <v>3</v>
      </c>
      <c r="T29" s="25">
        <f t="shared" si="0"/>
        <v>4</v>
      </c>
      <c r="V29" s="49"/>
    </row>
    <row r="30" spans="2:22" x14ac:dyDescent="0.3">
      <c r="B30" s="2" t="s">
        <v>557</v>
      </c>
      <c r="C30" s="2" t="s">
        <v>127</v>
      </c>
      <c r="D30" s="2" t="s">
        <v>261</v>
      </c>
      <c r="E30" s="2" t="s">
        <v>200</v>
      </c>
      <c r="F30" s="2" t="s">
        <v>201</v>
      </c>
      <c r="G30" s="2" t="s">
        <v>262</v>
      </c>
      <c r="H30" s="2" t="s">
        <v>200</v>
      </c>
      <c r="I30" s="2" t="s">
        <v>201</v>
      </c>
      <c r="J30" s="5" t="s">
        <v>263</v>
      </c>
      <c r="K30" s="5" t="s">
        <v>200</v>
      </c>
      <c r="L30" s="5"/>
      <c r="M30" s="5"/>
      <c r="N30" s="5" t="s">
        <v>234</v>
      </c>
      <c r="O30" s="5"/>
      <c r="P30" s="8">
        <v>4</v>
      </c>
      <c r="T30" s="25">
        <f t="shared" si="0"/>
        <v>4</v>
      </c>
      <c r="V30" s="49"/>
    </row>
    <row r="31" spans="2:22" x14ac:dyDescent="0.3">
      <c r="B31" s="2" t="s">
        <v>557</v>
      </c>
      <c r="C31" s="2" t="s">
        <v>128</v>
      </c>
      <c r="D31" s="2" t="s">
        <v>457</v>
      </c>
      <c r="E31" s="2" t="s">
        <v>200</v>
      </c>
      <c r="F31" s="2" t="s">
        <v>201</v>
      </c>
      <c r="G31" s="2" t="s">
        <v>264</v>
      </c>
      <c r="H31" s="2" t="s">
        <v>200</v>
      </c>
      <c r="I31" s="2" t="s">
        <v>201</v>
      </c>
      <c r="J31" s="5" t="s">
        <v>265</v>
      </c>
      <c r="K31" s="5" t="s">
        <v>200</v>
      </c>
      <c r="L31" s="5" t="s">
        <v>201</v>
      </c>
      <c r="M31" s="5" t="s">
        <v>266</v>
      </c>
      <c r="N31" s="5" t="s">
        <v>200</v>
      </c>
      <c r="O31" s="5" t="s">
        <v>201</v>
      </c>
      <c r="P31" s="8">
        <v>4</v>
      </c>
      <c r="T31" s="25">
        <f t="shared" si="0"/>
        <v>4</v>
      </c>
      <c r="V31" s="49"/>
    </row>
    <row r="32" spans="2:22" x14ac:dyDescent="0.3">
      <c r="B32" s="2" t="s">
        <v>557</v>
      </c>
      <c r="C32" s="2" t="s">
        <v>129</v>
      </c>
      <c r="D32" s="2" t="s">
        <v>267</v>
      </c>
      <c r="E32" s="2" t="s">
        <v>200</v>
      </c>
      <c r="F32" s="2" t="s">
        <v>201</v>
      </c>
      <c r="G32" s="2" t="s">
        <v>282</v>
      </c>
      <c r="H32" s="2" t="s">
        <v>200</v>
      </c>
      <c r="I32" s="2" t="s">
        <v>201</v>
      </c>
      <c r="J32" s="5" t="s">
        <v>466</v>
      </c>
      <c r="K32" s="5" t="s">
        <v>200</v>
      </c>
      <c r="L32" s="5" t="s">
        <v>201</v>
      </c>
      <c r="M32" s="5" t="s">
        <v>268</v>
      </c>
      <c r="N32" s="5" t="s">
        <v>200</v>
      </c>
      <c r="O32" s="5"/>
      <c r="P32" s="8">
        <v>4</v>
      </c>
      <c r="T32" s="25">
        <f t="shared" si="0"/>
        <v>4</v>
      </c>
      <c r="V32" s="49"/>
    </row>
    <row r="33" spans="2:22" x14ac:dyDescent="0.3">
      <c r="B33" s="2" t="s">
        <v>557</v>
      </c>
      <c r="C33" s="2" t="s">
        <v>130</v>
      </c>
      <c r="D33" s="20" t="s">
        <v>269</v>
      </c>
      <c r="E33" s="2" t="s">
        <v>200</v>
      </c>
      <c r="F33" s="20"/>
      <c r="G33" s="20" t="s">
        <v>270</v>
      </c>
      <c r="H33" s="2" t="s">
        <v>200</v>
      </c>
      <c r="I33" s="20" t="s">
        <v>201</v>
      </c>
      <c r="J33" s="17" t="s">
        <v>271</v>
      </c>
      <c r="K33" s="2" t="s">
        <v>200</v>
      </c>
      <c r="L33" s="17"/>
      <c r="M33" s="17" t="s">
        <v>272</v>
      </c>
      <c r="N33" s="2" t="s">
        <v>200</v>
      </c>
      <c r="O33" s="17"/>
      <c r="Q33" s="8">
        <v>4</v>
      </c>
      <c r="R33" s="8">
        <v>4</v>
      </c>
      <c r="S33" s="8">
        <f>+COUNTIF(D33:O33,"A")+COUNTIF(D33:O33,"C")</f>
        <v>4</v>
      </c>
      <c r="T33" s="25">
        <f t="shared" si="0"/>
        <v>4</v>
      </c>
      <c r="V33" s="49"/>
    </row>
    <row r="34" spans="2:22" x14ac:dyDescent="0.3">
      <c r="B34" s="2" t="s">
        <v>557</v>
      </c>
      <c r="C34" s="2" t="s">
        <v>25</v>
      </c>
      <c r="D34" s="2" t="s">
        <v>273</v>
      </c>
      <c r="E34" s="2" t="s">
        <v>200</v>
      </c>
      <c r="F34" s="2" t="s">
        <v>201</v>
      </c>
      <c r="G34" s="2" t="s">
        <v>437</v>
      </c>
      <c r="H34" s="2" t="s">
        <v>200</v>
      </c>
      <c r="I34" s="2"/>
      <c r="J34" s="44" t="s">
        <v>274</v>
      </c>
      <c r="K34" s="5" t="s">
        <v>200</v>
      </c>
      <c r="L34" s="5" t="s">
        <v>201</v>
      </c>
      <c r="M34" s="44" t="s">
        <v>275</v>
      </c>
      <c r="N34" s="5" t="s">
        <v>200</v>
      </c>
      <c r="O34" s="5"/>
      <c r="P34" s="8">
        <v>4</v>
      </c>
      <c r="T34" s="25">
        <f t="shared" si="0"/>
        <v>4</v>
      </c>
      <c r="V34" s="49"/>
    </row>
    <row r="35" spans="2:22" x14ac:dyDescent="0.3">
      <c r="B35" s="2" t="s">
        <v>557</v>
      </c>
      <c r="C35" s="2" t="s">
        <v>25</v>
      </c>
      <c r="D35" s="2"/>
      <c r="E35" s="2" t="s">
        <v>234</v>
      </c>
      <c r="F35" s="2"/>
      <c r="G35" s="2"/>
      <c r="H35" s="2" t="s">
        <v>234</v>
      </c>
      <c r="I35" s="2"/>
      <c r="J35" s="44" t="s">
        <v>276</v>
      </c>
      <c r="K35" s="5" t="s">
        <v>200</v>
      </c>
      <c r="L35" s="5" t="s">
        <v>201</v>
      </c>
      <c r="M35" s="44" t="s">
        <v>277</v>
      </c>
      <c r="N35" s="5" t="s">
        <v>200</v>
      </c>
      <c r="O35" s="5"/>
      <c r="P35" s="8">
        <v>4</v>
      </c>
      <c r="T35" s="25">
        <f t="shared" si="0"/>
        <v>4</v>
      </c>
      <c r="V35" s="49"/>
    </row>
    <row r="36" spans="2:22" x14ac:dyDescent="0.3">
      <c r="B36" s="2" t="s">
        <v>557</v>
      </c>
      <c r="C36" s="2" t="s">
        <v>59</v>
      </c>
      <c r="D36" s="20" t="s">
        <v>610</v>
      </c>
      <c r="E36" s="20" t="s">
        <v>408</v>
      </c>
      <c r="F36" s="20"/>
      <c r="G36" s="17"/>
      <c r="H36" s="20" t="s">
        <v>234</v>
      </c>
      <c r="I36" s="20"/>
      <c r="J36" s="17" t="s">
        <v>541</v>
      </c>
      <c r="K36" s="2" t="s">
        <v>200</v>
      </c>
      <c r="L36" s="17"/>
      <c r="M36" s="17" t="s">
        <v>641</v>
      </c>
      <c r="N36" s="17" t="s">
        <v>408</v>
      </c>
      <c r="O36" s="17"/>
      <c r="Q36" s="8">
        <v>4</v>
      </c>
      <c r="R36" s="8">
        <v>1</v>
      </c>
      <c r="S36" s="8">
        <f t="shared" ref="S36:S38" si="2">+COUNTIF(D36:O36,"A")+COUNTIF(D36:O36,"C")</f>
        <v>3</v>
      </c>
      <c r="T36" s="25">
        <f t="shared" ref="T36:T99" si="3">SUM(P36:Q36)</f>
        <v>4</v>
      </c>
      <c r="V36" s="49"/>
    </row>
    <row r="37" spans="2:22" x14ac:dyDescent="0.3">
      <c r="B37" s="2" t="s">
        <v>557</v>
      </c>
      <c r="C37" s="2" t="s">
        <v>59</v>
      </c>
      <c r="D37" s="20" t="s">
        <v>658</v>
      </c>
      <c r="E37" s="20" t="s">
        <v>240</v>
      </c>
      <c r="F37" s="20"/>
      <c r="G37" s="20"/>
      <c r="H37" s="20" t="s">
        <v>234</v>
      </c>
      <c r="I37" s="20"/>
      <c r="J37" s="17"/>
      <c r="K37" s="17" t="s">
        <v>234</v>
      </c>
      <c r="L37" s="17"/>
      <c r="M37" s="17"/>
      <c r="N37" s="17" t="s">
        <v>234</v>
      </c>
      <c r="O37" s="17"/>
      <c r="Q37" s="8">
        <v>4</v>
      </c>
      <c r="S37" s="8">
        <f t="shared" si="2"/>
        <v>0</v>
      </c>
      <c r="T37" s="25">
        <f t="shared" si="3"/>
        <v>4</v>
      </c>
      <c r="V37" s="49"/>
    </row>
    <row r="38" spans="2:22" x14ac:dyDescent="0.3">
      <c r="B38" s="2" t="s">
        <v>557</v>
      </c>
      <c r="C38" s="50" t="s">
        <v>60</v>
      </c>
      <c r="D38" s="20"/>
      <c r="E38" s="20" t="s">
        <v>234</v>
      </c>
      <c r="F38" s="20"/>
      <c r="G38" s="20"/>
      <c r="H38" s="20" t="s">
        <v>234</v>
      </c>
      <c r="I38" s="20"/>
      <c r="J38" s="17"/>
      <c r="K38" s="17" t="s">
        <v>234</v>
      </c>
      <c r="L38" s="17"/>
      <c r="M38" s="17"/>
      <c r="N38" s="17" t="s">
        <v>234</v>
      </c>
      <c r="O38" s="17"/>
      <c r="Q38" s="51">
        <v>4</v>
      </c>
      <c r="R38" s="51"/>
      <c r="S38" s="8">
        <f t="shared" si="2"/>
        <v>0</v>
      </c>
      <c r="T38" s="25">
        <f t="shared" si="3"/>
        <v>4</v>
      </c>
      <c r="V38" s="49"/>
    </row>
    <row r="39" spans="2:22" s="3" customFormat="1" x14ac:dyDescent="0.3">
      <c r="B39" s="6"/>
      <c r="C39" s="6" t="s">
        <v>133</v>
      </c>
      <c r="D39" s="18"/>
      <c r="E39" s="19"/>
      <c r="F39" s="19"/>
      <c r="G39" s="19"/>
      <c r="H39" s="19"/>
      <c r="I39" s="19"/>
      <c r="J39" s="24"/>
      <c r="K39" s="24"/>
      <c r="L39" s="24"/>
      <c r="M39" s="24"/>
      <c r="N39" s="24"/>
      <c r="O39" s="28"/>
      <c r="P39" s="8"/>
      <c r="Q39" s="8"/>
      <c r="R39" s="8"/>
      <c r="S39" s="8"/>
      <c r="T39" s="25">
        <f t="shared" si="3"/>
        <v>0</v>
      </c>
      <c r="V39" s="49"/>
    </row>
    <row r="40" spans="2:22" x14ac:dyDescent="0.3">
      <c r="B40" s="2" t="s">
        <v>552</v>
      </c>
      <c r="C40" s="2" t="s">
        <v>134</v>
      </c>
      <c r="D40" s="2" t="s">
        <v>278</v>
      </c>
      <c r="E40" s="2" t="s">
        <v>200</v>
      </c>
      <c r="F40" s="2"/>
      <c r="G40" s="2" t="s">
        <v>279</v>
      </c>
      <c r="H40" s="2" t="s">
        <v>200</v>
      </c>
      <c r="I40" s="2"/>
      <c r="J40" s="43" t="s">
        <v>513</v>
      </c>
      <c r="K40" s="5" t="s">
        <v>408</v>
      </c>
      <c r="L40" s="5"/>
      <c r="M40" s="5" t="s">
        <v>280</v>
      </c>
      <c r="N40" s="5" t="s">
        <v>200</v>
      </c>
      <c r="O40" s="5"/>
      <c r="P40" s="8">
        <v>4</v>
      </c>
      <c r="T40" s="25">
        <f t="shared" si="3"/>
        <v>4</v>
      </c>
      <c r="V40" s="49"/>
    </row>
    <row r="41" spans="2:22" x14ac:dyDescent="0.3">
      <c r="B41" s="2" t="s">
        <v>552</v>
      </c>
      <c r="C41" s="2" t="s">
        <v>135</v>
      </c>
      <c r="D41" s="2" t="s">
        <v>281</v>
      </c>
      <c r="E41" s="2" t="s">
        <v>200</v>
      </c>
      <c r="F41" s="2"/>
      <c r="G41" s="2" t="s">
        <v>290</v>
      </c>
      <c r="H41" s="2" t="s">
        <v>200</v>
      </c>
      <c r="I41" s="2"/>
      <c r="J41" s="5" t="s">
        <v>283</v>
      </c>
      <c r="K41" s="5" t="s">
        <v>200</v>
      </c>
      <c r="L41" s="5"/>
      <c r="M41" s="5" t="s">
        <v>284</v>
      </c>
      <c r="N41" s="5" t="s">
        <v>200</v>
      </c>
      <c r="O41" s="5"/>
      <c r="P41" s="8">
        <v>4</v>
      </c>
      <c r="T41" s="25">
        <f t="shared" si="3"/>
        <v>4</v>
      </c>
      <c r="V41" s="45"/>
    </row>
    <row r="42" spans="2:22" x14ac:dyDescent="0.3">
      <c r="B42" s="2" t="s">
        <v>552</v>
      </c>
      <c r="C42" s="2" t="s">
        <v>135</v>
      </c>
      <c r="D42" s="2" t="s">
        <v>285</v>
      </c>
      <c r="E42" s="2" t="s">
        <v>200</v>
      </c>
      <c r="F42" s="2"/>
      <c r="G42" s="2" t="s">
        <v>286</v>
      </c>
      <c r="H42" s="2" t="s">
        <v>200</v>
      </c>
      <c r="I42" s="2"/>
      <c r="J42" s="5" t="s">
        <v>287</v>
      </c>
      <c r="K42" s="5" t="s">
        <v>200</v>
      </c>
      <c r="L42" s="5"/>
      <c r="M42" s="5" t="s">
        <v>288</v>
      </c>
      <c r="N42" s="5" t="s">
        <v>200</v>
      </c>
      <c r="O42" s="5"/>
      <c r="P42" s="8">
        <v>4</v>
      </c>
      <c r="T42" s="25">
        <f t="shared" si="3"/>
        <v>4</v>
      </c>
      <c r="V42" s="45"/>
    </row>
    <row r="43" spans="2:22" x14ac:dyDescent="0.3">
      <c r="B43" s="2" t="s">
        <v>552</v>
      </c>
      <c r="C43" s="2" t="s">
        <v>136</v>
      </c>
      <c r="D43" s="2" t="s">
        <v>651</v>
      </c>
      <c r="E43" s="2" t="s">
        <v>240</v>
      </c>
      <c r="F43" s="2"/>
      <c r="G43" s="2" t="s">
        <v>662</v>
      </c>
      <c r="H43" s="2" t="s">
        <v>240</v>
      </c>
      <c r="I43" s="2"/>
      <c r="J43" s="5" t="s">
        <v>291</v>
      </c>
      <c r="K43" s="5" t="s">
        <v>200</v>
      </c>
      <c r="L43" s="5"/>
      <c r="M43" s="5" t="s">
        <v>292</v>
      </c>
      <c r="N43" s="5" t="s">
        <v>200</v>
      </c>
      <c r="O43" s="5"/>
      <c r="P43" s="8">
        <v>4</v>
      </c>
      <c r="T43" s="25">
        <f t="shared" si="3"/>
        <v>4</v>
      </c>
      <c r="V43" s="45"/>
    </row>
    <row r="44" spans="2:22" x14ac:dyDescent="0.3">
      <c r="B44" s="2" t="s">
        <v>557</v>
      </c>
      <c r="C44" s="2" t="s">
        <v>137</v>
      </c>
      <c r="D44" s="5" t="s">
        <v>432</v>
      </c>
      <c r="E44" s="5" t="s">
        <v>200</v>
      </c>
      <c r="F44" s="2"/>
      <c r="G44" s="2" t="s">
        <v>293</v>
      </c>
      <c r="H44" s="2" t="s">
        <v>200</v>
      </c>
      <c r="I44" s="2"/>
      <c r="J44" s="5" t="s">
        <v>492</v>
      </c>
      <c r="K44" s="5" t="s">
        <v>200</v>
      </c>
      <c r="L44" s="5"/>
      <c r="M44" s="5" t="s">
        <v>439</v>
      </c>
      <c r="N44" s="5" t="s">
        <v>200</v>
      </c>
      <c r="O44" s="5"/>
      <c r="P44" s="8">
        <v>4</v>
      </c>
      <c r="T44" s="25">
        <f t="shared" si="3"/>
        <v>4</v>
      </c>
      <c r="V44" s="45"/>
    </row>
    <row r="45" spans="2:22" s="3" customFormat="1" x14ac:dyDescent="0.3">
      <c r="B45" s="6"/>
      <c r="C45" s="6" t="s">
        <v>138</v>
      </c>
      <c r="D45" s="23"/>
      <c r="E45" s="24"/>
      <c r="F45" s="19"/>
      <c r="G45" s="19"/>
      <c r="H45" s="19"/>
      <c r="I45" s="19"/>
      <c r="J45" s="24"/>
      <c r="K45" s="24"/>
      <c r="L45" s="24"/>
      <c r="M45" s="24"/>
      <c r="N45" s="24"/>
      <c r="O45" s="28"/>
      <c r="P45" s="8"/>
      <c r="Q45" s="8"/>
      <c r="R45" s="8"/>
      <c r="S45" s="8"/>
      <c r="T45" s="25">
        <f t="shared" si="3"/>
        <v>0</v>
      </c>
      <c r="V45" s="45"/>
    </row>
    <row r="46" spans="2:22" x14ac:dyDescent="0.3">
      <c r="B46" s="2" t="s">
        <v>552</v>
      </c>
      <c r="C46" s="2" t="s">
        <v>134</v>
      </c>
      <c r="D46" s="2" t="s">
        <v>294</v>
      </c>
      <c r="E46" s="2" t="s">
        <v>200</v>
      </c>
      <c r="F46" s="2"/>
      <c r="G46" s="2" t="s">
        <v>295</v>
      </c>
      <c r="H46" s="2" t="s">
        <v>200</v>
      </c>
      <c r="I46" s="2"/>
      <c r="J46" s="5" t="s">
        <v>384</v>
      </c>
      <c r="K46" s="5" t="s">
        <v>200</v>
      </c>
      <c r="L46" s="5"/>
      <c r="M46" s="5" t="s">
        <v>296</v>
      </c>
      <c r="N46" s="5" t="s">
        <v>200</v>
      </c>
      <c r="O46" s="5"/>
      <c r="P46" s="8">
        <v>4</v>
      </c>
      <c r="T46" s="25">
        <f t="shared" si="3"/>
        <v>4</v>
      </c>
      <c r="V46" s="45"/>
    </row>
    <row r="47" spans="2:22" x14ac:dyDescent="0.3">
      <c r="B47" s="2" t="s">
        <v>552</v>
      </c>
      <c r="C47" s="2" t="s">
        <v>135</v>
      </c>
      <c r="D47" s="2"/>
      <c r="E47" s="2" t="s">
        <v>234</v>
      </c>
      <c r="F47" s="2"/>
      <c r="G47" s="2" t="s">
        <v>297</v>
      </c>
      <c r="H47" s="2" t="s">
        <v>200</v>
      </c>
      <c r="I47" s="2"/>
      <c r="J47" s="5" t="s">
        <v>298</v>
      </c>
      <c r="K47" s="5" t="s">
        <v>200</v>
      </c>
      <c r="L47" s="5"/>
      <c r="M47" s="5" t="s">
        <v>299</v>
      </c>
      <c r="N47" s="5" t="s">
        <v>200</v>
      </c>
      <c r="O47" s="5"/>
      <c r="P47" s="8">
        <v>4</v>
      </c>
      <c r="T47" s="25">
        <f t="shared" si="3"/>
        <v>4</v>
      </c>
      <c r="V47" s="45"/>
    </row>
    <row r="48" spans="2:22" x14ac:dyDescent="0.3">
      <c r="B48" s="2" t="s">
        <v>552</v>
      </c>
      <c r="C48" s="2" t="s">
        <v>135</v>
      </c>
      <c r="D48" s="2" t="s">
        <v>300</v>
      </c>
      <c r="E48" s="2" t="s">
        <v>200</v>
      </c>
      <c r="F48" s="2"/>
      <c r="G48" s="2" t="s">
        <v>590</v>
      </c>
      <c r="H48" s="2" t="s">
        <v>240</v>
      </c>
      <c r="I48" s="2"/>
      <c r="J48" s="5" t="s">
        <v>301</v>
      </c>
      <c r="K48" s="5" t="s">
        <v>200</v>
      </c>
      <c r="L48" s="5"/>
      <c r="M48" s="5" t="s">
        <v>302</v>
      </c>
      <c r="N48" s="5" t="s">
        <v>200</v>
      </c>
      <c r="O48" s="5"/>
      <c r="P48" s="8">
        <v>4</v>
      </c>
      <c r="T48" s="25">
        <f t="shared" si="3"/>
        <v>4</v>
      </c>
      <c r="V48" s="45"/>
    </row>
    <row r="49" spans="2:22" x14ac:dyDescent="0.3">
      <c r="B49" s="2" t="s">
        <v>552</v>
      </c>
      <c r="C49" s="2" t="s">
        <v>136</v>
      </c>
      <c r="D49" s="2" t="s">
        <v>303</v>
      </c>
      <c r="E49" s="2" t="s">
        <v>200</v>
      </c>
      <c r="F49" s="2"/>
      <c r="G49" s="2" t="s">
        <v>304</v>
      </c>
      <c r="H49" s="2" t="s">
        <v>200</v>
      </c>
      <c r="I49" s="2"/>
      <c r="J49" s="5" t="s">
        <v>607</v>
      </c>
      <c r="K49" s="5" t="s">
        <v>240</v>
      </c>
      <c r="L49" s="5"/>
      <c r="M49" s="5" t="s">
        <v>305</v>
      </c>
      <c r="N49" s="5" t="s">
        <v>200</v>
      </c>
      <c r="O49" s="5"/>
      <c r="P49" s="8">
        <v>4</v>
      </c>
      <c r="T49" s="25">
        <f t="shared" si="3"/>
        <v>4</v>
      </c>
      <c r="V49" s="45"/>
    </row>
    <row r="50" spans="2:22" x14ac:dyDescent="0.3">
      <c r="B50" s="2" t="s">
        <v>557</v>
      </c>
      <c r="C50" s="2" t="s">
        <v>137</v>
      </c>
      <c r="D50" s="2" t="s">
        <v>306</v>
      </c>
      <c r="E50" s="2" t="s">
        <v>200</v>
      </c>
      <c r="F50" s="2" t="s">
        <v>201</v>
      </c>
      <c r="G50" s="2" t="s">
        <v>307</v>
      </c>
      <c r="H50" s="2" t="s">
        <v>200</v>
      </c>
      <c r="I50" s="2"/>
      <c r="J50" s="5"/>
      <c r="K50" s="5" t="s">
        <v>234</v>
      </c>
      <c r="L50" s="5"/>
      <c r="M50" s="5" t="s">
        <v>308</v>
      </c>
      <c r="N50" s="5" t="s">
        <v>200</v>
      </c>
      <c r="O50" s="5"/>
      <c r="P50" s="8">
        <v>4</v>
      </c>
      <c r="T50" s="25">
        <f t="shared" si="3"/>
        <v>4</v>
      </c>
      <c r="V50" s="45"/>
    </row>
    <row r="51" spans="2:22" s="3" customFormat="1" x14ac:dyDescent="0.3">
      <c r="B51" s="6"/>
      <c r="C51" s="6" t="s">
        <v>139</v>
      </c>
      <c r="D51" s="18"/>
      <c r="E51" s="19"/>
      <c r="F51" s="19"/>
      <c r="G51" s="19"/>
      <c r="H51" s="19"/>
      <c r="I51" s="19"/>
      <c r="J51" s="24"/>
      <c r="K51" s="24"/>
      <c r="L51" s="24"/>
      <c r="M51" s="24"/>
      <c r="N51" s="24"/>
      <c r="O51" s="28"/>
      <c r="P51" s="8"/>
      <c r="Q51" s="8"/>
      <c r="R51" s="8"/>
      <c r="S51" s="8"/>
      <c r="T51" s="25">
        <f t="shared" si="3"/>
        <v>0</v>
      </c>
      <c r="V51" s="45"/>
    </row>
    <row r="52" spans="2:22" x14ac:dyDescent="0.3">
      <c r="B52" s="2" t="s">
        <v>552</v>
      </c>
      <c r="C52" s="2" t="s">
        <v>134</v>
      </c>
      <c r="D52" s="2" t="s">
        <v>322</v>
      </c>
      <c r="E52" s="2" t="s">
        <v>200</v>
      </c>
      <c r="F52" s="2" t="s">
        <v>201</v>
      </c>
      <c r="G52" s="2" t="s">
        <v>630</v>
      </c>
      <c r="H52" s="2" t="s">
        <v>200</v>
      </c>
      <c r="I52" s="2"/>
      <c r="J52" s="5" t="s">
        <v>310</v>
      </c>
      <c r="K52" s="5" t="s">
        <v>200</v>
      </c>
      <c r="L52" s="5"/>
      <c r="M52" s="5" t="s">
        <v>311</v>
      </c>
      <c r="N52" s="5" t="s">
        <v>200</v>
      </c>
      <c r="O52" s="5"/>
      <c r="P52" s="8">
        <v>4</v>
      </c>
      <c r="T52" s="25">
        <f t="shared" si="3"/>
        <v>4</v>
      </c>
      <c r="V52" s="45"/>
    </row>
    <row r="53" spans="2:22" x14ac:dyDescent="0.3">
      <c r="B53" s="2" t="s">
        <v>552</v>
      </c>
      <c r="C53" s="2" t="s">
        <v>135</v>
      </c>
      <c r="D53" s="2" t="s">
        <v>312</v>
      </c>
      <c r="E53" s="2" t="s">
        <v>200</v>
      </c>
      <c r="F53" s="2"/>
      <c r="G53" s="2" t="s">
        <v>313</v>
      </c>
      <c r="H53" s="2" t="s">
        <v>200</v>
      </c>
      <c r="I53" s="2"/>
      <c r="J53" s="5" t="s">
        <v>314</v>
      </c>
      <c r="K53" s="5" t="s">
        <v>200</v>
      </c>
      <c r="L53" s="5"/>
      <c r="M53" s="5" t="s">
        <v>315</v>
      </c>
      <c r="N53" s="5" t="s">
        <v>200</v>
      </c>
      <c r="O53" s="5"/>
      <c r="P53" s="8">
        <v>4</v>
      </c>
      <c r="T53" s="25">
        <f t="shared" si="3"/>
        <v>4</v>
      </c>
      <c r="V53" s="45"/>
    </row>
    <row r="54" spans="2:22" x14ac:dyDescent="0.3">
      <c r="B54" s="2" t="s">
        <v>552</v>
      </c>
      <c r="C54" s="2" t="s">
        <v>135</v>
      </c>
      <c r="D54" s="2" t="s">
        <v>316</v>
      </c>
      <c r="E54" s="2" t="s">
        <v>200</v>
      </c>
      <c r="F54" s="2"/>
      <c r="G54" s="2" t="s">
        <v>317</v>
      </c>
      <c r="H54" s="2" t="s">
        <v>200</v>
      </c>
      <c r="I54" s="2"/>
      <c r="J54" s="5" t="s">
        <v>584</v>
      </c>
      <c r="K54" s="5" t="s">
        <v>200</v>
      </c>
      <c r="L54" s="5"/>
      <c r="M54" s="5" t="s">
        <v>318</v>
      </c>
      <c r="N54" s="5" t="s">
        <v>200</v>
      </c>
      <c r="O54" s="5"/>
      <c r="P54" s="8">
        <v>4</v>
      </c>
      <c r="T54" s="25">
        <f t="shared" si="3"/>
        <v>4</v>
      </c>
      <c r="V54" s="45"/>
    </row>
    <row r="55" spans="2:22" x14ac:dyDescent="0.3">
      <c r="B55" s="2" t="s">
        <v>552</v>
      </c>
      <c r="C55" s="2" t="s">
        <v>136</v>
      </c>
      <c r="D55" s="2" t="s">
        <v>319</v>
      </c>
      <c r="E55" s="2" t="s">
        <v>200</v>
      </c>
      <c r="F55" s="2"/>
      <c r="G55" s="2" t="s">
        <v>667</v>
      </c>
      <c r="H55" s="2" t="s">
        <v>240</v>
      </c>
      <c r="I55" s="2"/>
      <c r="J55" s="5" t="s">
        <v>320</v>
      </c>
      <c r="K55" s="5" t="s">
        <v>200</v>
      </c>
      <c r="L55" s="5"/>
      <c r="M55" s="5" t="s">
        <v>321</v>
      </c>
      <c r="N55" s="5" t="s">
        <v>200</v>
      </c>
      <c r="O55" s="5"/>
      <c r="P55" s="8">
        <v>4</v>
      </c>
      <c r="T55" s="25">
        <f t="shared" si="3"/>
        <v>4</v>
      </c>
      <c r="V55" s="45"/>
    </row>
    <row r="56" spans="2:22" x14ac:dyDescent="0.3">
      <c r="B56" s="2" t="s">
        <v>557</v>
      </c>
      <c r="C56" s="2" t="s">
        <v>137</v>
      </c>
      <c r="D56" s="2" t="s">
        <v>659</v>
      </c>
      <c r="E56" s="2" t="s">
        <v>240</v>
      </c>
      <c r="F56" s="2"/>
      <c r="G56" s="2" t="s">
        <v>585</v>
      </c>
      <c r="H56" s="2" t="s">
        <v>200</v>
      </c>
      <c r="I56" s="2"/>
      <c r="J56" s="5" t="s">
        <v>323</v>
      </c>
      <c r="K56" s="5" t="s">
        <v>200</v>
      </c>
      <c r="L56" s="5" t="s">
        <v>201</v>
      </c>
      <c r="M56" s="5" t="s">
        <v>324</v>
      </c>
      <c r="N56" s="5" t="s">
        <v>200</v>
      </c>
      <c r="O56" s="5"/>
      <c r="P56" s="8">
        <v>4</v>
      </c>
      <c r="T56" s="25">
        <f t="shared" si="3"/>
        <v>4</v>
      </c>
      <c r="V56" s="45"/>
    </row>
    <row r="57" spans="2:22" s="3" customFormat="1" ht="15" customHeight="1" x14ac:dyDescent="0.3">
      <c r="B57" s="6"/>
      <c r="C57" s="6" t="s">
        <v>140</v>
      </c>
      <c r="D57" s="18"/>
      <c r="E57" s="19"/>
      <c r="F57" s="19"/>
      <c r="G57" s="19"/>
      <c r="H57" s="19"/>
      <c r="I57" s="19"/>
      <c r="J57" s="24"/>
      <c r="K57" s="24"/>
      <c r="L57" s="24"/>
      <c r="M57" s="24"/>
      <c r="N57" s="24"/>
      <c r="O57" s="28"/>
      <c r="P57" s="8"/>
      <c r="Q57" s="8"/>
      <c r="R57" s="8"/>
      <c r="S57" s="8"/>
      <c r="T57" s="25">
        <f t="shared" si="3"/>
        <v>0</v>
      </c>
      <c r="V57" s="45"/>
    </row>
    <row r="58" spans="2:22" x14ac:dyDescent="0.3">
      <c r="B58" s="2" t="s">
        <v>552</v>
      </c>
      <c r="C58" s="2" t="s">
        <v>134</v>
      </c>
      <c r="D58" s="2" t="s">
        <v>325</v>
      </c>
      <c r="E58" s="2" t="s">
        <v>200</v>
      </c>
      <c r="F58" s="2"/>
      <c r="G58" s="2" t="s">
        <v>629</v>
      </c>
      <c r="H58" s="2" t="s">
        <v>200</v>
      </c>
      <c r="I58" s="2"/>
      <c r="J58" s="5" t="s">
        <v>327</v>
      </c>
      <c r="K58" s="5" t="s">
        <v>200</v>
      </c>
      <c r="L58" s="5"/>
      <c r="M58" s="5" t="s">
        <v>328</v>
      </c>
      <c r="N58" s="5" t="s">
        <v>200</v>
      </c>
      <c r="O58" s="5"/>
      <c r="P58" s="8">
        <v>4</v>
      </c>
      <c r="T58" s="25">
        <f t="shared" si="3"/>
        <v>4</v>
      </c>
      <c r="V58" s="45"/>
    </row>
    <row r="59" spans="2:22" x14ac:dyDescent="0.3">
      <c r="B59" s="2" t="s">
        <v>552</v>
      </c>
      <c r="C59" s="2" t="s">
        <v>135</v>
      </c>
      <c r="D59" s="2" t="s">
        <v>329</v>
      </c>
      <c r="E59" s="2" t="s">
        <v>200</v>
      </c>
      <c r="F59" s="2"/>
      <c r="G59" s="2" t="s">
        <v>592</v>
      </c>
      <c r="H59" s="2" t="s">
        <v>240</v>
      </c>
      <c r="I59" s="2"/>
      <c r="J59" s="5" t="s">
        <v>330</v>
      </c>
      <c r="K59" s="5" t="s">
        <v>200</v>
      </c>
      <c r="L59" s="5"/>
      <c r="M59" s="5" t="s">
        <v>331</v>
      </c>
      <c r="N59" s="5" t="s">
        <v>200</v>
      </c>
      <c r="O59" s="5"/>
      <c r="P59" s="8">
        <v>4</v>
      </c>
      <c r="T59" s="25">
        <f t="shared" si="3"/>
        <v>4</v>
      </c>
      <c r="V59" s="45"/>
    </row>
    <row r="60" spans="2:22" x14ac:dyDescent="0.3">
      <c r="B60" s="2" t="s">
        <v>552</v>
      </c>
      <c r="C60" s="2" t="s">
        <v>135</v>
      </c>
      <c r="D60" s="2" t="s">
        <v>332</v>
      </c>
      <c r="E60" s="2" t="s">
        <v>200</v>
      </c>
      <c r="F60" s="2"/>
      <c r="G60" s="2" t="s">
        <v>593</v>
      </c>
      <c r="H60" s="2" t="s">
        <v>200</v>
      </c>
      <c r="I60" s="2"/>
      <c r="J60" s="5" t="s">
        <v>333</v>
      </c>
      <c r="K60" s="5" t="s">
        <v>200</v>
      </c>
      <c r="L60" s="5"/>
      <c r="M60" s="5" t="s">
        <v>334</v>
      </c>
      <c r="N60" s="5" t="s">
        <v>200</v>
      </c>
      <c r="O60" s="5"/>
      <c r="P60" s="8">
        <v>4</v>
      </c>
      <c r="T60" s="25">
        <f t="shared" si="3"/>
        <v>4</v>
      </c>
    </row>
    <row r="61" spans="2:22" x14ac:dyDescent="0.3">
      <c r="B61" s="2" t="s">
        <v>552</v>
      </c>
      <c r="C61" s="2" t="s">
        <v>136</v>
      </c>
      <c r="D61" s="2" t="s">
        <v>669</v>
      </c>
      <c r="E61" s="2" t="s">
        <v>408</v>
      </c>
      <c r="F61" s="2"/>
      <c r="G61" s="2" t="s">
        <v>646</v>
      </c>
      <c r="H61" s="2" t="s">
        <v>240</v>
      </c>
      <c r="I61" s="2"/>
      <c r="J61" s="5" t="s">
        <v>604</v>
      </c>
      <c r="K61" s="5" t="s">
        <v>240</v>
      </c>
      <c r="L61" s="5"/>
      <c r="M61" s="5" t="s">
        <v>406</v>
      </c>
      <c r="N61" s="5" t="s">
        <v>200</v>
      </c>
      <c r="O61" s="5"/>
      <c r="P61" s="8">
        <v>4</v>
      </c>
      <c r="T61" s="25">
        <f t="shared" si="3"/>
        <v>4</v>
      </c>
      <c r="V61" s="48"/>
    </row>
    <row r="62" spans="2:22" x14ac:dyDescent="0.3">
      <c r="B62" s="2" t="s">
        <v>557</v>
      </c>
      <c r="C62" s="2" t="s">
        <v>137</v>
      </c>
      <c r="D62" s="2" t="s">
        <v>632</v>
      </c>
      <c r="E62" s="2" t="s">
        <v>200</v>
      </c>
      <c r="F62" s="2" t="s">
        <v>201</v>
      </c>
      <c r="G62" s="2" t="s">
        <v>335</v>
      </c>
      <c r="H62" s="2" t="s">
        <v>200</v>
      </c>
      <c r="I62" s="2"/>
      <c r="J62" s="5" t="s">
        <v>479</v>
      </c>
      <c r="K62" s="2" t="s">
        <v>200</v>
      </c>
      <c r="L62" s="5"/>
      <c r="M62" s="5" t="s">
        <v>336</v>
      </c>
      <c r="N62" s="5" t="s">
        <v>200</v>
      </c>
      <c r="O62" s="5" t="s">
        <v>201</v>
      </c>
      <c r="P62" s="8">
        <v>4</v>
      </c>
      <c r="T62" s="25">
        <f t="shared" si="3"/>
        <v>4</v>
      </c>
      <c r="V62" s="48"/>
    </row>
    <row r="63" spans="2:22" s="3" customFormat="1" x14ac:dyDescent="0.3">
      <c r="B63" s="6"/>
      <c r="C63" s="6" t="s">
        <v>141</v>
      </c>
      <c r="D63" s="18"/>
      <c r="E63" s="19"/>
      <c r="F63" s="19"/>
      <c r="G63" s="19"/>
      <c r="H63" s="19"/>
      <c r="I63" s="19"/>
      <c r="J63" s="24"/>
      <c r="K63" s="24"/>
      <c r="L63" s="24"/>
      <c r="M63" s="24"/>
      <c r="N63" s="24"/>
      <c r="O63" s="28"/>
      <c r="P63" s="8"/>
      <c r="Q63" s="8"/>
      <c r="R63" s="8"/>
      <c r="S63" s="8"/>
      <c r="T63" s="25">
        <f t="shared" si="3"/>
        <v>0</v>
      </c>
      <c r="V63" s="48"/>
    </row>
    <row r="64" spans="2:22" x14ac:dyDescent="0.3">
      <c r="B64" s="2" t="s">
        <v>552</v>
      </c>
      <c r="C64" s="2" t="s">
        <v>134</v>
      </c>
      <c r="D64" s="2" t="s">
        <v>594</v>
      </c>
      <c r="E64" s="2" t="s">
        <v>240</v>
      </c>
      <c r="F64" s="2"/>
      <c r="G64" s="2" t="s">
        <v>378</v>
      </c>
      <c r="H64" s="2" t="s">
        <v>200</v>
      </c>
      <c r="I64" s="2"/>
      <c r="J64" s="5" t="s">
        <v>379</v>
      </c>
      <c r="K64" s="5" t="s">
        <v>200</v>
      </c>
      <c r="L64" s="5"/>
      <c r="M64" s="5" t="s">
        <v>380</v>
      </c>
      <c r="N64" s="5" t="s">
        <v>200</v>
      </c>
      <c r="O64" s="5"/>
      <c r="P64" s="8">
        <v>4</v>
      </c>
      <c r="T64" s="25">
        <f t="shared" si="3"/>
        <v>4</v>
      </c>
      <c r="V64" s="48"/>
    </row>
    <row r="65" spans="2:22" x14ac:dyDescent="0.3">
      <c r="B65" s="2" t="s">
        <v>552</v>
      </c>
      <c r="C65" s="2" t="s">
        <v>135</v>
      </c>
      <c r="D65" s="2" t="s">
        <v>381</v>
      </c>
      <c r="E65" s="2" t="s">
        <v>200</v>
      </c>
      <c r="F65" s="2"/>
      <c r="G65" s="2" t="s">
        <v>597</v>
      </c>
      <c r="H65" s="2" t="s">
        <v>240</v>
      </c>
      <c r="I65" s="2"/>
      <c r="J65" s="5" t="s">
        <v>382</v>
      </c>
      <c r="K65" s="5" t="s">
        <v>200</v>
      </c>
      <c r="L65" s="5"/>
      <c r="M65" s="5" t="s">
        <v>434</v>
      </c>
      <c r="N65" s="5" t="s">
        <v>200</v>
      </c>
      <c r="O65" s="5"/>
      <c r="P65" s="8">
        <v>4</v>
      </c>
      <c r="T65" s="25">
        <f t="shared" si="3"/>
        <v>4</v>
      </c>
      <c r="V65" s="48"/>
    </row>
    <row r="66" spans="2:22" ht="14.1" customHeight="1" x14ac:dyDescent="0.3">
      <c r="B66" s="2" t="s">
        <v>552</v>
      </c>
      <c r="C66" s="2" t="s">
        <v>135</v>
      </c>
      <c r="D66" s="2" t="s">
        <v>383</v>
      </c>
      <c r="E66" s="2" t="s">
        <v>200</v>
      </c>
      <c r="F66" s="2"/>
      <c r="G66" s="2" t="s">
        <v>465</v>
      </c>
      <c r="H66" s="2" t="s">
        <v>200</v>
      </c>
      <c r="I66" s="2"/>
      <c r="J66" s="1" t="s">
        <v>676</v>
      </c>
      <c r="K66" s="1" t="s">
        <v>240</v>
      </c>
      <c r="L66" s="5"/>
      <c r="M66" s="5" t="s">
        <v>385</v>
      </c>
      <c r="N66" s="5" t="s">
        <v>200</v>
      </c>
      <c r="O66" s="5"/>
      <c r="P66" s="8">
        <v>4</v>
      </c>
      <c r="T66" s="25">
        <f t="shared" si="3"/>
        <v>4</v>
      </c>
      <c r="V66" s="48"/>
    </row>
    <row r="67" spans="2:22" x14ac:dyDescent="0.3">
      <c r="B67" s="2" t="s">
        <v>557</v>
      </c>
      <c r="C67" s="2" t="s">
        <v>137</v>
      </c>
      <c r="D67" s="2" t="s">
        <v>353</v>
      </c>
      <c r="E67" s="2" t="s">
        <v>200</v>
      </c>
      <c r="F67" s="2"/>
      <c r="G67" s="2" t="s">
        <v>390</v>
      </c>
      <c r="H67" s="2" t="s">
        <v>200</v>
      </c>
      <c r="I67" s="2" t="s">
        <v>201</v>
      </c>
      <c r="J67" s="5" t="s">
        <v>391</v>
      </c>
      <c r="K67" s="5" t="s">
        <v>200</v>
      </c>
      <c r="L67" s="5" t="s">
        <v>201</v>
      </c>
      <c r="M67" s="5" t="s">
        <v>392</v>
      </c>
      <c r="N67" s="5" t="s">
        <v>200</v>
      </c>
      <c r="O67" s="5" t="s">
        <v>201</v>
      </c>
      <c r="P67" s="8">
        <v>4</v>
      </c>
      <c r="T67" s="25">
        <f t="shared" si="3"/>
        <v>4</v>
      </c>
      <c r="V67" s="48"/>
    </row>
    <row r="68" spans="2:22" x14ac:dyDescent="0.3">
      <c r="B68" s="6"/>
      <c r="C68" s="6" t="s">
        <v>142</v>
      </c>
      <c r="D68" s="18"/>
      <c r="E68" s="19"/>
      <c r="F68" s="19"/>
      <c r="G68" s="19"/>
      <c r="H68" s="19"/>
      <c r="I68" s="19"/>
      <c r="J68" s="24"/>
      <c r="K68" s="24"/>
      <c r="L68" s="24"/>
      <c r="M68" s="24"/>
      <c r="N68" s="24"/>
      <c r="O68" s="28"/>
      <c r="T68" s="25">
        <f t="shared" si="3"/>
        <v>0</v>
      </c>
      <c r="V68" s="48"/>
    </row>
    <row r="69" spans="2:22" s="3" customFormat="1" x14ac:dyDescent="0.3">
      <c r="B69" s="2" t="s">
        <v>552</v>
      </c>
      <c r="C69" s="2" t="s">
        <v>134</v>
      </c>
      <c r="D69" s="2" t="s">
        <v>591</v>
      </c>
      <c r="E69" s="2" t="s">
        <v>408</v>
      </c>
      <c r="F69" s="2"/>
      <c r="G69" s="2" t="s">
        <v>368</v>
      </c>
      <c r="H69" s="2" t="s">
        <v>200</v>
      </c>
      <c r="I69" s="2"/>
      <c r="J69" s="5" t="s">
        <v>369</v>
      </c>
      <c r="K69" s="5" t="s">
        <v>200</v>
      </c>
      <c r="L69" s="5"/>
      <c r="M69" s="5" t="s">
        <v>440</v>
      </c>
      <c r="N69" s="5" t="s">
        <v>200</v>
      </c>
      <c r="O69" s="5"/>
      <c r="P69" s="8">
        <v>4</v>
      </c>
      <c r="Q69" s="8"/>
      <c r="R69" s="8"/>
      <c r="S69" s="8"/>
      <c r="T69" s="25">
        <f t="shared" si="3"/>
        <v>4</v>
      </c>
      <c r="V69" s="48"/>
    </row>
    <row r="70" spans="2:22" x14ac:dyDescent="0.3">
      <c r="B70" s="2" t="s">
        <v>552</v>
      </c>
      <c r="C70" s="2" t="s">
        <v>135</v>
      </c>
      <c r="D70" s="2" t="s">
        <v>370</v>
      </c>
      <c r="E70" s="2" t="s">
        <v>200</v>
      </c>
      <c r="F70" s="2"/>
      <c r="G70" s="2" t="s">
        <v>598</v>
      </c>
      <c r="H70" s="2" t="s">
        <v>240</v>
      </c>
      <c r="I70" s="2"/>
      <c r="J70" s="5" t="s">
        <v>668</v>
      </c>
      <c r="K70" s="5" t="s">
        <v>240</v>
      </c>
      <c r="L70" s="5"/>
      <c r="M70" s="5" t="s">
        <v>471</v>
      </c>
      <c r="N70" s="5" t="s">
        <v>200</v>
      </c>
      <c r="O70" s="5"/>
      <c r="P70" s="8">
        <v>4</v>
      </c>
      <c r="T70" s="25">
        <f t="shared" si="3"/>
        <v>4</v>
      </c>
      <c r="V70" s="48"/>
    </row>
    <row r="71" spans="2:22" x14ac:dyDescent="0.3">
      <c r="B71" s="2" t="s">
        <v>552</v>
      </c>
      <c r="C71" s="2" t="s">
        <v>135</v>
      </c>
      <c r="D71" s="2" t="s">
        <v>371</v>
      </c>
      <c r="E71" s="2" t="s">
        <v>200</v>
      </c>
      <c r="F71" s="2"/>
      <c r="G71" s="2" t="s">
        <v>649</v>
      </c>
      <c r="H71" s="2" t="s">
        <v>240</v>
      </c>
      <c r="I71" s="2"/>
      <c r="J71" s="5" t="s">
        <v>546</v>
      </c>
      <c r="K71" s="5" t="s">
        <v>408</v>
      </c>
      <c r="L71" s="5"/>
      <c r="M71" s="5" t="s">
        <v>372</v>
      </c>
      <c r="N71" s="5" t="s">
        <v>200</v>
      </c>
      <c r="O71" s="5"/>
      <c r="P71" s="8">
        <v>4</v>
      </c>
      <c r="T71" s="25">
        <f t="shared" si="3"/>
        <v>4</v>
      </c>
      <c r="V71" s="48"/>
    </row>
    <row r="72" spans="2:22" x14ac:dyDescent="0.3">
      <c r="B72" s="2" t="s">
        <v>557</v>
      </c>
      <c r="C72" s="2" t="s">
        <v>137</v>
      </c>
      <c r="D72" s="2" t="s">
        <v>375</v>
      </c>
      <c r="E72" s="2" t="s">
        <v>200</v>
      </c>
      <c r="F72" s="2" t="s">
        <v>201</v>
      </c>
      <c r="G72" s="2" t="s">
        <v>464</v>
      </c>
      <c r="H72" s="2" t="s">
        <v>200</v>
      </c>
      <c r="I72" s="2"/>
      <c r="J72" s="5" t="s">
        <v>605</v>
      </c>
      <c r="K72" s="5" t="s">
        <v>240</v>
      </c>
      <c r="L72" s="5"/>
      <c r="M72" s="5" t="s">
        <v>376</v>
      </c>
      <c r="N72" s="5" t="s">
        <v>200</v>
      </c>
      <c r="O72" s="5"/>
      <c r="P72" s="8">
        <v>4</v>
      </c>
      <c r="T72" s="25">
        <f t="shared" si="3"/>
        <v>4</v>
      </c>
      <c r="V72" s="48"/>
    </row>
    <row r="73" spans="2:22" x14ac:dyDescent="0.3">
      <c r="B73" s="6"/>
      <c r="C73" s="6" t="s">
        <v>143</v>
      </c>
      <c r="D73" s="18"/>
      <c r="E73" s="19"/>
      <c r="F73" s="19"/>
      <c r="G73" s="19"/>
      <c r="H73" s="19"/>
      <c r="I73" s="19"/>
      <c r="J73" s="24"/>
      <c r="K73" s="24"/>
      <c r="L73" s="24"/>
      <c r="M73" s="24"/>
      <c r="N73" s="24"/>
      <c r="O73" s="28"/>
      <c r="T73" s="25">
        <f t="shared" si="3"/>
        <v>0</v>
      </c>
      <c r="V73" s="48"/>
    </row>
    <row r="74" spans="2:22" x14ac:dyDescent="0.3">
      <c r="B74" s="2" t="s">
        <v>552</v>
      </c>
      <c r="C74" s="2" t="s">
        <v>134</v>
      </c>
      <c r="D74" s="2" t="s">
        <v>350</v>
      </c>
      <c r="E74" s="2" t="s">
        <v>200</v>
      </c>
      <c r="F74" s="2"/>
      <c r="G74" s="2" t="s">
        <v>351</v>
      </c>
      <c r="H74" s="2" t="s">
        <v>200</v>
      </c>
      <c r="I74" s="2"/>
      <c r="J74" s="5" t="s">
        <v>635</v>
      </c>
      <c r="K74" s="5" t="s">
        <v>200</v>
      </c>
      <c r="L74" s="5"/>
      <c r="M74" s="5" t="s">
        <v>352</v>
      </c>
      <c r="N74" s="5" t="s">
        <v>200</v>
      </c>
      <c r="O74" s="5"/>
      <c r="P74" s="8">
        <v>4</v>
      </c>
      <c r="T74" s="25">
        <f t="shared" si="3"/>
        <v>4</v>
      </c>
      <c r="V74" s="48"/>
    </row>
    <row r="75" spans="2:22" s="3" customFormat="1" x14ac:dyDescent="0.3">
      <c r="B75" s="2" t="s">
        <v>552</v>
      </c>
      <c r="C75" s="2" t="s">
        <v>135</v>
      </c>
      <c r="D75" s="2" t="s">
        <v>619</v>
      </c>
      <c r="E75" s="2" t="s">
        <v>408</v>
      </c>
      <c r="F75" s="2"/>
      <c r="G75" s="2"/>
      <c r="H75" s="2" t="s">
        <v>234</v>
      </c>
      <c r="I75" s="2"/>
      <c r="J75" s="5" t="s">
        <v>354</v>
      </c>
      <c r="K75" s="5" t="s">
        <v>200</v>
      </c>
      <c r="L75" s="5"/>
      <c r="M75" s="5" t="s">
        <v>355</v>
      </c>
      <c r="N75" s="5" t="s">
        <v>200</v>
      </c>
      <c r="O75" s="5"/>
      <c r="P75" s="8">
        <v>4</v>
      </c>
      <c r="Q75" s="8"/>
      <c r="R75" s="8"/>
      <c r="S75" s="8"/>
      <c r="T75" s="25">
        <f t="shared" si="3"/>
        <v>4</v>
      </c>
      <c r="V75" s="48"/>
    </row>
    <row r="76" spans="2:22" x14ac:dyDescent="0.3">
      <c r="B76" s="2" t="s">
        <v>552</v>
      </c>
      <c r="C76" s="2" t="s">
        <v>136</v>
      </c>
      <c r="D76" s="2" t="s">
        <v>356</v>
      </c>
      <c r="E76" s="2" t="s">
        <v>200</v>
      </c>
      <c r="F76" s="2"/>
      <c r="G76" s="2" t="s">
        <v>583</v>
      </c>
      <c r="H76" s="2" t="s">
        <v>200</v>
      </c>
      <c r="I76" s="2"/>
      <c r="J76" s="5" t="s">
        <v>358</v>
      </c>
      <c r="K76" s="5" t="s">
        <v>200</v>
      </c>
      <c r="L76" s="5"/>
      <c r="M76" s="5" t="s">
        <v>359</v>
      </c>
      <c r="N76" s="5" t="s">
        <v>200</v>
      </c>
      <c r="O76" s="5"/>
      <c r="P76" s="8">
        <v>4</v>
      </c>
      <c r="T76" s="25">
        <f t="shared" si="3"/>
        <v>4</v>
      </c>
      <c r="V76" s="48"/>
    </row>
    <row r="77" spans="2:22" x14ac:dyDescent="0.3">
      <c r="B77" s="2" t="s">
        <v>557</v>
      </c>
      <c r="C77" s="2" t="s">
        <v>137</v>
      </c>
      <c r="D77" s="2" t="s">
        <v>364</v>
      </c>
      <c r="E77" s="2" t="s">
        <v>200</v>
      </c>
      <c r="F77" s="2" t="s">
        <v>201</v>
      </c>
      <c r="G77" s="2" t="s">
        <v>365</v>
      </c>
      <c r="H77" s="2" t="s">
        <v>200</v>
      </c>
      <c r="I77" s="2" t="s">
        <v>201</v>
      </c>
      <c r="J77" s="5" t="s">
        <v>366</v>
      </c>
      <c r="K77" s="5" t="s">
        <v>200</v>
      </c>
      <c r="L77" s="5" t="s">
        <v>201</v>
      </c>
      <c r="M77" s="5" t="s">
        <v>606</v>
      </c>
      <c r="N77" s="5" t="s">
        <v>240</v>
      </c>
      <c r="O77" s="5"/>
      <c r="P77" s="8">
        <v>4</v>
      </c>
      <c r="T77" s="25">
        <f t="shared" si="3"/>
        <v>4</v>
      </c>
      <c r="V77" s="48"/>
    </row>
    <row r="78" spans="2:22" x14ac:dyDescent="0.3">
      <c r="B78" s="6"/>
      <c r="C78" s="6" t="s">
        <v>144</v>
      </c>
      <c r="D78" s="18"/>
      <c r="E78" s="19"/>
      <c r="F78" s="19"/>
      <c r="G78" s="19"/>
      <c r="H78" s="19"/>
      <c r="I78" s="19"/>
      <c r="J78" s="24"/>
      <c r="K78" s="24"/>
      <c r="L78" s="24"/>
      <c r="M78" s="24"/>
      <c r="N78" s="24"/>
      <c r="O78" s="28"/>
      <c r="T78" s="25">
        <f t="shared" si="3"/>
        <v>0</v>
      </c>
      <c r="V78" s="48"/>
    </row>
    <row r="79" spans="2:22" x14ac:dyDescent="0.3">
      <c r="B79" s="2" t="s">
        <v>552</v>
      </c>
      <c r="C79" s="2" t="s">
        <v>134</v>
      </c>
      <c r="D79" s="2" t="s">
        <v>337</v>
      </c>
      <c r="E79" s="2" t="s">
        <v>200</v>
      </c>
      <c r="F79" s="2"/>
      <c r="G79" s="2" t="s">
        <v>621</v>
      </c>
      <c r="H79" s="2" t="s">
        <v>200</v>
      </c>
      <c r="I79" s="2"/>
      <c r="J79" s="5" t="s">
        <v>338</v>
      </c>
      <c r="K79" s="5" t="s">
        <v>200</v>
      </c>
      <c r="L79" s="5"/>
      <c r="M79" s="5" t="s">
        <v>339</v>
      </c>
      <c r="N79" s="5" t="s">
        <v>200</v>
      </c>
      <c r="O79" s="5"/>
      <c r="P79" s="8">
        <v>4</v>
      </c>
      <c r="T79" s="25">
        <f t="shared" si="3"/>
        <v>4</v>
      </c>
      <c r="V79" s="47"/>
    </row>
    <row r="80" spans="2:22" x14ac:dyDescent="0.3">
      <c r="B80" s="2" t="s">
        <v>552</v>
      </c>
      <c r="C80" s="2" t="s">
        <v>135</v>
      </c>
      <c r="D80" s="2" t="s">
        <v>436</v>
      </c>
      <c r="E80" s="2" t="s">
        <v>200</v>
      </c>
      <c r="F80" s="2"/>
      <c r="G80" s="2" t="s">
        <v>340</v>
      </c>
      <c r="H80" s="2" t="s">
        <v>200</v>
      </c>
      <c r="I80" s="2"/>
      <c r="J80" s="5" t="s">
        <v>341</v>
      </c>
      <c r="K80" s="5" t="s">
        <v>200</v>
      </c>
      <c r="L80" s="5"/>
      <c r="M80" s="5" t="s">
        <v>342</v>
      </c>
      <c r="N80" s="5" t="s">
        <v>200</v>
      </c>
      <c r="O80" s="5"/>
      <c r="P80" s="8">
        <v>4</v>
      </c>
      <c r="T80" s="25">
        <f t="shared" si="3"/>
        <v>4</v>
      </c>
      <c r="V80" s="45"/>
    </row>
    <row r="81" spans="2:22" s="3" customFormat="1" x14ac:dyDescent="0.3">
      <c r="B81" s="2" t="s">
        <v>552</v>
      </c>
      <c r="C81" s="2" t="s">
        <v>136</v>
      </c>
      <c r="D81" s="2" t="s">
        <v>462</v>
      </c>
      <c r="E81" s="2" t="s">
        <v>200</v>
      </c>
      <c r="F81" s="2"/>
      <c r="G81" s="2" t="s">
        <v>633</v>
      </c>
      <c r="H81" s="2" t="s">
        <v>200</v>
      </c>
      <c r="I81" s="2"/>
      <c r="J81" s="5" t="s">
        <v>343</v>
      </c>
      <c r="K81" s="5" t="s">
        <v>200</v>
      </c>
      <c r="L81" s="5"/>
      <c r="M81" s="5" t="s">
        <v>509</v>
      </c>
      <c r="N81" s="5" t="s">
        <v>200</v>
      </c>
      <c r="O81" s="5"/>
      <c r="P81" s="8">
        <v>4</v>
      </c>
      <c r="Q81" s="8"/>
      <c r="R81" s="8"/>
      <c r="S81" s="8"/>
      <c r="T81" s="25">
        <f t="shared" si="3"/>
        <v>4</v>
      </c>
      <c r="V81" s="45"/>
    </row>
    <row r="82" spans="2:22" x14ac:dyDescent="0.3">
      <c r="B82" s="2" t="s">
        <v>557</v>
      </c>
      <c r="C82" s="2" t="s">
        <v>137</v>
      </c>
      <c r="D82" s="2" t="s">
        <v>347</v>
      </c>
      <c r="E82" s="2" t="s">
        <v>200</v>
      </c>
      <c r="F82" s="2" t="s">
        <v>201</v>
      </c>
      <c r="G82" s="2" t="s">
        <v>348</v>
      </c>
      <c r="H82" s="2" t="s">
        <v>200</v>
      </c>
      <c r="I82" s="2" t="s">
        <v>201</v>
      </c>
      <c r="J82" s="5" t="s">
        <v>349</v>
      </c>
      <c r="K82" s="5" t="s">
        <v>200</v>
      </c>
      <c r="L82" s="5"/>
      <c r="M82" s="5" t="s">
        <v>608</v>
      </c>
      <c r="N82" s="5" t="s">
        <v>240</v>
      </c>
      <c r="O82" s="5"/>
      <c r="P82" s="8">
        <v>4</v>
      </c>
      <c r="T82" s="25">
        <f t="shared" si="3"/>
        <v>4</v>
      </c>
    </row>
    <row r="83" spans="2:22" x14ac:dyDescent="0.3">
      <c r="B83" s="6"/>
      <c r="C83" s="6" t="s">
        <v>145</v>
      </c>
      <c r="D83" s="18"/>
      <c r="E83" s="19"/>
      <c r="F83" s="19"/>
      <c r="G83" s="19"/>
      <c r="H83" s="19"/>
      <c r="I83" s="19"/>
      <c r="J83" s="24"/>
      <c r="K83" s="24"/>
      <c r="L83" s="24"/>
      <c r="M83" s="24"/>
      <c r="N83" s="24"/>
      <c r="O83" s="28"/>
      <c r="T83" s="25">
        <f t="shared" si="3"/>
        <v>0</v>
      </c>
    </row>
    <row r="84" spans="2:22" x14ac:dyDescent="0.3">
      <c r="B84" s="2" t="s">
        <v>552</v>
      </c>
      <c r="C84" s="2" t="s">
        <v>134</v>
      </c>
      <c r="D84" s="20" t="s">
        <v>463</v>
      </c>
      <c r="E84" s="2" t="s">
        <v>200</v>
      </c>
      <c r="F84" s="20"/>
      <c r="G84" s="20" t="s">
        <v>367</v>
      </c>
      <c r="H84" s="2" t="s">
        <v>200</v>
      </c>
      <c r="I84" s="20"/>
      <c r="J84" s="17" t="s">
        <v>470</v>
      </c>
      <c r="K84" s="17" t="s">
        <v>240</v>
      </c>
      <c r="L84" s="17"/>
      <c r="M84" s="17" t="s">
        <v>472</v>
      </c>
      <c r="N84" s="17" t="s">
        <v>408</v>
      </c>
      <c r="O84" s="17"/>
      <c r="Q84" s="8">
        <v>4</v>
      </c>
      <c r="R84" s="8">
        <v>2</v>
      </c>
      <c r="S84" s="8">
        <f t="shared" ref="S84:S88" si="4">+COUNTIF(D84:O84,"A")+COUNTIF(D84:O84,"C")</f>
        <v>3</v>
      </c>
      <c r="T84" s="25">
        <f t="shared" si="3"/>
        <v>4</v>
      </c>
    </row>
    <row r="85" spans="2:22" x14ac:dyDescent="0.3">
      <c r="B85" s="2" t="s">
        <v>552</v>
      </c>
      <c r="C85" s="2" t="s">
        <v>135</v>
      </c>
      <c r="D85" s="20" t="s">
        <v>581</v>
      </c>
      <c r="E85" s="20" t="s">
        <v>240</v>
      </c>
      <c r="F85" s="20"/>
      <c r="G85" s="20" t="s">
        <v>582</v>
      </c>
      <c r="H85" s="2" t="s">
        <v>200</v>
      </c>
      <c r="I85" s="20"/>
      <c r="J85" s="17" t="s">
        <v>475</v>
      </c>
      <c r="K85" s="5" t="s">
        <v>200</v>
      </c>
      <c r="L85" s="17"/>
      <c r="M85" s="17" t="s">
        <v>476</v>
      </c>
      <c r="N85" s="2" t="s">
        <v>200</v>
      </c>
      <c r="O85" s="17"/>
      <c r="Q85" s="8">
        <v>4</v>
      </c>
      <c r="R85" s="8">
        <v>3</v>
      </c>
      <c r="S85" s="8">
        <f t="shared" si="4"/>
        <v>3</v>
      </c>
      <c r="T85" s="25">
        <f t="shared" si="3"/>
        <v>4</v>
      </c>
    </row>
    <row r="86" spans="2:22" x14ac:dyDescent="0.3">
      <c r="B86" s="2" t="s">
        <v>552</v>
      </c>
      <c r="C86" s="2" t="s">
        <v>135</v>
      </c>
      <c r="D86" s="20" t="s">
        <v>514</v>
      </c>
      <c r="E86" s="2" t="s">
        <v>200</v>
      </c>
      <c r="F86" s="20"/>
      <c r="G86" s="20"/>
      <c r="H86" s="20" t="s">
        <v>234</v>
      </c>
      <c r="I86" s="20"/>
      <c r="J86" s="17" t="s">
        <v>549</v>
      </c>
      <c r="K86" s="5" t="s">
        <v>200</v>
      </c>
      <c r="L86" s="17"/>
      <c r="M86" s="17" t="s">
        <v>481</v>
      </c>
      <c r="N86" s="2" t="s">
        <v>200</v>
      </c>
      <c r="O86" s="17"/>
      <c r="Q86" s="8">
        <v>4</v>
      </c>
      <c r="R86" s="8">
        <v>3</v>
      </c>
      <c r="S86" s="8">
        <f t="shared" si="4"/>
        <v>3</v>
      </c>
      <c r="T86" s="25">
        <f t="shared" si="3"/>
        <v>4</v>
      </c>
    </row>
    <row r="87" spans="2:22" s="3" customFormat="1" x14ac:dyDescent="0.3">
      <c r="B87" s="2" t="s">
        <v>552</v>
      </c>
      <c r="C87" s="2" t="s">
        <v>146</v>
      </c>
      <c r="D87" s="20" t="s">
        <v>386</v>
      </c>
      <c r="E87" s="2" t="s">
        <v>200</v>
      </c>
      <c r="F87" s="20"/>
      <c r="G87" s="20" t="s">
        <v>387</v>
      </c>
      <c r="H87" s="2" t="s">
        <v>200</v>
      </c>
      <c r="I87" s="20"/>
      <c r="J87" s="17" t="s">
        <v>388</v>
      </c>
      <c r="K87" s="5" t="s">
        <v>200</v>
      </c>
      <c r="L87" s="17"/>
      <c r="M87" s="17" t="s">
        <v>588</v>
      </c>
      <c r="N87" s="5" t="s">
        <v>200</v>
      </c>
      <c r="O87" s="17"/>
      <c r="P87" s="8"/>
      <c r="Q87" s="8">
        <v>4</v>
      </c>
      <c r="R87" s="8">
        <v>4</v>
      </c>
      <c r="S87" s="8">
        <f t="shared" si="4"/>
        <v>4</v>
      </c>
      <c r="T87" s="25">
        <f t="shared" si="3"/>
        <v>4</v>
      </c>
      <c r="V87"/>
    </row>
    <row r="88" spans="2:22" x14ac:dyDescent="0.3">
      <c r="B88" s="2" t="s">
        <v>557</v>
      </c>
      <c r="C88" s="2" t="s">
        <v>137</v>
      </c>
      <c r="D88" s="20" t="s">
        <v>542</v>
      </c>
      <c r="E88" s="2" t="s">
        <v>200</v>
      </c>
      <c r="F88" s="20"/>
      <c r="G88" s="20" t="s">
        <v>469</v>
      </c>
      <c r="H88" s="2" t="s">
        <v>200</v>
      </c>
      <c r="I88" s="20"/>
      <c r="J88" s="17" t="s">
        <v>508</v>
      </c>
      <c r="K88" s="2" t="s">
        <v>200</v>
      </c>
      <c r="L88" s="17"/>
      <c r="M88" s="17" t="s">
        <v>680</v>
      </c>
      <c r="N88" s="17" t="s">
        <v>240</v>
      </c>
      <c r="O88" s="17"/>
      <c r="Q88" s="8">
        <v>4</v>
      </c>
      <c r="R88" s="8">
        <v>3</v>
      </c>
      <c r="S88" s="8">
        <f t="shared" si="4"/>
        <v>3</v>
      </c>
      <c r="T88" s="25">
        <f t="shared" si="3"/>
        <v>4</v>
      </c>
    </row>
    <row r="89" spans="2:22" x14ac:dyDescent="0.3">
      <c r="B89" s="6"/>
      <c r="C89" s="6" t="s">
        <v>147</v>
      </c>
      <c r="D89" s="18"/>
      <c r="E89" s="19"/>
      <c r="F89" s="19"/>
      <c r="G89" s="19"/>
      <c r="H89" s="19"/>
      <c r="I89" s="19"/>
      <c r="J89" s="24"/>
      <c r="K89" s="24"/>
      <c r="L89" s="24"/>
      <c r="M89" s="24"/>
      <c r="N89" s="24"/>
      <c r="O89" s="28"/>
      <c r="T89" s="25">
        <f t="shared" si="3"/>
        <v>0</v>
      </c>
    </row>
    <row r="90" spans="2:22" x14ac:dyDescent="0.3">
      <c r="B90" s="2" t="s">
        <v>552</v>
      </c>
      <c r="C90" s="2" t="s">
        <v>134</v>
      </c>
      <c r="D90" s="20" t="s">
        <v>496</v>
      </c>
      <c r="E90" s="2" t="s">
        <v>200</v>
      </c>
      <c r="F90" s="20"/>
      <c r="G90" s="20" t="s">
        <v>501</v>
      </c>
      <c r="H90" s="2" t="s">
        <v>200</v>
      </c>
      <c r="I90" s="20"/>
      <c r="J90" s="17" t="s">
        <v>473</v>
      </c>
      <c r="K90" s="17" t="s">
        <v>408</v>
      </c>
      <c r="L90" s="17"/>
      <c r="M90" s="17" t="s">
        <v>474</v>
      </c>
      <c r="N90" s="2" t="s">
        <v>200</v>
      </c>
      <c r="O90" s="17"/>
      <c r="Q90" s="8">
        <v>4</v>
      </c>
      <c r="R90" s="8">
        <v>4</v>
      </c>
      <c r="S90" s="8">
        <f t="shared" ref="S90:S94" si="5">+COUNTIF(D90:O90,"A")+COUNTIF(D90:O90,"C")</f>
        <v>4</v>
      </c>
      <c r="T90" s="25">
        <f t="shared" si="3"/>
        <v>4</v>
      </c>
    </row>
    <row r="91" spans="2:22" x14ac:dyDescent="0.3">
      <c r="B91" s="2" t="s">
        <v>552</v>
      </c>
      <c r="C91" s="2" t="s">
        <v>135</v>
      </c>
      <c r="D91" s="20" t="s">
        <v>497</v>
      </c>
      <c r="E91" s="2" t="s">
        <v>200</v>
      </c>
      <c r="F91" s="20"/>
      <c r="G91" s="20" t="s">
        <v>650</v>
      </c>
      <c r="H91" s="20" t="s">
        <v>408</v>
      </c>
      <c r="I91" s="20"/>
      <c r="J91" s="17" t="s">
        <v>507</v>
      </c>
      <c r="K91" s="2" t="s">
        <v>200</v>
      </c>
      <c r="L91" s="17"/>
      <c r="M91" s="17" t="s">
        <v>478</v>
      </c>
      <c r="N91" s="2" t="s">
        <v>200</v>
      </c>
      <c r="O91" s="17"/>
      <c r="Q91" s="8">
        <v>4</v>
      </c>
      <c r="R91" s="8">
        <v>3</v>
      </c>
      <c r="S91" s="8">
        <f t="shared" si="5"/>
        <v>4</v>
      </c>
      <c r="T91" s="25">
        <f t="shared" si="3"/>
        <v>4</v>
      </c>
    </row>
    <row r="92" spans="2:22" x14ac:dyDescent="0.3">
      <c r="B92" s="2" t="s">
        <v>552</v>
      </c>
      <c r="C92" s="2" t="s">
        <v>135</v>
      </c>
      <c r="D92" s="20" t="s">
        <v>498</v>
      </c>
      <c r="E92" s="2" t="s">
        <v>200</v>
      </c>
      <c r="F92" s="20"/>
      <c r="G92" s="20" t="s">
        <v>502</v>
      </c>
      <c r="H92" s="2" t="s">
        <v>200</v>
      </c>
      <c r="I92" s="20"/>
      <c r="J92" s="17" t="s">
        <v>482</v>
      </c>
      <c r="K92" s="17" t="s">
        <v>240</v>
      </c>
      <c r="L92" s="17"/>
      <c r="M92" s="17" t="s">
        <v>483</v>
      </c>
      <c r="N92" s="2" t="s">
        <v>200</v>
      </c>
      <c r="O92" s="17"/>
      <c r="Q92" s="8">
        <v>4</v>
      </c>
      <c r="R92" s="8">
        <v>3</v>
      </c>
      <c r="S92" s="8">
        <f t="shared" si="5"/>
        <v>3</v>
      </c>
      <c r="T92" s="25">
        <f t="shared" si="3"/>
        <v>4</v>
      </c>
    </row>
    <row r="93" spans="2:22" s="3" customFormat="1" x14ac:dyDescent="0.3">
      <c r="B93" s="2" t="s">
        <v>552</v>
      </c>
      <c r="C93" s="2" t="s">
        <v>146</v>
      </c>
      <c r="D93" s="20" t="s">
        <v>631</v>
      </c>
      <c r="E93" s="2" t="s">
        <v>200</v>
      </c>
      <c r="F93" s="20"/>
      <c r="G93" s="20" t="s">
        <v>373</v>
      </c>
      <c r="H93" s="2" t="s">
        <v>200</v>
      </c>
      <c r="I93" s="20"/>
      <c r="J93" s="17" t="s">
        <v>374</v>
      </c>
      <c r="K93" s="5" t="s">
        <v>200</v>
      </c>
      <c r="L93" s="17"/>
      <c r="M93" s="17" t="s">
        <v>511</v>
      </c>
      <c r="N93" s="2" t="s">
        <v>200</v>
      </c>
      <c r="O93" s="17"/>
      <c r="P93" s="8"/>
      <c r="Q93" s="8">
        <v>4</v>
      </c>
      <c r="R93" s="8">
        <v>3</v>
      </c>
      <c r="S93" s="8">
        <f t="shared" si="5"/>
        <v>4</v>
      </c>
      <c r="T93" s="25">
        <f t="shared" si="3"/>
        <v>4</v>
      </c>
      <c r="V93"/>
    </row>
    <row r="94" spans="2:22" x14ac:dyDescent="0.3">
      <c r="B94" s="2" t="s">
        <v>557</v>
      </c>
      <c r="C94" s="2" t="s">
        <v>137</v>
      </c>
      <c r="D94" s="20" t="s">
        <v>515</v>
      </c>
      <c r="E94" s="2" t="s">
        <v>200</v>
      </c>
      <c r="F94" s="20"/>
      <c r="G94" s="20" t="s">
        <v>516</v>
      </c>
      <c r="H94" s="2" t="s">
        <v>200</v>
      </c>
      <c r="I94" s="20"/>
      <c r="J94" s="17" t="s">
        <v>643</v>
      </c>
      <c r="K94" s="17" t="s">
        <v>240</v>
      </c>
      <c r="L94" s="17"/>
      <c r="M94" s="17" t="s">
        <v>644</v>
      </c>
      <c r="N94" s="17" t="s">
        <v>240</v>
      </c>
      <c r="O94" s="17"/>
      <c r="Q94" s="8">
        <v>4</v>
      </c>
      <c r="R94" s="8">
        <v>2</v>
      </c>
      <c r="S94" s="8">
        <f t="shared" si="5"/>
        <v>2</v>
      </c>
      <c r="T94" s="25">
        <f t="shared" si="3"/>
        <v>4</v>
      </c>
    </row>
    <row r="95" spans="2:22" x14ac:dyDescent="0.3">
      <c r="B95" s="6"/>
      <c r="C95" s="6" t="s">
        <v>148</v>
      </c>
      <c r="D95" s="18"/>
      <c r="E95" s="19"/>
      <c r="F95" s="19"/>
      <c r="G95" s="19"/>
      <c r="H95" s="19"/>
      <c r="I95" s="19"/>
      <c r="J95" s="24"/>
      <c r="K95" s="24"/>
      <c r="L95" s="24"/>
      <c r="M95" s="24"/>
      <c r="N95" s="24"/>
      <c r="O95" s="28"/>
      <c r="T95" s="25">
        <f t="shared" si="3"/>
        <v>0</v>
      </c>
    </row>
    <row r="96" spans="2:22" x14ac:dyDescent="0.3">
      <c r="B96" s="2" t="s">
        <v>552</v>
      </c>
      <c r="C96" s="2" t="s">
        <v>134</v>
      </c>
      <c r="D96" s="20" t="s">
        <v>517</v>
      </c>
      <c r="E96" s="2" t="s">
        <v>200</v>
      </c>
      <c r="F96" s="20"/>
      <c r="G96" s="20" t="s">
        <v>357</v>
      </c>
      <c r="H96" s="2" t="s">
        <v>200</v>
      </c>
      <c r="I96" s="20"/>
      <c r="J96" s="17" t="s">
        <v>510</v>
      </c>
      <c r="K96" s="2" t="s">
        <v>200</v>
      </c>
      <c r="L96" s="17"/>
      <c r="M96" s="17" t="s">
        <v>480</v>
      </c>
      <c r="N96" s="2" t="s">
        <v>200</v>
      </c>
      <c r="O96" s="17"/>
      <c r="Q96" s="8">
        <v>4</v>
      </c>
      <c r="R96" s="8">
        <v>4</v>
      </c>
      <c r="S96" s="8">
        <f t="shared" ref="S96:S100" si="6">+COUNTIF(D96:O96,"A")+COUNTIF(D96:O96,"C")</f>
        <v>4</v>
      </c>
      <c r="T96" s="25">
        <f t="shared" si="3"/>
        <v>4</v>
      </c>
    </row>
    <row r="97" spans="2:22" x14ac:dyDescent="0.3">
      <c r="B97" s="2" t="s">
        <v>552</v>
      </c>
      <c r="C97" s="2" t="s">
        <v>135</v>
      </c>
      <c r="D97" s="20" t="s">
        <v>499</v>
      </c>
      <c r="E97" s="2" t="s">
        <v>200</v>
      </c>
      <c r="F97" s="20"/>
      <c r="G97" s="20" t="s">
        <v>503</v>
      </c>
      <c r="H97" s="2" t="s">
        <v>200</v>
      </c>
      <c r="I97" s="20"/>
      <c r="J97" s="17" t="s">
        <v>484</v>
      </c>
      <c r="K97" s="2" t="s">
        <v>200</v>
      </c>
      <c r="L97" s="17"/>
      <c r="M97" s="17" t="s">
        <v>548</v>
      </c>
      <c r="N97" s="2" t="s">
        <v>200</v>
      </c>
      <c r="O97" s="17"/>
      <c r="Q97" s="8">
        <v>4</v>
      </c>
      <c r="R97" s="8">
        <v>4</v>
      </c>
      <c r="S97" s="8">
        <f t="shared" si="6"/>
        <v>4</v>
      </c>
      <c r="T97" s="25">
        <f t="shared" si="3"/>
        <v>4</v>
      </c>
    </row>
    <row r="98" spans="2:22" x14ac:dyDescent="0.3">
      <c r="B98" s="2" t="s">
        <v>552</v>
      </c>
      <c r="C98" s="2" t="s">
        <v>135</v>
      </c>
      <c r="D98" s="20" t="s">
        <v>500</v>
      </c>
      <c r="E98" s="20" t="s">
        <v>240</v>
      </c>
      <c r="F98" s="20"/>
      <c r="G98" s="20" t="s">
        <v>599</v>
      </c>
      <c r="H98" s="20" t="s">
        <v>408</v>
      </c>
      <c r="I98" s="20"/>
      <c r="J98" s="17" t="s">
        <v>485</v>
      </c>
      <c r="K98" s="2" t="s">
        <v>200</v>
      </c>
      <c r="L98" s="17"/>
      <c r="M98" s="17" t="s">
        <v>486</v>
      </c>
      <c r="N98" s="17" t="s">
        <v>200</v>
      </c>
      <c r="O98" s="17"/>
      <c r="Q98" s="8">
        <v>4</v>
      </c>
      <c r="R98" s="8">
        <v>2</v>
      </c>
      <c r="S98" s="8">
        <f t="shared" si="6"/>
        <v>3</v>
      </c>
      <c r="T98" s="25">
        <f t="shared" si="3"/>
        <v>4</v>
      </c>
    </row>
    <row r="99" spans="2:22" s="3" customFormat="1" x14ac:dyDescent="0.3">
      <c r="B99" s="2" t="s">
        <v>552</v>
      </c>
      <c r="C99" s="2" t="s">
        <v>146</v>
      </c>
      <c r="D99" s="20" t="s">
        <v>595</v>
      </c>
      <c r="E99" s="20" t="s">
        <v>408</v>
      </c>
      <c r="F99" s="20"/>
      <c r="G99" s="20" t="s">
        <v>361</v>
      </c>
      <c r="H99" s="2" t="s">
        <v>200</v>
      </c>
      <c r="I99" s="20"/>
      <c r="J99" s="17" t="s">
        <v>362</v>
      </c>
      <c r="K99" s="5" t="s">
        <v>200</v>
      </c>
      <c r="L99" s="17"/>
      <c r="M99" s="17" t="s">
        <v>477</v>
      </c>
      <c r="N99" s="5" t="s">
        <v>200</v>
      </c>
      <c r="O99" s="17"/>
      <c r="P99" s="8"/>
      <c r="Q99" s="8">
        <v>4</v>
      </c>
      <c r="R99" s="8">
        <v>3</v>
      </c>
      <c r="S99" s="8">
        <f t="shared" si="6"/>
        <v>4</v>
      </c>
      <c r="T99" s="25">
        <f t="shared" si="3"/>
        <v>4</v>
      </c>
      <c r="V99"/>
    </row>
    <row r="100" spans="2:22" x14ac:dyDescent="0.3">
      <c r="B100" s="2" t="s">
        <v>557</v>
      </c>
      <c r="C100" s="2" t="s">
        <v>137</v>
      </c>
      <c r="D100" s="20" t="s">
        <v>596</v>
      </c>
      <c r="E100" s="20" t="s">
        <v>240</v>
      </c>
      <c r="F100" s="20"/>
      <c r="G100" s="20" t="s">
        <v>518</v>
      </c>
      <c r="H100" s="2" t="s">
        <v>200</v>
      </c>
      <c r="I100" s="20"/>
      <c r="J100" s="17" t="s">
        <v>665</v>
      </c>
      <c r="K100" s="17" t="s">
        <v>240</v>
      </c>
      <c r="L100" s="17"/>
      <c r="M100" s="17" t="s">
        <v>652</v>
      </c>
      <c r="N100" s="17" t="s">
        <v>240</v>
      </c>
      <c r="O100" s="17"/>
      <c r="Q100" s="8">
        <v>4</v>
      </c>
      <c r="R100" s="8">
        <v>1</v>
      </c>
      <c r="S100" s="8">
        <f t="shared" si="6"/>
        <v>1</v>
      </c>
      <c r="T100" s="25">
        <f t="shared" ref="T100:T112" si="7">SUM(P100:Q100)</f>
        <v>4</v>
      </c>
    </row>
    <row r="101" spans="2:22" x14ac:dyDescent="0.3">
      <c r="B101" s="6"/>
      <c r="C101" s="6" t="s">
        <v>149</v>
      </c>
      <c r="D101" s="18"/>
      <c r="E101" s="19"/>
      <c r="F101" s="19"/>
      <c r="G101" s="19"/>
      <c r="H101" s="19"/>
      <c r="I101" s="19"/>
      <c r="J101" s="24"/>
      <c r="K101" s="24"/>
      <c r="L101" s="24"/>
      <c r="M101" s="24"/>
      <c r="N101" s="24"/>
      <c r="O101" s="28"/>
      <c r="T101" s="25">
        <f t="shared" si="7"/>
        <v>0</v>
      </c>
    </row>
    <row r="102" spans="2:22" x14ac:dyDescent="0.3">
      <c r="B102" s="2" t="s">
        <v>552</v>
      </c>
      <c r="C102" s="2" t="s">
        <v>134</v>
      </c>
      <c r="D102" s="20" t="s">
        <v>218</v>
      </c>
      <c r="E102" s="2" t="s">
        <v>200</v>
      </c>
      <c r="F102" s="20"/>
      <c r="G102" s="20" t="s">
        <v>543</v>
      </c>
      <c r="H102" s="2" t="s">
        <v>200</v>
      </c>
      <c r="I102" s="20"/>
      <c r="J102" s="17" t="s">
        <v>663</v>
      </c>
      <c r="K102" s="17" t="s">
        <v>240</v>
      </c>
      <c r="L102" s="17"/>
      <c r="M102" s="17" t="s">
        <v>664</v>
      </c>
      <c r="N102" s="17" t="s">
        <v>240</v>
      </c>
      <c r="O102" s="17"/>
      <c r="Q102" s="8">
        <v>4</v>
      </c>
      <c r="R102" s="8">
        <v>2</v>
      </c>
      <c r="S102" s="8">
        <f t="shared" ref="S102:S106" si="8">+COUNTIF(D102:O102,"A")+COUNTIF(D102:O102,"C")</f>
        <v>2</v>
      </c>
      <c r="T102" s="25">
        <f t="shared" si="7"/>
        <v>4</v>
      </c>
    </row>
    <row r="103" spans="2:22" x14ac:dyDescent="0.3">
      <c r="B103" s="2" t="s">
        <v>552</v>
      </c>
      <c r="C103" s="2" t="s">
        <v>135</v>
      </c>
      <c r="D103" s="20" t="s">
        <v>603</v>
      </c>
      <c r="E103" s="20" t="s">
        <v>408</v>
      </c>
      <c r="F103" s="20"/>
      <c r="G103" s="20" t="s">
        <v>620</v>
      </c>
      <c r="H103" s="20" t="s">
        <v>240</v>
      </c>
      <c r="I103" s="20"/>
      <c r="J103" s="17" t="s">
        <v>512</v>
      </c>
      <c r="K103" s="2" t="s">
        <v>200</v>
      </c>
      <c r="L103" s="17"/>
      <c r="M103" s="17" t="s">
        <v>487</v>
      </c>
      <c r="N103" s="2" t="s">
        <v>200</v>
      </c>
      <c r="O103" s="17"/>
      <c r="Q103" s="8">
        <v>4</v>
      </c>
      <c r="R103" s="8">
        <v>2</v>
      </c>
      <c r="S103" s="8">
        <f t="shared" si="8"/>
        <v>3</v>
      </c>
      <c r="T103" s="25">
        <f t="shared" si="7"/>
        <v>4</v>
      </c>
    </row>
    <row r="104" spans="2:22" x14ac:dyDescent="0.3">
      <c r="B104" s="2" t="s">
        <v>552</v>
      </c>
      <c r="C104" s="2" t="s">
        <v>135</v>
      </c>
      <c r="D104" s="20" t="s">
        <v>609</v>
      </c>
      <c r="E104" s="2" t="s">
        <v>200</v>
      </c>
      <c r="F104" s="20"/>
      <c r="G104" s="20" t="s">
        <v>600</v>
      </c>
      <c r="H104" s="20" t="s">
        <v>240</v>
      </c>
      <c r="I104" s="20"/>
      <c r="J104" s="17" t="s">
        <v>488</v>
      </c>
      <c r="K104" s="2" t="s">
        <v>200</v>
      </c>
      <c r="L104" s="17"/>
      <c r="M104" s="17" t="s">
        <v>547</v>
      </c>
      <c r="N104" s="17" t="s">
        <v>240</v>
      </c>
      <c r="O104" s="17"/>
      <c r="Q104" s="8">
        <v>4</v>
      </c>
      <c r="R104" s="8">
        <v>2</v>
      </c>
      <c r="S104" s="8">
        <f t="shared" si="8"/>
        <v>2</v>
      </c>
      <c r="T104" s="25">
        <f t="shared" si="7"/>
        <v>4</v>
      </c>
    </row>
    <row r="105" spans="2:22" s="3" customFormat="1" x14ac:dyDescent="0.3">
      <c r="B105" s="2" t="s">
        <v>552</v>
      </c>
      <c r="C105" s="2" t="s">
        <v>146</v>
      </c>
      <c r="D105" s="20" t="s">
        <v>458</v>
      </c>
      <c r="E105" s="2" t="s">
        <v>200</v>
      </c>
      <c r="F105" s="20"/>
      <c r="G105" s="20" t="s">
        <v>344</v>
      </c>
      <c r="H105" s="2" t="s">
        <v>200</v>
      </c>
      <c r="I105" s="20"/>
      <c r="J105" s="17" t="s">
        <v>345</v>
      </c>
      <c r="K105" s="5" t="s">
        <v>200</v>
      </c>
      <c r="L105" s="17"/>
      <c r="M105" s="17" t="s">
        <v>346</v>
      </c>
      <c r="N105" s="5" t="s">
        <v>200</v>
      </c>
      <c r="O105" s="17"/>
      <c r="P105" s="8"/>
      <c r="Q105" s="8">
        <v>4</v>
      </c>
      <c r="R105" s="8">
        <v>4</v>
      </c>
      <c r="S105" s="8">
        <f t="shared" si="8"/>
        <v>4</v>
      </c>
      <c r="T105" s="25">
        <f t="shared" si="7"/>
        <v>4</v>
      </c>
      <c r="V105"/>
    </row>
    <row r="106" spans="2:22" x14ac:dyDescent="0.3">
      <c r="B106" s="2" t="s">
        <v>557</v>
      </c>
      <c r="C106" s="2" t="s">
        <v>137</v>
      </c>
      <c r="D106" s="20" t="s">
        <v>645</v>
      </c>
      <c r="E106" s="20" t="s">
        <v>240</v>
      </c>
      <c r="F106" s="20"/>
      <c r="G106" s="20" t="s">
        <v>648</v>
      </c>
      <c r="H106" s="20" t="s">
        <v>240</v>
      </c>
      <c r="I106" s="20"/>
      <c r="J106" s="17" t="s">
        <v>678</v>
      </c>
      <c r="K106" s="17" t="s">
        <v>240</v>
      </c>
      <c r="L106" s="17"/>
      <c r="M106" s="17" t="s">
        <v>679</v>
      </c>
      <c r="N106" s="17" t="s">
        <v>240</v>
      </c>
      <c r="O106" s="17"/>
      <c r="Q106" s="8">
        <v>4</v>
      </c>
      <c r="S106" s="8">
        <f t="shared" si="8"/>
        <v>0</v>
      </c>
      <c r="T106" s="25">
        <f t="shared" si="7"/>
        <v>4</v>
      </c>
    </row>
    <row r="107" spans="2:22" x14ac:dyDescent="0.3">
      <c r="B107" s="6"/>
      <c r="C107" s="6" t="s">
        <v>81</v>
      </c>
      <c r="D107" s="18"/>
      <c r="E107" s="19"/>
      <c r="F107" s="19"/>
      <c r="G107" s="19"/>
      <c r="H107" s="19"/>
      <c r="I107" s="19"/>
      <c r="J107" s="24"/>
      <c r="K107" s="24"/>
      <c r="L107" s="24"/>
      <c r="M107" s="24"/>
      <c r="N107" s="24"/>
      <c r="O107" s="28"/>
      <c r="T107" s="25">
        <f t="shared" si="7"/>
        <v>0</v>
      </c>
    </row>
    <row r="108" spans="2:22" x14ac:dyDescent="0.3">
      <c r="B108" s="2" t="s">
        <v>552</v>
      </c>
      <c r="C108" s="2" t="s">
        <v>30</v>
      </c>
      <c r="D108" s="20" t="s">
        <v>393</v>
      </c>
      <c r="E108" s="2" t="s">
        <v>200</v>
      </c>
      <c r="F108" s="20"/>
      <c r="G108" s="20" t="s">
        <v>377</v>
      </c>
      <c r="H108" s="2" t="s">
        <v>200</v>
      </c>
      <c r="I108" s="20"/>
      <c r="J108" s="20" t="s">
        <v>396</v>
      </c>
      <c r="K108" s="2" t="s">
        <v>200</v>
      </c>
      <c r="L108" s="20"/>
      <c r="M108" s="20" t="s">
        <v>407</v>
      </c>
      <c r="N108" s="2" t="s">
        <v>200</v>
      </c>
      <c r="O108" s="20"/>
      <c r="Q108" s="8">
        <v>4</v>
      </c>
      <c r="R108" s="8">
        <v>4</v>
      </c>
      <c r="S108" s="8">
        <f t="shared" ref="S108:S112" si="9">+COUNTIF(D108:O108,"A")+COUNTIF(D108:O108,"C")</f>
        <v>4</v>
      </c>
      <c r="T108" s="25">
        <f t="shared" si="7"/>
        <v>4</v>
      </c>
    </row>
    <row r="109" spans="2:22" x14ac:dyDescent="0.3">
      <c r="B109" s="2" t="s">
        <v>552</v>
      </c>
      <c r="C109" s="2" t="s">
        <v>150</v>
      </c>
      <c r="D109" s="20" t="s">
        <v>397</v>
      </c>
      <c r="E109" s="2" t="s">
        <v>200</v>
      </c>
      <c r="F109" s="20"/>
      <c r="G109" s="20" t="s">
        <v>398</v>
      </c>
      <c r="H109" s="2" t="s">
        <v>200</v>
      </c>
      <c r="I109" s="20"/>
      <c r="J109" s="20" t="s">
        <v>399</v>
      </c>
      <c r="K109" s="2" t="s">
        <v>200</v>
      </c>
      <c r="L109" s="20"/>
      <c r="M109" s="20" t="s">
        <v>400</v>
      </c>
      <c r="N109" s="2" t="s">
        <v>200</v>
      </c>
      <c r="O109" s="20"/>
      <c r="Q109" s="8">
        <v>4</v>
      </c>
      <c r="R109" s="8">
        <v>4</v>
      </c>
      <c r="S109" s="8">
        <f t="shared" si="9"/>
        <v>4</v>
      </c>
      <c r="T109" s="25">
        <f t="shared" si="7"/>
        <v>4</v>
      </c>
    </row>
    <row r="110" spans="2:22" x14ac:dyDescent="0.3">
      <c r="B110" s="2" t="s">
        <v>552</v>
      </c>
      <c r="C110" s="2" t="s">
        <v>151</v>
      </c>
      <c r="D110" s="20" t="s">
        <v>401</v>
      </c>
      <c r="E110" s="2" t="s">
        <v>200</v>
      </c>
      <c r="F110" s="20"/>
      <c r="G110" s="20" t="s">
        <v>402</v>
      </c>
      <c r="H110" s="2" t="s">
        <v>200</v>
      </c>
      <c r="I110" s="20"/>
      <c r="J110" s="20" t="s">
        <v>403</v>
      </c>
      <c r="K110" s="2" t="s">
        <v>200</v>
      </c>
      <c r="L110" s="20"/>
      <c r="M110" s="20" t="s">
        <v>404</v>
      </c>
      <c r="N110" s="2" t="s">
        <v>200</v>
      </c>
      <c r="O110" s="20"/>
      <c r="Q110" s="8">
        <v>4</v>
      </c>
      <c r="R110" s="8">
        <v>4</v>
      </c>
      <c r="S110" s="8">
        <f t="shared" si="9"/>
        <v>4</v>
      </c>
      <c r="T110" s="25">
        <f t="shared" si="7"/>
        <v>4</v>
      </c>
    </row>
    <row r="111" spans="2:22" x14ac:dyDescent="0.3">
      <c r="B111" s="2" t="s">
        <v>552</v>
      </c>
      <c r="C111" s="2" t="s">
        <v>10</v>
      </c>
      <c r="D111" s="20" t="s">
        <v>642</v>
      </c>
      <c r="E111" s="20" t="s">
        <v>408</v>
      </c>
      <c r="F111" s="20"/>
      <c r="G111" s="20" t="s">
        <v>673</v>
      </c>
      <c r="H111" s="20" t="s">
        <v>240</v>
      </c>
      <c r="I111" s="20"/>
      <c r="J111" s="20" t="s">
        <v>405</v>
      </c>
      <c r="K111" s="2" t="s">
        <v>200</v>
      </c>
      <c r="L111" s="20"/>
      <c r="M111" s="20" t="s">
        <v>634</v>
      </c>
      <c r="N111" s="2" t="s">
        <v>200</v>
      </c>
      <c r="O111" s="20"/>
      <c r="Q111" s="8">
        <v>4</v>
      </c>
      <c r="R111" s="8">
        <v>2</v>
      </c>
      <c r="S111" s="8">
        <f t="shared" si="9"/>
        <v>3</v>
      </c>
      <c r="T111" s="25">
        <f t="shared" si="7"/>
        <v>4</v>
      </c>
    </row>
    <row r="112" spans="2:22" x14ac:dyDescent="0.3">
      <c r="B112" s="2" t="s">
        <v>552</v>
      </c>
      <c r="C112" s="2" t="s">
        <v>10</v>
      </c>
      <c r="D112" s="20" t="s">
        <v>448</v>
      </c>
      <c r="E112" s="2" t="s">
        <v>200</v>
      </c>
      <c r="F112" s="20"/>
      <c r="G112" s="20" t="s">
        <v>447</v>
      </c>
      <c r="H112" s="2" t="s">
        <v>200</v>
      </c>
      <c r="I112" s="20"/>
      <c r="J112" s="20" t="s">
        <v>446</v>
      </c>
      <c r="K112" s="2" t="s">
        <v>200</v>
      </c>
      <c r="L112" s="20"/>
      <c r="M112" s="20" t="s">
        <v>363</v>
      </c>
      <c r="N112" s="2" t="s">
        <v>200</v>
      </c>
      <c r="O112" s="20"/>
      <c r="Q112" s="8">
        <v>4</v>
      </c>
      <c r="R112" s="8">
        <v>4</v>
      </c>
      <c r="S112" s="8">
        <f t="shared" si="9"/>
        <v>4</v>
      </c>
      <c r="T112" s="25">
        <f t="shared" si="7"/>
        <v>4</v>
      </c>
    </row>
    <row r="113" spans="2:22" s="3" customFormat="1" x14ac:dyDescent="0.3">
      <c r="B113" s="3" t="s">
        <v>551</v>
      </c>
      <c r="C113" s="11" t="s">
        <v>55</v>
      </c>
      <c r="D113" s="11" t="s">
        <v>157</v>
      </c>
      <c r="E113" s="3" t="s">
        <v>573</v>
      </c>
      <c r="F113" s="3" t="s">
        <v>574</v>
      </c>
      <c r="J113" s="27"/>
      <c r="K113" s="27"/>
      <c r="L113" s="27"/>
      <c r="M113" s="27"/>
      <c r="N113" s="27"/>
      <c r="O113" s="27"/>
      <c r="P113" s="8"/>
      <c r="Q113" s="8"/>
      <c r="R113" s="8"/>
      <c r="S113" s="8"/>
      <c r="T113" s="25"/>
      <c r="V113"/>
    </row>
    <row r="114" spans="2:22" x14ac:dyDescent="0.3">
      <c r="B114" t="s">
        <v>556</v>
      </c>
      <c r="C114" s="2" t="s">
        <v>158</v>
      </c>
      <c r="D114" s="20" t="s">
        <v>657</v>
      </c>
      <c r="E114" s="2" t="s">
        <v>240</v>
      </c>
      <c r="F114" s="2"/>
      <c r="Q114" s="8">
        <v>1</v>
      </c>
      <c r="S114" s="8">
        <f t="shared" ref="S114:S121" si="10">+COUNTIF(D114:O114,"A")+COUNTIF(D114:O114,"C")</f>
        <v>0</v>
      </c>
      <c r="T114" s="25">
        <f t="shared" ref="T114:T174" si="11">SUM(P114:Q114)</f>
        <v>1</v>
      </c>
    </row>
    <row r="115" spans="2:22" x14ac:dyDescent="0.3">
      <c r="B115" t="s">
        <v>556</v>
      </c>
      <c r="C115" s="2" t="s">
        <v>159</v>
      </c>
      <c r="D115" s="20" t="s">
        <v>666</v>
      </c>
      <c r="E115" s="2" t="s">
        <v>240</v>
      </c>
      <c r="F115" s="2"/>
      <c r="J115" s="13"/>
      <c r="Q115" s="8">
        <v>1</v>
      </c>
      <c r="S115" s="8">
        <f t="shared" si="10"/>
        <v>0</v>
      </c>
      <c r="T115" s="25">
        <f t="shared" si="11"/>
        <v>1</v>
      </c>
    </row>
    <row r="116" spans="2:22" x14ac:dyDescent="0.3">
      <c r="B116" t="s">
        <v>556</v>
      </c>
      <c r="C116" s="2" t="s">
        <v>168</v>
      </c>
      <c r="D116" s="20" t="s">
        <v>672</v>
      </c>
      <c r="E116" s="2" t="s">
        <v>240</v>
      </c>
      <c r="F116" s="2"/>
      <c r="J116" s="13"/>
      <c r="Q116" s="8">
        <v>1</v>
      </c>
      <c r="S116" s="8">
        <f t="shared" si="10"/>
        <v>0</v>
      </c>
      <c r="T116" s="25">
        <f t="shared" si="11"/>
        <v>1</v>
      </c>
    </row>
    <row r="117" spans="2:22" x14ac:dyDescent="0.3">
      <c r="B117" t="s">
        <v>556</v>
      </c>
      <c r="C117" s="2" t="s">
        <v>169</v>
      </c>
      <c r="D117" s="20" t="s">
        <v>656</v>
      </c>
      <c r="E117" s="2" t="s">
        <v>240</v>
      </c>
      <c r="F117" s="2"/>
      <c r="J117" s="13"/>
      <c r="Q117" s="8">
        <v>1</v>
      </c>
      <c r="S117" s="8">
        <f t="shared" si="10"/>
        <v>0</v>
      </c>
      <c r="T117" s="25">
        <f t="shared" si="11"/>
        <v>1</v>
      </c>
    </row>
    <row r="118" spans="2:22" x14ac:dyDescent="0.3">
      <c r="B118" t="s">
        <v>556</v>
      </c>
      <c r="C118" s="2" t="s">
        <v>205</v>
      </c>
      <c r="D118" s="20" t="s">
        <v>677</v>
      </c>
      <c r="E118" s="2" t="s">
        <v>240</v>
      </c>
      <c r="F118" s="2"/>
      <c r="J118" s="13"/>
      <c r="Q118" s="8">
        <v>1</v>
      </c>
      <c r="S118" s="8">
        <f t="shared" si="10"/>
        <v>0</v>
      </c>
      <c r="T118" s="25">
        <f t="shared" si="11"/>
        <v>1</v>
      </c>
    </row>
    <row r="119" spans="2:22" x14ac:dyDescent="0.3">
      <c r="B119" t="s">
        <v>556</v>
      </c>
      <c r="C119" s="2" t="s">
        <v>206</v>
      </c>
      <c r="D119" s="20" t="s">
        <v>504</v>
      </c>
      <c r="E119" s="2" t="s">
        <v>240</v>
      </c>
      <c r="F119" s="2"/>
      <c r="J119" s="13"/>
      <c r="Q119" s="8">
        <v>1</v>
      </c>
      <c r="S119" s="8">
        <f t="shared" si="10"/>
        <v>0</v>
      </c>
      <c r="T119" s="25">
        <f t="shared" si="11"/>
        <v>1</v>
      </c>
    </row>
    <row r="120" spans="2:22" x14ac:dyDescent="0.3">
      <c r="B120" t="s">
        <v>556</v>
      </c>
      <c r="C120" s="2" t="s">
        <v>209</v>
      </c>
      <c r="D120" s="20"/>
      <c r="E120" s="2" t="s">
        <v>234</v>
      </c>
      <c r="F120" s="2"/>
      <c r="J120" s="13"/>
      <c r="Q120" s="8">
        <v>1</v>
      </c>
      <c r="S120" s="8">
        <f t="shared" si="10"/>
        <v>0</v>
      </c>
      <c r="T120" s="25">
        <f t="shared" si="11"/>
        <v>1</v>
      </c>
    </row>
    <row r="121" spans="2:22" x14ac:dyDescent="0.3">
      <c r="B121" t="s">
        <v>556</v>
      </c>
      <c r="C121" s="2" t="s">
        <v>210</v>
      </c>
      <c r="D121" s="20" t="s">
        <v>533</v>
      </c>
      <c r="E121" s="2" t="s">
        <v>200</v>
      </c>
      <c r="F121" s="2"/>
      <c r="J121" s="13"/>
      <c r="Q121" s="8">
        <v>1</v>
      </c>
      <c r="R121" s="8">
        <v>1</v>
      </c>
      <c r="S121" s="8">
        <f t="shared" si="10"/>
        <v>1</v>
      </c>
      <c r="T121" s="25">
        <f t="shared" si="11"/>
        <v>1</v>
      </c>
    </row>
    <row r="122" spans="2:22" x14ac:dyDescent="0.3">
      <c r="B122" t="s">
        <v>552</v>
      </c>
      <c r="C122" s="2" t="s">
        <v>653</v>
      </c>
      <c r="D122" s="5" t="s">
        <v>489</v>
      </c>
      <c r="E122" s="2" t="s">
        <v>200</v>
      </c>
      <c r="F122" s="2"/>
      <c r="J122" s="13"/>
      <c r="T122" s="25"/>
    </row>
    <row r="123" spans="2:22" x14ac:dyDescent="0.3">
      <c r="B123" t="s">
        <v>552</v>
      </c>
      <c r="C123" s="2" t="s">
        <v>653</v>
      </c>
      <c r="D123" s="2" t="s">
        <v>395</v>
      </c>
      <c r="E123" s="2" t="s">
        <v>200</v>
      </c>
      <c r="F123" s="2"/>
      <c r="J123" s="13"/>
      <c r="T123" s="25"/>
    </row>
    <row r="124" spans="2:22" x14ac:dyDescent="0.3">
      <c r="B124" t="s">
        <v>552</v>
      </c>
      <c r="C124" s="2" t="s">
        <v>207</v>
      </c>
      <c r="D124" s="2" t="s">
        <v>442</v>
      </c>
      <c r="E124" s="2" t="s">
        <v>200</v>
      </c>
      <c r="F124" s="2"/>
      <c r="J124" s="13"/>
      <c r="P124" s="8">
        <v>1</v>
      </c>
      <c r="T124" s="25">
        <f t="shared" si="11"/>
        <v>1</v>
      </c>
    </row>
    <row r="125" spans="2:22" x14ac:dyDescent="0.3">
      <c r="B125" t="s">
        <v>552</v>
      </c>
      <c r="C125" s="2" t="s">
        <v>208</v>
      </c>
      <c r="D125" s="2" t="s">
        <v>441</v>
      </c>
      <c r="E125" s="2" t="s">
        <v>200</v>
      </c>
      <c r="F125" s="2"/>
      <c r="P125" s="8">
        <v>1</v>
      </c>
      <c r="T125" s="25">
        <f t="shared" si="11"/>
        <v>1</v>
      </c>
    </row>
    <row r="126" spans="2:22" x14ac:dyDescent="0.3">
      <c r="B126" t="s">
        <v>552</v>
      </c>
      <c r="C126" s="2" t="s">
        <v>459</v>
      </c>
      <c r="D126" s="2" t="s">
        <v>460</v>
      </c>
      <c r="E126" s="2" t="s">
        <v>200</v>
      </c>
      <c r="F126" s="2"/>
      <c r="P126" s="8">
        <v>1</v>
      </c>
      <c r="T126" s="25">
        <f t="shared" si="11"/>
        <v>1</v>
      </c>
    </row>
    <row r="127" spans="2:22" x14ac:dyDescent="0.3">
      <c r="B127" t="s">
        <v>552</v>
      </c>
      <c r="C127" s="2" t="s">
        <v>461</v>
      </c>
      <c r="D127" s="2" t="s">
        <v>467</v>
      </c>
      <c r="E127" s="2" t="s">
        <v>200</v>
      </c>
      <c r="F127" s="2"/>
      <c r="P127" s="8">
        <v>1</v>
      </c>
      <c r="T127" s="25">
        <f t="shared" si="11"/>
        <v>1</v>
      </c>
    </row>
    <row r="128" spans="2:22" x14ac:dyDescent="0.3">
      <c r="B128" t="s">
        <v>557</v>
      </c>
      <c r="C128" s="2" t="s">
        <v>160</v>
      </c>
      <c r="D128" s="2" t="s">
        <v>409</v>
      </c>
      <c r="E128" s="2" t="s">
        <v>200</v>
      </c>
      <c r="F128" s="2"/>
      <c r="P128" s="8">
        <v>1</v>
      </c>
      <c r="T128" s="25">
        <f t="shared" si="11"/>
        <v>1</v>
      </c>
    </row>
    <row r="129" spans="2:22" x14ac:dyDescent="0.3">
      <c r="B129" t="s">
        <v>557</v>
      </c>
      <c r="C129" s="2" t="s">
        <v>161</v>
      </c>
      <c r="D129" s="2" t="s">
        <v>410</v>
      </c>
      <c r="E129" s="2" t="s">
        <v>200</v>
      </c>
      <c r="F129" s="2"/>
      <c r="G129" s="3"/>
      <c r="P129" s="8">
        <v>1</v>
      </c>
      <c r="T129" s="25">
        <f t="shared" si="11"/>
        <v>1</v>
      </c>
    </row>
    <row r="130" spans="2:22" x14ac:dyDescent="0.3">
      <c r="B130" t="s">
        <v>557</v>
      </c>
      <c r="C130" s="2" t="s">
        <v>162</v>
      </c>
      <c r="D130" s="20" t="s">
        <v>627</v>
      </c>
      <c r="E130" s="2" t="s">
        <v>200</v>
      </c>
      <c r="F130" s="2"/>
      <c r="Q130" s="8">
        <v>1</v>
      </c>
      <c r="R130" s="8">
        <v>1</v>
      </c>
      <c r="S130" s="8">
        <f t="shared" ref="S130:S131" si="12">+COUNTIF(D130:O130,"A")+COUNTIF(D130:O130,"C")</f>
        <v>1</v>
      </c>
      <c r="T130" s="25">
        <f t="shared" si="11"/>
        <v>1</v>
      </c>
    </row>
    <row r="131" spans="2:22" x14ac:dyDescent="0.3">
      <c r="B131" t="s">
        <v>557</v>
      </c>
      <c r="C131" s="2" t="s">
        <v>163</v>
      </c>
      <c r="D131" s="20" t="s">
        <v>411</v>
      </c>
      <c r="E131" s="2" t="s">
        <v>200</v>
      </c>
      <c r="F131" s="2"/>
      <c r="Q131" s="8">
        <v>1</v>
      </c>
      <c r="R131" s="8">
        <v>1</v>
      </c>
      <c r="S131" s="8">
        <f t="shared" si="12"/>
        <v>1</v>
      </c>
      <c r="T131" s="25">
        <f t="shared" si="11"/>
        <v>1</v>
      </c>
    </row>
    <row r="132" spans="2:22" x14ac:dyDescent="0.3">
      <c r="B132" t="s">
        <v>557</v>
      </c>
      <c r="C132" s="2" t="s">
        <v>164</v>
      </c>
      <c r="D132" s="2" t="s">
        <v>538</v>
      </c>
      <c r="E132" s="2" t="s">
        <v>200</v>
      </c>
      <c r="F132" s="2"/>
      <c r="G132" s="14"/>
      <c r="P132" s="8">
        <v>1</v>
      </c>
      <c r="T132" s="25">
        <f t="shared" si="11"/>
        <v>1</v>
      </c>
    </row>
    <row r="133" spans="2:22" x14ac:dyDescent="0.3">
      <c r="B133" t="s">
        <v>557</v>
      </c>
      <c r="C133" s="2" t="s">
        <v>165</v>
      </c>
      <c r="D133" s="20"/>
      <c r="E133" s="2" t="s">
        <v>234</v>
      </c>
      <c r="F133" s="2"/>
      <c r="Q133" s="8">
        <v>1</v>
      </c>
      <c r="S133" s="8">
        <f>+COUNTIF(D133:O133,"A")+COUNTIF(D133:O133,"C")</f>
        <v>0</v>
      </c>
      <c r="T133" s="25">
        <f t="shared" si="11"/>
        <v>1</v>
      </c>
    </row>
    <row r="134" spans="2:22" x14ac:dyDescent="0.3">
      <c r="T134" s="25">
        <f t="shared" si="11"/>
        <v>0</v>
      </c>
    </row>
    <row r="135" spans="2:22" s="3" customFormat="1" x14ac:dyDescent="0.3">
      <c r="B135" s="3" t="s">
        <v>551</v>
      </c>
      <c r="C135" s="11" t="s">
        <v>55</v>
      </c>
      <c r="D135" s="11" t="s">
        <v>166</v>
      </c>
      <c r="E135" s="3" t="s">
        <v>575</v>
      </c>
      <c r="F135" s="3" t="s">
        <v>576</v>
      </c>
      <c r="J135" s="27"/>
      <c r="K135" s="27"/>
      <c r="L135" s="27"/>
      <c r="M135" s="27"/>
      <c r="N135" s="27"/>
      <c r="O135" s="27"/>
      <c r="P135" s="8"/>
      <c r="Q135" s="8"/>
      <c r="R135" s="8"/>
      <c r="S135" s="8"/>
      <c r="T135" s="25">
        <f t="shared" si="11"/>
        <v>0</v>
      </c>
      <c r="V135"/>
    </row>
    <row r="136" spans="2:22" x14ac:dyDescent="0.3">
      <c r="B136" t="s">
        <v>557</v>
      </c>
      <c r="C136" s="2" t="s">
        <v>167</v>
      </c>
      <c r="D136" s="20"/>
      <c r="E136" s="2" t="s">
        <v>234</v>
      </c>
      <c r="F136" s="2"/>
      <c r="Q136" s="8">
        <v>1</v>
      </c>
      <c r="S136" s="8">
        <f t="shared" ref="S136:S144" si="13">+COUNTIF(D136:O136,"A")+COUNTIF(D136:O136,"C")</f>
        <v>0</v>
      </c>
      <c r="T136" s="25">
        <f t="shared" si="11"/>
        <v>1</v>
      </c>
    </row>
    <row r="137" spans="2:22" x14ac:dyDescent="0.3">
      <c r="B137" t="s">
        <v>557</v>
      </c>
      <c r="C137" s="2" t="s">
        <v>211</v>
      </c>
      <c r="D137" s="20" t="s">
        <v>580</v>
      </c>
      <c r="E137" s="2" t="s">
        <v>408</v>
      </c>
      <c r="F137" s="2"/>
      <c r="Q137" s="8">
        <v>1</v>
      </c>
      <c r="S137" s="8">
        <f t="shared" si="13"/>
        <v>1</v>
      </c>
      <c r="T137" s="25">
        <f t="shared" si="11"/>
        <v>1</v>
      </c>
    </row>
    <row r="138" spans="2:22" x14ac:dyDescent="0.3">
      <c r="B138" t="s">
        <v>552</v>
      </c>
      <c r="C138" s="2" t="s">
        <v>56</v>
      </c>
      <c r="D138" s="20" t="s">
        <v>520</v>
      </c>
      <c r="E138" s="2" t="s">
        <v>200</v>
      </c>
      <c r="F138" s="2"/>
      <c r="Q138" s="8">
        <v>1</v>
      </c>
      <c r="R138" s="8">
        <v>1</v>
      </c>
      <c r="S138" s="8">
        <f t="shared" si="13"/>
        <v>1</v>
      </c>
      <c r="T138" s="25">
        <f t="shared" si="11"/>
        <v>1</v>
      </c>
    </row>
    <row r="139" spans="2:22" x14ac:dyDescent="0.3">
      <c r="B139" t="s">
        <v>552</v>
      </c>
      <c r="C139" s="2" t="s">
        <v>62</v>
      </c>
      <c r="D139" s="20" t="s">
        <v>412</v>
      </c>
      <c r="E139" s="2" t="s">
        <v>200</v>
      </c>
      <c r="F139" s="2"/>
      <c r="Q139" s="8">
        <v>1</v>
      </c>
      <c r="R139" s="8">
        <v>1</v>
      </c>
      <c r="S139" s="8">
        <f t="shared" si="13"/>
        <v>1</v>
      </c>
      <c r="T139" s="25">
        <f t="shared" si="11"/>
        <v>1</v>
      </c>
    </row>
    <row r="140" spans="2:22" x14ac:dyDescent="0.3">
      <c r="B140" t="s">
        <v>552</v>
      </c>
      <c r="C140" s="2" t="s">
        <v>63</v>
      </c>
      <c r="D140" s="20" t="s">
        <v>450</v>
      </c>
      <c r="E140" s="2" t="s">
        <v>200</v>
      </c>
      <c r="F140" s="2"/>
      <c r="Q140" s="8">
        <v>1</v>
      </c>
      <c r="R140" s="8">
        <v>1</v>
      </c>
      <c r="S140" s="8">
        <f t="shared" si="13"/>
        <v>1</v>
      </c>
      <c r="T140" s="25">
        <f t="shared" si="11"/>
        <v>1</v>
      </c>
    </row>
    <row r="141" spans="2:22" x14ac:dyDescent="0.3">
      <c r="B141" t="s">
        <v>552</v>
      </c>
      <c r="C141" s="2" t="s">
        <v>64</v>
      </c>
      <c r="D141" s="20" t="s">
        <v>451</v>
      </c>
      <c r="E141" s="2" t="s">
        <v>200</v>
      </c>
      <c r="F141" s="2"/>
      <c r="Q141" s="8">
        <v>1</v>
      </c>
      <c r="R141" s="8">
        <v>1</v>
      </c>
      <c r="S141" s="8">
        <f t="shared" si="13"/>
        <v>1</v>
      </c>
      <c r="T141" s="25">
        <f t="shared" si="11"/>
        <v>1</v>
      </c>
      <c r="V141" s="40"/>
    </row>
    <row r="142" spans="2:22" x14ac:dyDescent="0.3">
      <c r="B142" t="s">
        <v>552</v>
      </c>
      <c r="C142" s="2" t="s">
        <v>65</v>
      </c>
      <c r="D142" s="20" t="s">
        <v>452</v>
      </c>
      <c r="E142" s="2" t="s">
        <v>200</v>
      </c>
      <c r="F142" s="2"/>
      <c r="Q142" s="8">
        <v>1</v>
      </c>
      <c r="R142" s="8">
        <v>1</v>
      </c>
      <c r="S142" s="8">
        <f t="shared" si="13"/>
        <v>1</v>
      </c>
      <c r="T142" s="25">
        <f t="shared" si="11"/>
        <v>1</v>
      </c>
      <c r="V142" s="40"/>
    </row>
    <row r="143" spans="2:22" x14ac:dyDescent="0.3">
      <c r="B143" t="s">
        <v>552</v>
      </c>
      <c r="C143" s="2" t="s">
        <v>66</v>
      </c>
      <c r="D143" s="20"/>
      <c r="E143" s="2" t="s">
        <v>234</v>
      </c>
      <c r="F143" s="2"/>
      <c r="Q143" s="8">
        <v>1</v>
      </c>
      <c r="S143" s="8">
        <f t="shared" si="13"/>
        <v>0</v>
      </c>
      <c r="T143" s="25">
        <f t="shared" si="11"/>
        <v>1</v>
      </c>
      <c r="V143" s="40"/>
    </row>
    <row r="144" spans="2:22" x14ac:dyDescent="0.3">
      <c r="B144" t="s">
        <v>552</v>
      </c>
      <c r="C144" s="2" t="s">
        <v>67</v>
      </c>
      <c r="D144" s="20" t="s">
        <v>534</v>
      </c>
      <c r="E144" s="2" t="s">
        <v>200</v>
      </c>
      <c r="F144" s="2"/>
      <c r="Q144" s="8">
        <v>1</v>
      </c>
      <c r="R144" s="8">
        <v>1</v>
      </c>
      <c r="S144" s="8">
        <f t="shared" si="13"/>
        <v>1</v>
      </c>
      <c r="T144" s="25">
        <f t="shared" si="11"/>
        <v>1</v>
      </c>
      <c r="V144" s="40"/>
    </row>
    <row r="145" spans="3:22" x14ac:dyDescent="0.3">
      <c r="T145" s="25">
        <f t="shared" si="11"/>
        <v>0</v>
      </c>
      <c r="V145" s="40"/>
    </row>
    <row r="146" spans="3:22" s="3" customFormat="1" x14ac:dyDescent="0.3">
      <c r="C146" s="11" t="s">
        <v>170</v>
      </c>
      <c r="D146" s="12"/>
      <c r="J146" s="27"/>
      <c r="K146" s="27"/>
      <c r="L146" s="27"/>
      <c r="M146" s="27"/>
      <c r="N146" s="27"/>
      <c r="O146" s="27"/>
      <c r="P146" s="8"/>
      <c r="Q146" s="8"/>
      <c r="R146" s="8"/>
      <c r="S146" s="8"/>
      <c r="T146" s="25">
        <f t="shared" si="11"/>
        <v>0</v>
      </c>
      <c r="V146" s="40"/>
    </row>
    <row r="147" spans="3:22" s="3" customFormat="1" x14ac:dyDescent="0.3">
      <c r="C147" s="11" t="s">
        <v>92</v>
      </c>
      <c r="D147" s="12"/>
      <c r="J147" s="27"/>
      <c r="K147" s="27"/>
      <c r="L147" s="27"/>
      <c r="M147" s="27"/>
      <c r="N147" s="27"/>
      <c r="O147" s="27"/>
      <c r="P147" s="8"/>
      <c r="Q147" s="8"/>
      <c r="R147" s="8"/>
      <c r="S147" s="8"/>
      <c r="T147" s="25">
        <f t="shared" si="11"/>
        <v>0</v>
      </c>
      <c r="V147" s="40"/>
    </row>
    <row r="148" spans="3:22" x14ac:dyDescent="0.3">
      <c r="C148" s="2" t="s">
        <v>33</v>
      </c>
      <c r="D148" s="2" t="s">
        <v>626</v>
      </c>
      <c r="E148" s="2" t="s">
        <v>200</v>
      </c>
      <c r="F148" s="2" t="s">
        <v>201</v>
      </c>
      <c r="P148" s="8">
        <v>1</v>
      </c>
      <c r="T148" s="25">
        <f t="shared" si="11"/>
        <v>1</v>
      </c>
      <c r="V148" s="40"/>
    </row>
    <row r="149" spans="3:22" x14ac:dyDescent="0.3">
      <c r="C149" s="11" t="s">
        <v>171</v>
      </c>
      <c r="D149" s="12"/>
      <c r="T149" s="25">
        <f t="shared" si="11"/>
        <v>0</v>
      </c>
      <c r="V149" s="40"/>
    </row>
    <row r="150" spans="3:22" x14ac:dyDescent="0.3">
      <c r="C150" s="2" t="s">
        <v>35</v>
      </c>
      <c r="D150" s="2" t="s">
        <v>175</v>
      </c>
      <c r="E150" s="2" t="s">
        <v>200</v>
      </c>
      <c r="F150" s="2" t="s">
        <v>201</v>
      </c>
      <c r="P150" s="8">
        <v>1</v>
      </c>
      <c r="T150" s="25">
        <f t="shared" si="11"/>
        <v>1</v>
      </c>
      <c r="V150" s="40"/>
    </row>
    <row r="151" spans="3:22" x14ac:dyDescent="0.3">
      <c r="C151" s="2" t="s">
        <v>172</v>
      </c>
      <c r="D151" s="2" t="s">
        <v>176</v>
      </c>
      <c r="E151" s="2" t="s">
        <v>200</v>
      </c>
      <c r="F151" s="2" t="s">
        <v>201</v>
      </c>
      <c r="P151" s="8">
        <v>1</v>
      </c>
      <c r="T151" s="25">
        <f t="shared" si="11"/>
        <v>1</v>
      </c>
      <c r="V151" s="40"/>
    </row>
    <row r="152" spans="3:22" x14ac:dyDescent="0.3">
      <c r="C152" s="2" t="s">
        <v>173</v>
      </c>
      <c r="D152" s="2" t="s">
        <v>177</v>
      </c>
      <c r="E152" s="2" t="s">
        <v>200</v>
      </c>
      <c r="F152" s="2" t="s">
        <v>201</v>
      </c>
      <c r="P152" s="8">
        <v>1</v>
      </c>
      <c r="T152" s="25">
        <f t="shared" si="11"/>
        <v>1</v>
      </c>
      <c r="V152" s="40"/>
    </row>
    <row r="153" spans="3:22" x14ac:dyDescent="0.3">
      <c r="C153" s="11" t="s">
        <v>89</v>
      </c>
      <c r="D153" s="14"/>
      <c r="T153" s="25">
        <f t="shared" si="11"/>
        <v>0</v>
      </c>
      <c r="V153" s="40"/>
    </row>
    <row r="154" spans="3:22" x14ac:dyDescent="0.3">
      <c r="C154" s="2" t="s">
        <v>69</v>
      </c>
      <c r="D154" s="2" t="s">
        <v>178</v>
      </c>
      <c r="E154" s="2" t="s">
        <v>200</v>
      </c>
      <c r="F154" s="2"/>
      <c r="P154" s="8">
        <v>1</v>
      </c>
      <c r="T154" s="25">
        <f t="shared" si="11"/>
        <v>1</v>
      </c>
      <c r="V154" s="40"/>
    </row>
    <row r="155" spans="3:22" x14ac:dyDescent="0.3">
      <c r="C155" s="2" t="s">
        <v>36</v>
      </c>
      <c r="D155" s="2" t="s">
        <v>179</v>
      </c>
      <c r="E155" s="2" t="s">
        <v>200</v>
      </c>
      <c r="F155" s="2"/>
      <c r="P155" s="8">
        <v>1</v>
      </c>
      <c r="T155" s="25">
        <f t="shared" si="11"/>
        <v>1</v>
      </c>
      <c r="V155" s="40"/>
    </row>
    <row r="156" spans="3:22" x14ac:dyDescent="0.3">
      <c r="C156" s="2" t="s">
        <v>36</v>
      </c>
      <c r="D156" s="20" t="s">
        <v>180</v>
      </c>
      <c r="E156" s="2" t="s">
        <v>200</v>
      </c>
      <c r="F156" s="2"/>
      <c r="Q156" s="8">
        <v>1</v>
      </c>
      <c r="R156" s="8">
        <v>1</v>
      </c>
      <c r="S156" s="8">
        <f>+COUNTIF(D156:O156,"A")+COUNTIF(D156:O156,"C")</f>
        <v>1</v>
      </c>
      <c r="T156" s="25">
        <f t="shared" si="11"/>
        <v>1</v>
      </c>
      <c r="V156" s="40"/>
    </row>
    <row r="157" spans="3:22" x14ac:dyDescent="0.3">
      <c r="C157" s="2" t="s">
        <v>37</v>
      </c>
      <c r="D157" s="2" t="s">
        <v>637</v>
      </c>
      <c r="E157" s="2" t="s">
        <v>200</v>
      </c>
      <c r="F157" s="2"/>
      <c r="P157" s="8">
        <v>1</v>
      </c>
      <c r="T157" s="25">
        <f t="shared" si="11"/>
        <v>1</v>
      </c>
      <c r="V157" s="40"/>
    </row>
    <row r="158" spans="3:22" x14ac:dyDescent="0.3">
      <c r="C158" s="2" t="s">
        <v>38</v>
      </c>
      <c r="D158" s="2" t="s">
        <v>181</v>
      </c>
      <c r="E158" s="2" t="s">
        <v>200</v>
      </c>
      <c r="F158" s="2"/>
      <c r="P158" s="8">
        <v>1</v>
      </c>
      <c r="T158" s="25">
        <f t="shared" si="11"/>
        <v>1</v>
      </c>
      <c r="V158" s="40"/>
    </row>
    <row r="159" spans="3:22" x14ac:dyDescent="0.3">
      <c r="C159" s="2" t="s">
        <v>70</v>
      </c>
      <c r="D159" s="20" t="s">
        <v>537</v>
      </c>
      <c r="E159" s="2" t="s">
        <v>200</v>
      </c>
      <c r="F159" s="2"/>
      <c r="Q159" s="8">
        <v>1</v>
      </c>
      <c r="R159" s="8">
        <v>1</v>
      </c>
      <c r="S159" s="8">
        <f>+COUNTIF(D159:O159,"A")+COUNTIF(D159:O159,"C")</f>
        <v>1</v>
      </c>
      <c r="T159" s="25">
        <f t="shared" si="11"/>
        <v>1</v>
      </c>
      <c r="V159" s="40"/>
    </row>
    <row r="160" spans="3:22" x14ac:dyDescent="0.3">
      <c r="C160" s="2" t="s">
        <v>39</v>
      </c>
      <c r="D160" s="20" t="s">
        <v>519</v>
      </c>
      <c r="E160" s="2" t="s">
        <v>200</v>
      </c>
      <c r="F160" s="2"/>
      <c r="P160" s="8">
        <v>1</v>
      </c>
      <c r="T160" s="25">
        <f t="shared" si="11"/>
        <v>1</v>
      </c>
      <c r="V160" s="40"/>
    </row>
    <row r="161" spans="3:22" x14ac:dyDescent="0.3">
      <c r="C161" s="2" t="s">
        <v>174</v>
      </c>
      <c r="D161" s="2" t="s">
        <v>521</v>
      </c>
      <c r="E161" s="2" t="s">
        <v>200</v>
      </c>
      <c r="F161" s="2"/>
      <c r="Q161" s="8">
        <v>1</v>
      </c>
      <c r="R161" s="8">
        <v>1</v>
      </c>
      <c r="S161" s="8">
        <f t="shared" ref="S161:S162" si="14">+COUNTIF(D161:O161,"A")+COUNTIF(D161:O161,"C")</f>
        <v>1</v>
      </c>
      <c r="T161" s="25">
        <f t="shared" si="11"/>
        <v>1</v>
      </c>
      <c r="V161" s="40"/>
    </row>
    <row r="162" spans="3:22" x14ac:dyDescent="0.3">
      <c r="C162" s="2" t="s">
        <v>174</v>
      </c>
      <c r="D162" s="20" t="s">
        <v>589</v>
      </c>
      <c r="E162" s="2" t="s">
        <v>408</v>
      </c>
      <c r="F162" s="2"/>
      <c r="Q162" s="8">
        <v>1</v>
      </c>
      <c r="S162" s="8">
        <f t="shared" si="14"/>
        <v>1</v>
      </c>
      <c r="T162" s="25">
        <f t="shared" si="11"/>
        <v>1</v>
      </c>
      <c r="V162" s="40"/>
    </row>
    <row r="163" spans="3:22" x14ac:dyDescent="0.3">
      <c r="C163" s="2" t="s">
        <v>43</v>
      </c>
      <c r="D163" s="2" t="s">
        <v>182</v>
      </c>
      <c r="E163" s="2" t="s">
        <v>200</v>
      </c>
      <c r="F163" s="2"/>
      <c r="P163" s="8">
        <v>1</v>
      </c>
      <c r="T163" s="25">
        <f t="shared" si="11"/>
        <v>1</v>
      </c>
      <c r="V163" s="40"/>
    </row>
    <row r="164" spans="3:22" x14ac:dyDescent="0.3">
      <c r="C164" s="2" t="s">
        <v>40</v>
      </c>
      <c r="D164" s="2" t="s">
        <v>183</v>
      </c>
      <c r="E164" s="2" t="s">
        <v>200</v>
      </c>
      <c r="F164" s="2" t="s">
        <v>201</v>
      </c>
      <c r="P164" s="8">
        <v>1</v>
      </c>
      <c r="T164" s="25">
        <f t="shared" si="11"/>
        <v>1</v>
      </c>
      <c r="V164" s="40"/>
    </row>
    <row r="165" spans="3:22" x14ac:dyDescent="0.3">
      <c r="C165" s="2" t="s">
        <v>42</v>
      </c>
      <c r="D165" s="2" t="s">
        <v>184</v>
      </c>
      <c r="E165" s="2" t="s">
        <v>200</v>
      </c>
      <c r="F165" s="2"/>
      <c r="P165" s="8">
        <v>1</v>
      </c>
      <c r="T165" s="25">
        <f t="shared" si="11"/>
        <v>1</v>
      </c>
      <c r="V165" s="40"/>
    </row>
    <row r="166" spans="3:22" x14ac:dyDescent="0.3">
      <c r="C166" s="2" t="s">
        <v>525</v>
      </c>
      <c r="D166" s="20" t="s">
        <v>675</v>
      </c>
      <c r="E166" s="2" t="s">
        <v>240</v>
      </c>
      <c r="F166" s="2"/>
      <c r="Q166" s="8">
        <v>1</v>
      </c>
      <c r="S166" s="8">
        <f t="shared" ref="S166:S167" si="15">+COUNTIF(D166:O166,"A")+COUNTIF(D166:O166,"C")</f>
        <v>0</v>
      </c>
      <c r="T166" s="25">
        <f t="shared" si="11"/>
        <v>1</v>
      </c>
      <c r="V166" s="40"/>
    </row>
    <row r="167" spans="3:22" x14ac:dyDescent="0.3">
      <c r="C167" s="5" t="s">
        <v>185</v>
      </c>
      <c r="D167" s="20" t="s">
        <v>186</v>
      </c>
      <c r="E167" s="2" t="s">
        <v>200</v>
      </c>
      <c r="F167" s="2"/>
      <c r="Q167" s="8">
        <v>1</v>
      </c>
      <c r="R167" s="8">
        <v>1</v>
      </c>
      <c r="S167" s="8">
        <f t="shared" si="15"/>
        <v>1</v>
      </c>
      <c r="T167" s="25">
        <f t="shared" si="11"/>
        <v>1</v>
      </c>
      <c r="V167" s="40"/>
    </row>
    <row r="168" spans="3:22" x14ac:dyDescent="0.3">
      <c r="C168" s="16" t="s">
        <v>90</v>
      </c>
      <c r="D168" s="14"/>
      <c r="T168" s="25">
        <f t="shared" si="11"/>
        <v>0</v>
      </c>
      <c r="V168" s="40"/>
    </row>
    <row r="169" spans="3:22" ht="13.5" customHeight="1" x14ac:dyDescent="0.3">
      <c r="C169" s="2" t="s">
        <v>45</v>
      </c>
      <c r="D169" s="2" t="s">
        <v>187</v>
      </c>
      <c r="E169" s="2" t="s">
        <v>200</v>
      </c>
      <c r="F169" s="2" t="s">
        <v>201</v>
      </c>
      <c r="P169" s="8">
        <v>1</v>
      </c>
      <c r="T169" s="25">
        <f t="shared" si="11"/>
        <v>1</v>
      </c>
      <c r="V169" s="40"/>
    </row>
    <row r="170" spans="3:22" x14ac:dyDescent="0.3">
      <c r="C170" s="5" t="s">
        <v>46</v>
      </c>
      <c r="D170" s="15"/>
      <c r="E170" s="2" t="s">
        <v>234</v>
      </c>
      <c r="F170" s="2"/>
      <c r="P170" s="8">
        <v>1</v>
      </c>
      <c r="T170" s="25">
        <f t="shared" si="11"/>
        <v>1</v>
      </c>
      <c r="V170" s="40"/>
    </row>
    <row r="171" spans="3:22" x14ac:dyDescent="0.3">
      <c r="C171" s="2" t="s">
        <v>46</v>
      </c>
      <c r="D171" s="2" t="s">
        <v>191</v>
      </c>
      <c r="E171" s="2" t="s">
        <v>200</v>
      </c>
      <c r="F171" s="2"/>
      <c r="P171" s="8">
        <v>1</v>
      </c>
      <c r="T171" s="25">
        <f t="shared" si="11"/>
        <v>1</v>
      </c>
      <c r="V171" s="40"/>
    </row>
    <row r="172" spans="3:22" x14ac:dyDescent="0.3">
      <c r="C172" s="2" t="s">
        <v>32</v>
      </c>
      <c r="D172" s="2" t="s">
        <v>192</v>
      </c>
      <c r="E172" s="2" t="s">
        <v>200</v>
      </c>
      <c r="F172" s="2"/>
      <c r="P172" s="8">
        <v>1</v>
      </c>
      <c r="T172" s="25">
        <f t="shared" si="11"/>
        <v>1</v>
      </c>
      <c r="V172" s="40"/>
    </row>
    <row r="173" spans="3:22" x14ac:dyDescent="0.3">
      <c r="C173" s="2" t="s">
        <v>74</v>
      </c>
      <c r="D173" s="20" t="s">
        <v>193</v>
      </c>
      <c r="E173" s="2" t="s">
        <v>200</v>
      </c>
      <c r="F173" s="2"/>
      <c r="Q173" s="8">
        <v>1</v>
      </c>
      <c r="R173" s="8">
        <v>1</v>
      </c>
      <c r="S173" s="8">
        <f t="shared" ref="S173:S174" si="16">+COUNTIF(D173:O173,"A")+COUNTIF(D173:O173,"C")</f>
        <v>1</v>
      </c>
      <c r="T173" s="25">
        <f t="shared" si="11"/>
        <v>1</v>
      </c>
      <c r="V173" s="40"/>
    </row>
    <row r="174" spans="3:22" x14ac:dyDescent="0.3">
      <c r="C174" s="2" t="s">
        <v>75</v>
      </c>
      <c r="D174" s="20" t="s">
        <v>601</v>
      </c>
      <c r="E174" s="2" t="s">
        <v>408</v>
      </c>
      <c r="F174" s="2"/>
      <c r="Q174" s="8">
        <v>1</v>
      </c>
      <c r="S174" s="8">
        <f t="shared" si="16"/>
        <v>1</v>
      </c>
      <c r="T174" s="25">
        <f t="shared" si="11"/>
        <v>1</v>
      </c>
      <c r="V174" s="40"/>
    </row>
    <row r="175" spans="3:22" x14ac:dyDescent="0.3">
      <c r="C175" s="31" t="s">
        <v>545</v>
      </c>
      <c r="D175" s="49" t="s">
        <v>681</v>
      </c>
      <c r="E175" s="2" t="s">
        <v>408</v>
      </c>
      <c r="F175" s="2"/>
      <c r="T175" s="25"/>
      <c r="V175" s="40"/>
    </row>
    <row r="176" spans="3:22" x14ac:dyDescent="0.3">
      <c r="C176" s="11" t="s">
        <v>91</v>
      </c>
      <c r="D176" s="14"/>
      <c r="T176" s="25">
        <f t="shared" ref="T176:T191" si="17">SUM(P176:Q176)</f>
        <v>0</v>
      </c>
      <c r="V176" s="40"/>
    </row>
    <row r="177" spans="3:22" x14ac:dyDescent="0.3">
      <c r="C177" s="2" t="s">
        <v>44</v>
      </c>
      <c r="D177" s="2" t="s">
        <v>449</v>
      </c>
      <c r="E177" s="2" t="s">
        <v>200</v>
      </c>
      <c r="F177" s="2"/>
      <c r="P177" s="8">
        <v>1</v>
      </c>
      <c r="T177" s="25">
        <f t="shared" si="17"/>
        <v>1</v>
      </c>
      <c r="V177" s="40"/>
    </row>
    <row r="178" spans="3:22" x14ac:dyDescent="0.3">
      <c r="C178" s="2" t="s">
        <v>47</v>
      </c>
      <c r="D178" s="2" t="s">
        <v>188</v>
      </c>
      <c r="E178" s="2" t="s">
        <v>200</v>
      </c>
      <c r="F178" s="2"/>
      <c r="P178" s="8">
        <v>1</v>
      </c>
      <c r="T178" s="25">
        <f t="shared" si="17"/>
        <v>1</v>
      </c>
      <c r="V178" s="40"/>
    </row>
    <row r="179" spans="3:22" x14ac:dyDescent="0.3">
      <c r="C179" s="2" t="s">
        <v>47</v>
      </c>
      <c r="D179" s="2" t="s">
        <v>189</v>
      </c>
      <c r="E179" s="2" t="s">
        <v>200</v>
      </c>
      <c r="F179" s="2"/>
      <c r="P179" s="8">
        <v>1</v>
      </c>
      <c r="T179" s="25">
        <f t="shared" si="17"/>
        <v>1</v>
      </c>
      <c r="V179" s="40"/>
    </row>
    <row r="180" spans="3:22" x14ac:dyDescent="0.3">
      <c r="C180" s="2" t="s">
        <v>48</v>
      </c>
      <c r="D180" s="2" t="s">
        <v>424</v>
      </c>
      <c r="E180" s="2" t="s">
        <v>200</v>
      </c>
      <c r="F180" s="2"/>
      <c r="P180" s="8">
        <v>1</v>
      </c>
      <c r="T180" s="25">
        <f t="shared" si="17"/>
        <v>1</v>
      </c>
      <c r="V180" s="40"/>
    </row>
    <row r="181" spans="3:22" x14ac:dyDescent="0.3">
      <c r="C181" s="2" t="s">
        <v>49</v>
      </c>
      <c r="D181" s="2" t="s">
        <v>638</v>
      </c>
      <c r="E181" s="2" t="s">
        <v>200</v>
      </c>
      <c r="F181" s="2"/>
      <c r="P181" s="8">
        <v>1</v>
      </c>
      <c r="T181" s="25">
        <f t="shared" si="17"/>
        <v>1</v>
      </c>
      <c r="V181" s="40"/>
    </row>
    <row r="182" spans="3:22" x14ac:dyDescent="0.3">
      <c r="C182" s="11" t="s">
        <v>85</v>
      </c>
      <c r="D182" s="14"/>
      <c r="T182" s="25">
        <f t="shared" si="17"/>
        <v>0</v>
      </c>
      <c r="V182" s="40"/>
    </row>
    <row r="183" spans="3:22" x14ac:dyDescent="0.3">
      <c r="C183" s="2" t="s">
        <v>76</v>
      </c>
      <c r="D183" s="2" t="s">
        <v>194</v>
      </c>
      <c r="E183" s="2" t="s">
        <v>200</v>
      </c>
      <c r="F183" s="2"/>
      <c r="P183" s="8">
        <v>1</v>
      </c>
      <c r="T183" s="25">
        <f t="shared" si="17"/>
        <v>1</v>
      </c>
      <c r="V183" s="40"/>
    </row>
    <row r="184" spans="3:22" x14ac:dyDescent="0.3">
      <c r="C184" s="2" t="s">
        <v>528</v>
      </c>
      <c r="D184" s="20" t="s">
        <v>443</v>
      </c>
      <c r="E184" s="2" t="s">
        <v>240</v>
      </c>
      <c r="F184" s="2" t="s">
        <v>201</v>
      </c>
      <c r="Q184" s="8">
        <v>1</v>
      </c>
      <c r="S184" s="8">
        <f t="shared" ref="S184:S186" si="18">+COUNTIF(D184:O184,"A")+COUNTIF(D184:O184,"C")</f>
        <v>0</v>
      </c>
      <c r="T184" s="25">
        <f t="shared" si="17"/>
        <v>1</v>
      </c>
      <c r="V184" s="40"/>
    </row>
    <row r="185" spans="3:22" x14ac:dyDescent="0.3">
      <c r="C185" s="2" t="s">
        <v>528</v>
      </c>
      <c r="D185" s="20" t="s">
        <v>529</v>
      </c>
      <c r="E185" s="2" t="s">
        <v>200</v>
      </c>
      <c r="F185" s="2"/>
      <c r="Q185" s="8">
        <v>1</v>
      </c>
      <c r="R185" s="8">
        <v>1</v>
      </c>
      <c r="S185" s="8">
        <f t="shared" si="18"/>
        <v>1</v>
      </c>
      <c r="T185" s="25">
        <f t="shared" si="17"/>
        <v>1</v>
      </c>
      <c r="V185" s="40"/>
    </row>
    <row r="186" spans="3:22" x14ac:dyDescent="0.3">
      <c r="C186" s="2" t="s">
        <v>84</v>
      </c>
      <c r="D186" s="20" t="s">
        <v>445</v>
      </c>
      <c r="E186" s="2" t="s">
        <v>200</v>
      </c>
      <c r="F186" s="2"/>
      <c r="Q186" s="8">
        <v>1</v>
      </c>
      <c r="R186" s="8">
        <v>1</v>
      </c>
      <c r="S186" s="8">
        <f t="shared" si="18"/>
        <v>1</v>
      </c>
      <c r="T186" s="25">
        <f t="shared" si="17"/>
        <v>1</v>
      </c>
      <c r="V186" s="40"/>
    </row>
    <row r="187" spans="3:22" x14ac:dyDescent="0.3">
      <c r="C187" s="6" t="s">
        <v>87</v>
      </c>
      <c r="D187" s="14"/>
      <c r="T187" s="25">
        <f t="shared" si="17"/>
        <v>0</v>
      </c>
      <c r="V187" s="40"/>
    </row>
    <row r="188" spans="3:22" x14ac:dyDescent="0.3">
      <c r="C188" s="2" t="s">
        <v>50</v>
      </c>
      <c r="D188" s="2" t="s">
        <v>195</v>
      </c>
      <c r="E188" s="2" t="s">
        <v>200</v>
      </c>
      <c r="F188" s="2" t="s">
        <v>201</v>
      </c>
      <c r="P188" s="8">
        <v>1</v>
      </c>
      <c r="T188" s="25">
        <f t="shared" si="17"/>
        <v>1</v>
      </c>
      <c r="V188" s="40"/>
    </row>
    <row r="189" spans="3:22" x14ac:dyDescent="0.3">
      <c r="C189" s="11" t="s">
        <v>88</v>
      </c>
      <c r="D189" s="14"/>
      <c r="T189" s="25">
        <f t="shared" si="17"/>
        <v>0</v>
      </c>
      <c r="V189" s="40"/>
    </row>
    <row r="190" spans="3:22" x14ac:dyDescent="0.3">
      <c r="C190" s="2" t="s">
        <v>41</v>
      </c>
      <c r="D190" s="2" t="s">
        <v>196</v>
      </c>
      <c r="E190" s="2" t="s">
        <v>200</v>
      </c>
      <c r="F190" s="2" t="s">
        <v>201</v>
      </c>
      <c r="P190" s="8">
        <v>1</v>
      </c>
      <c r="T190" s="25">
        <f t="shared" si="17"/>
        <v>1</v>
      </c>
      <c r="V190" s="40"/>
    </row>
    <row r="191" spans="3:22" x14ac:dyDescent="0.3">
      <c r="C191" s="2" t="s">
        <v>57</v>
      </c>
      <c r="D191" s="20" t="s">
        <v>197</v>
      </c>
      <c r="E191" s="2" t="s">
        <v>200</v>
      </c>
      <c r="F191" s="2"/>
      <c r="Q191" s="8">
        <v>1</v>
      </c>
      <c r="R191" s="8">
        <v>1</v>
      </c>
      <c r="S191" s="8">
        <f>+COUNTIF(D191:O191,"A")+COUNTIF(D191:O191,"C")</f>
        <v>1</v>
      </c>
      <c r="T191" s="25">
        <f t="shared" si="17"/>
        <v>1</v>
      </c>
      <c r="V191" s="40"/>
    </row>
    <row r="192" spans="3:22" x14ac:dyDescent="0.3">
      <c r="C192" s="2" t="s">
        <v>530</v>
      </c>
      <c r="D192" s="2"/>
      <c r="E192" s="2" t="s">
        <v>234</v>
      </c>
      <c r="F192" s="2"/>
      <c r="T192" s="25"/>
      <c r="V192" s="40"/>
    </row>
    <row r="193" spans="3:22" s="1" customFormat="1" x14ac:dyDescent="0.3">
      <c r="C193" s="5" t="s">
        <v>198</v>
      </c>
      <c r="D193" s="17" t="s">
        <v>199</v>
      </c>
      <c r="E193" s="5" t="s">
        <v>200</v>
      </c>
      <c r="F193" s="5"/>
      <c r="P193" s="8"/>
      <c r="Q193" s="8">
        <v>1</v>
      </c>
      <c r="R193" s="8">
        <v>1</v>
      </c>
      <c r="S193" s="8">
        <f>+COUNTIF(D193:O193,"A")+COUNTIF(D193:O193,"C")</f>
        <v>1</v>
      </c>
      <c r="T193" s="25">
        <f>SUM(P193:Q193)</f>
        <v>1</v>
      </c>
      <c r="V193" s="40"/>
    </row>
    <row r="194" spans="3:22" x14ac:dyDescent="0.3">
      <c r="V194" s="40"/>
    </row>
    <row r="195" spans="3:22" x14ac:dyDescent="0.3">
      <c r="D195" s="13" t="s">
        <v>152</v>
      </c>
      <c r="E195" s="13">
        <f>COUNTIF(E113:E193,"A")</f>
        <v>50</v>
      </c>
      <c r="F195" s="13"/>
      <c r="P195" s="9">
        <f>SUM(P3:P193)</f>
        <v>260</v>
      </c>
      <c r="Q195" s="9">
        <f>SUM(Q3:Q193)</f>
        <v>180</v>
      </c>
      <c r="R195" s="9">
        <f>SUM(R3:R193)</f>
        <v>118</v>
      </c>
      <c r="S195" s="9">
        <f>SUM(S3:S193)</f>
        <v>139</v>
      </c>
      <c r="T195" s="8">
        <f>SUM(T2:T193)</f>
        <v>440</v>
      </c>
      <c r="V195" s="40"/>
    </row>
    <row r="196" spans="3:22" x14ac:dyDescent="0.3">
      <c r="D196" s="13" t="s">
        <v>153</v>
      </c>
      <c r="E196" s="13">
        <f>COUNTIF(E113:E191,"C")</f>
        <v>4</v>
      </c>
      <c r="F196" s="13"/>
      <c r="V196" s="40"/>
    </row>
    <row r="197" spans="3:22" x14ac:dyDescent="0.3">
      <c r="D197" s="13" t="s">
        <v>154</v>
      </c>
      <c r="E197" s="13">
        <f>COUNTIF(E113:E193,"P")</f>
        <v>8</v>
      </c>
      <c r="F197" s="13"/>
      <c r="R197" s="52">
        <f>+R195/Q195</f>
        <v>0.65555555555555556</v>
      </c>
      <c r="S197" s="8">
        <f>+S195/Q195</f>
        <v>0.77222222222222225</v>
      </c>
      <c r="V197" s="40"/>
    </row>
    <row r="198" spans="3:22" x14ac:dyDescent="0.3">
      <c r="D198" s="13" t="s">
        <v>155</v>
      </c>
      <c r="E198" s="13">
        <f>COUNTIF(E113:E193,"V")</f>
        <v>6</v>
      </c>
      <c r="F198" s="13"/>
      <c r="V198" s="40"/>
    </row>
    <row r="199" spans="3:22" x14ac:dyDescent="0.3">
      <c r="D199" s="13" t="s">
        <v>156</v>
      </c>
      <c r="E199" s="13"/>
      <c r="F199" s="13">
        <f>COUNTIF(F114:F193,"L")</f>
        <v>9</v>
      </c>
      <c r="V199" s="40"/>
    </row>
    <row r="200" spans="3:22" x14ac:dyDescent="0.3">
      <c r="D200" s="13" t="s">
        <v>53</v>
      </c>
      <c r="E200">
        <f>SUM(E195:E199)</f>
        <v>68</v>
      </c>
      <c r="V200" s="40"/>
    </row>
    <row r="201" spans="3:22" x14ac:dyDescent="0.3">
      <c r="V201" s="40"/>
    </row>
    <row r="202" spans="3:22" x14ac:dyDescent="0.3">
      <c r="V202" s="40"/>
    </row>
    <row r="203" spans="3:22" x14ac:dyDescent="0.3">
      <c r="V203" s="40"/>
    </row>
    <row r="204" spans="3:22" x14ac:dyDescent="0.3">
      <c r="V204" s="40"/>
    </row>
    <row r="205" spans="3:22" x14ac:dyDescent="0.3">
      <c r="C205" s="21" t="s">
        <v>425</v>
      </c>
      <c r="D205" s="22" t="e">
        <f>#REF!+#REF!</f>
        <v>#REF!</v>
      </c>
      <c r="V205" s="40"/>
    </row>
    <row r="206" spans="3:22" x14ac:dyDescent="0.3">
      <c r="C206" s="21" t="s">
        <v>426</v>
      </c>
      <c r="D206" s="22" t="e">
        <f>#REF!+#REF!</f>
        <v>#REF!</v>
      </c>
      <c r="V206" s="40"/>
    </row>
    <row r="207" spans="3:22" x14ac:dyDescent="0.3">
      <c r="C207" s="21" t="s">
        <v>427</v>
      </c>
      <c r="D207" s="22" t="e">
        <f>#REF!+#REF!</f>
        <v>#REF!</v>
      </c>
      <c r="V207" s="40"/>
    </row>
    <row r="208" spans="3:22" x14ac:dyDescent="0.3">
      <c r="C208" s="21" t="s">
        <v>428</v>
      </c>
      <c r="D208" s="22" t="e">
        <f>#REF!+#REF!</f>
        <v>#REF!</v>
      </c>
      <c r="V208" s="40"/>
    </row>
    <row r="209" spans="3:22" x14ac:dyDescent="0.3">
      <c r="C209" s="21" t="s">
        <v>429</v>
      </c>
      <c r="D209" s="22">
        <f>E195+E196</f>
        <v>54</v>
      </c>
      <c r="E209" s="4"/>
      <c r="V209" s="40"/>
    </row>
    <row r="210" spans="3:22" x14ac:dyDescent="0.3">
      <c r="C210" s="21" t="s">
        <v>53</v>
      </c>
      <c r="D210" t="e">
        <f>SUM(D205:D209)</f>
        <v>#REF!</v>
      </c>
      <c r="V210" s="40"/>
    </row>
    <row r="211" spans="3:22" x14ac:dyDescent="0.3">
      <c r="V211" s="40"/>
    </row>
    <row r="212" spans="3:22" x14ac:dyDescent="0.3">
      <c r="C212" s="21" t="s">
        <v>431</v>
      </c>
      <c r="D212" t="e">
        <f>D210+#REF!</f>
        <v>#REF!</v>
      </c>
      <c r="V212" s="40"/>
    </row>
    <row r="213" spans="3:22" x14ac:dyDescent="0.3">
      <c r="V213" s="40"/>
    </row>
    <row r="214" spans="3:22" x14ac:dyDescent="0.3">
      <c r="V214" s="40"/>
    </row>
    <row r="215" spans="3:22" x14ac:dyDescent="0.3">
      <c r="V215" s="40"/>
    </row>
    <row r="216" spans="3:22" x14ac:dyDescent="0.3">
      <c r="V216" s="40"/>
    </row>
    <row r="217" spans="3:22" x14ac:dyDescent="0.3">
      <c r="V217" s="40"/>
    </row>
    <row r="218" spans="3:22" x14ac:dyDescent="0.3">
      <c r="V218" s="40"/>
    </row>
    <row r="219" spans="3:22" x14ac:dyDescent="0.3">
      <c r="V219" s="40"/>
    </row>
    <row r="220" spans="3:22" x14ac:dyDescent="0.3">
      <c r="V220" s="40"/>
    </row>
    <row r="221" spans="3:22" x14ac:dyDescent="0.3">
      <c r="V221" s="40"/>
    </row>
    <row r="222" spans="3:22" x14ac:dyDescent="0.3">
      <c r="V222" s="40"/>
    </row>
    <row r="223" spans="3:22" x14ac:dyDescent="0.3">
      <c r="V223" s="40"/>
    </row>
    <row r="224" spans="3:22" x14ac:dyDescent="0.3">
      <c r="V224" s="40"/>
    </row>
    <row r="225" spans="22:22" x14ac:dyDescent="0.3">
      <c r="V225" s="40"/>
    </row>
    <row r="226" spans="22:22" x14ac:dyDescent="0.3">
      <c r="V226" s="40"/>
    </row>
    <row r="227" spans="22:22" x14ac:dyDescent="0.3">
      <c r="V227" s="40"/>
    </row>
    <row r="228" spans="22:22" x14ac:dyDescent="0.3">
      <c r="V228" s="40"/>
    </row>
    <row r="229" spans="22:22" x14ac:dyDescent="0.3">
      <c r="V229" s="40"/>
    </row>
    <row r="230" spans="22:22" x14ac:dyDescent="0.3">
      <c r="V230" s="40"/>
    </row>
    <row r="231" spans="22:22" x14ac:dyDescent="0.3">
      <c r="V231" s="40"/>
    </row>
    <row r="232" spans="22:22" x14ac:dyDescent="0.3">
      <c r="V232" s="40"/>
    </row>
    <row r="233" spans="22:22" x14ac:dyDescent="0.3">
      <c r="V233" s="40"/>
    </row>
    <row r="234" spans="22:22" x14ac:dyDescent="0.3">
      <c r="V234" s="40"/>
    </row>
    <row r="235" spans="22:22" x14ac:dyDescent="0.3">
      <c r="V235" s="40"/>
    </row>
    <row r="236" spans="22:22" x14ac:dyDescent="0.3">
      <c r="V236" s="40"/>
    </row>
    <row r="237" spans="22:22" x14ac:dyDescent="0.3">
      <c r="V237" s="40"/>
    </row>
    <row r="238" spans="22:22" x14ac:dyDescent="0.3">
      <c r="V238" s="40"/>
    </row>
    <row r="239" spans="22:22" x14ac:dyDescent="0.3">
      <c r="V239" s="40"/>
    </row>
    <row r="240" spans="22:22" x14ac:dyDescent="0.3">
      <c r="V240" s="40"/>
    </row>
    <row r="241" spans="22:22" x14ac:dyDescent="0.3">
      <c r="V241" s="40"/>
    </row>
    <row r="242" spans="22:22" x14ac:dyDescent="0.3">
      <c r="V242" s="40"/>
    </row>
    <row r="243" spans="22:22" x14ac:dyDescent="0.3">
      <c r="V243" s="40"/>
    </row>
    <row r="244" spans="22:22" x14ac:dyDescent="0.3">
      <c r="V244" s="40"/>
    </row>
    <row r="245" spans="22:22" x14ac:dyDescent="0.3">
      <c r="V245" s="40"/>
    </row>
    <row r="246" spans="22:22" x14ac:dyDescent="0.3">
      <c r="V246" s="40"/>
    </row>
    <row r="247" spans="22:22" x14ac:dyDescent="0.3">
      <c r="V247" s="40"/>
    </row>
    <row r="248" spans="22:22" x14ac:dyDescent="0.3">
      <c r="V248" s="40"/>
    </row>
    <row r="249" spans="22:22" x14ac:dyDescent="0.3">
      <c r="V249" s="40"/>
    </row>
    <row r="250" spans="22:22" x14ac:dyDescent="0.3">
      <c r="V250" s="40"/>
    </row>
    <row r="251" spans="22:22" x14ac:dyDescent="0.3">
      <c r="V251" s="40"/>
    </row>
    <row r="252" spans="22:22" x14ac:dyDescent="0.3">
      <c r="V252" s="40"/>
    </row>
    <row r="253" spans="22:22" x14ac:dyDescent="0.3">
      <c r="V253" s="40"/>
    </row>
    <row r="254" spans="22:22" x14ac:dyDescent="0.3">
      <c r="V254" s="40"/>
    </row>
    <row r="255" spans="22:22" x14ac:dyDescent="0.3">
      <c r="V255" s="40"/>
    </row>
    <row r="256" spans="22:22" x14ac:dyDescent="0.3">
      <c r="V256" s="40"/>
    </row>
    <row r="257" spans="22:22" x14ac:dyDescent="0.3">
      <c r="V257" s="40"/>
    </row>
    <row r="258" spans="22:22" x14ac:dyDescent="0.3">
      <c r="V258" s="40"/>
    </row>
    <row r="259" spans="22:22" x14ac:dyDescent="0.3">
      <c r="V259" s="40"/>
    </row>
    <row r="260" spans="22:22" x14ac:dyDescent="0.3">
      <c r="V260" s="40"/>
    </row>
    <row r="261" spans="22:22" x14ac:dyDescent="0.3">
      <c r="V261" s="40"/>
    </row>
    <row r="262" spans="22:22" x14ac:dyDescent="0.3">
      <c r="V262" s="40"/>
    </row>
    <row r="263" spans="22:22" x14ac:dyDescent="0.3">
      <c r="V263" s="40"/>
    </row>
    <row r="264" spans="22:22" x14ac:dyDescent="0.3">
      <c r="V264" s="40"/>
    </row>
    <row r="265" spans="22:22" x14ac:dyDescent="0.3">
      <c r="V265" s="40"/>
    </row>
    <row r="266" spans="22:22" x14ac:dyDescent="0.3">
      <c r="V266" s="40"/>
    </row>
    <row r="267" spans="22:22" x14ac:dyDescent="0.3">
      <c r="V267" s="40"/>
    </row>
    <row r="268" spans="22:22" x14ac:dyDescent="0.3">
      <c r="V268" s="40"/>
    </row>
    <row r="269" spans="22:22" x14ac:dyDescent="0.3">
      <c r="V269" s="40"/>
    </row>
    <row r="270" spans="22:22" x14ac:dyDescent="0.3">
      <c r="V270" s="40"/>
    </row>
    <row r="271" spans="22:22" x14ac:dyDescent="0.3">
      <c r="V271" s="40"/>
    </row>
    <row r="272" spans="22:22" x14ac:dyDescent="0.3">
      <c r="V272" s="40"/>
    </row>
    <row r="273" spans="22:22" x14ac:dyDescent="0.3">
      <c r="V273" s="40"/>
    </row>
    <row r="274" spans="22:22" x14ac:dyDescent="0.3">
      <c r="V274" s="40"/>
    </row>
    <row r="275" spans="22:22" x14ac:dyDescent="0.3">
      <c r="V275" s="40"/>
    </row>
    <row r="276" spans="22:22" x14ac:dyDescent="0.3">
      <c r="V276" s="40"/>
    </row>
    <row r="277" spans="22:22" x14ac:dyDescent="0.3">
      <c r="V277" s="40"/>
    </row>
    <row r="278" spans="22:22" x14ac:dyDescent="0.3">
      <c r="V278" s="40"/>
    </row>
    <row r="279" spans="22:22" x14ac:dyDescent="0.3">
      <c r="V279" s="40"/>
    </row>
    <row r="280" spans="22:22" x14ac:dyDescent="0.3">
      <c r="V280" s="40"/>
    </row>
    <row r="281" spans="22:22" x14ac:dyDescent="0.3">
      <c r="V281" s="40"/>
    </row>
    <row r="282" spans="22:22" x14ac:dyDescent="0.3">
      <c r="V282" s="40"/>
    </row>
    <row r="283" spans="22:22" x14ac:dyDescent="0.3">
      <c r="V283" s="40"/>
    </row>
    <row r="284" spans="22:22" x14ac:dyDescent="0.3">
      <c r="V284" s="40"/>
    </row>
    <row r="285" spans="22:22" x14ac:dyDescent="0.3">
      <c r="V285" s="40"/>
    </row>
    <row r="286" spans="22:22" x14ac:dyDescent="0.3">
      <c r="V286" s="40"/>
    </row>
    <row r="287" spans="22:22" x14ac:dyDescent="0.3">
      <c r="V287" s="40"/>
    </row>
    <row r="288" spans="22:22" x14ac:dyDescent="0.3">
      <c r="V288" s="40"/>
    </row>
    <row r="289" spans="22:22" x14ac:dyDescent="0.3">
      <c r="V289" s="40"/>
    </row>
    <row r="290" spans="22:22" x14ac:dyDescent="0.3">
      <c r="V290" s="40"/>
    </row>
    <row r="291" spans="22:22" x14ac:dyDescent="0.3">
      <c r="V291" s="40"/>
    </row>
    <row r="292" spans="22:22" x14ac:dyDescent="0.3">
      <c r="V292" s="40"/>
    </row>
    <row r="293" spans="22:22" x14ac:dyDescent="0.3">
      <c r="V293" s="40"/>
    </row>
    <row r="294" spans="22:22" x14ac:dyDescent="0.3">
      <c r="V294" s="40"/>
    </row>
    <row r="295" spans="22:22" x14ac:dyDescent="0.3">
      <c r="V295" s="40"/>
    </row>
    <row r="296" spans="22:22" x14ac:dyDescent="0.3">
      <c r="V296" s="40"/>
    </row>
    <row r="297" spans="22:22" x14ac:dyDescent="0.3">
      <c r="V297" s="40"/>
    </row>
    <row r="298" spans="22:22" x14ac:dyDescent="0.3">
      <c r="V298" s="40"/>
    </row>
    <row r="299" spans="22:22" x14ac:dyDescent="0.3">
      <c r="V299" s="40"/>
    </row>
    <row r="300" spans="22:22" x14ac:dyDescent="0.3">
      <c r="V300" s="40"/>
    </row>
    <row r="301" spans="22:22" x14ac:dyDescent="0.3">
      <c r="V301" s="40"/>
    </row>
    <row r="302" spans="22:22" x14ac:dyDescent="0.3">
      <c r="V302" s="40"/>
    </row>
  </sheetData>
  <autoFilter ref="B2:T193" xr:uid="{3D425FA2-CB9B-4686-8638-DE1AB69D93EC}"/>
  <pageMargins left="0.7" right="0.7" top="0.75" bottom="0.75" header="0.3" footer="0.3"/>
  <pageSetup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9FAF4-66BA-48F3-A5EC-B1762224D98A}">
  <dimension ref="A2:X315"/>
  <sheetViews>
    <sheetView showGridLines="0" tabSelected="1" zoomScale="70" zoomScaleNormal="70" workbookViewId="0">
      <pane xSplit="3" ySplit="3" topLeftCell="D10" activePane="bottomRight" state="frozen"/>
      <selection pane="topRight" activeCell="D1" sqref="D1"/>
      <selection pane="bottomLeft" activeCell="A3" sqref="A3"/>
      <selection pane="bottomRight" activeCell="C54" sqref="C54"/>
    </sheetView>
  </sheetViews>
  <sheetFormatPr baseColWidth="10" defaultRowHeight="14.4" x14ac:dyDescent="0.3"/>
  <cols>
    <col min="1" max="1" width="11.5546875" style="89"/>
    <col min="2" max="2" width="29.44140625" bestFit="1" customWidth="1"/>
    <col min="3" max="3" width="40" customWidth="1"/>
    <col min="4" max="4" width="9.88671875" style="116" customWidth="1"/>
    <col min="5" max="5" width="46.109375" bestFit="1" customWidth="1"/>
    <col min="6" max="6" width="8.21875" customWidth="1"/>
    <col min="7" max="7" width="46.5546875" bestFit="1" customWidth="1"/>
    <col min="8" max="8" width="9.6640625" bestFit="1" customWidth="1"/>
    <col min="9" max="9" width="4" hidden="1" customWidth="1"/>
    <col min="10" max="10" width="50.5546875" style="97" bestFit="1" customWidth="1"/>
    <col min="11" max="11" width="9.77734375" style="1" customWidth="1"/>
    <col min="12" max="12" width="4.44140625" style="1" hidden="1" customWidth="1"/>
    <col min="13" max="13" width="42.88671875" style="1" bestFit="1" customWidth="1"/>
    <col min="14" max="14" width="9.6640625" style="1" bestFit="1" customWidth="1"/>
    <col min="15" max="15" width="5.5546875" style="8" hidden="1" customWidth="1"/>
    <col min="16" max="16" width="5.6640625" style="8" hidden="1" customWidth="1"/>
    <col min="17" max="17" width="4.6640625" style="8" hidden="1" customWidth="1"/>
    <col min="18" max="18" width="10.21875" style="8" bestFit="1" customWidth="1"/>
    <col min="19" max="19" width="11.44140625" customWidth="1"/>
    <col min="20" max="20" width="47.5546875" customWidth="1"/>
    <col min="22" max="22" width="41.44140625" customWidth="1"/>
    <col min="24" max="24" width="31" customWidth="1"/>
  </cols>
  <sheetData>
    <row r="2" spans="1:21" x14ac:dyDescent="0.3">
      <c r="B2" s="2" t="s">
        <v>1153</v>
      </c>
      <c r="C2" s="2" t="s">
        <v>1153</v>
      </c>
      <c r="D2" s="114" t="s">
        <v>1117</v>
      </c>
      <c r="E2" s="195" t="s">
        <v>626</v>
      </c>
      <c r="F2" s="195"/>
      <c r="G2" s="195"/>
      <c r="H2" s="195"/>
      <c r="I2" s="195"/>
      <c r="J2" s="195"/>
      <c r="K2" s="195"/>
      <c r="L2" s="195"/>
      <c r="M2" s="195"/>
      <c r="N2" s="1" t="s">
        <v>200</v>
      </c>
    </row>
    <row r="3" spans="1:21" x14ac:dyDescent="0.3">
      <c r="B3" s="6" t="s">
        <v>551</v>
      </c>
      <c r="C3" s="2" t="s">
        <v>55</v>
      </c>
      <c r="D3" s="114" t="s">
        <v>1103</v>
      </c>
      <c r="E3" s="2" t="s">
        <v>105</v>
      </c>
      <c r="F3" s="2" t="s">
        <v>558</v>
      </c>
      <c r="G3" s="2" t="s">
        <v>106</v>
      </c>
      <c r="H3" s="2" t="s">
        <v>560</v>
      </c>
      <c r="I3" s="2" t="s">
        <v>561</v>
      </c>
      <c r="J3" s="81" t="s">
        <v>107</v>
      </c>
      <c r="K3" s="5" t="s">
        <v>562</v>
      </c>
      <c r="L3" s="5" t="s">
        <v>563</v>
      </c>
      <c r="M3" s="5" t="s">
        <v>108</v>
      </c>
      <c r="N3" s="5" t="s">
        <v>564</v>
      </c>
      <c r="O3" s="41" t="s">
        <v>202</v>
      </c>
      <c r="P3" s="8" t="s">
        <v>203</v>
      </c>
      <c r="Q3" s="8" t="s">
        <v>688</v>
      </c>
      <c r="R3" s="8" t="s">
        <v>204</v>
      </c>
    </row>
    <row r="4" spans="1:21" s="3" customFormat="1" x14ac:dyDescent="0.3">
      <c r="A4" s="90">
        <v>1</v>
      </c>
      <c r="B4" s="6"/>
      <c r="C4" s="6" t="s">
        <v>99</v>
      </c>
      <c r="D4" s="115"/>
      <c r="E4" s="18"/>
      <c r="F4" s="19"/>
      <c r="G4" s="19"/>
      <c r="H4" s="19"/>
      <c r="I4" s="19"/>
      <c r="J4" s="19"/>
      <c r="K4" s="24"/>
      <c r="L4" s="24"/>
      <c r="M4" s="24"/>
      <c r="N4" s="24"/>
      <c r="O4" s="8"/>
      <c r="P4" s="8"/>
      <c r="Q4" s="8"/>
      <c r="R4" s="9"/>
    </row>
    <row r="5" spans="1:21" x14ac:dyDescent="0.3">
      <c r="B5" s="2" t="s">
        <v>552</v>
      </c>
      <c r="C5" s="2" t="s">
        <v>101</v>
      </c>
      <c r="D5" s="115" t="s">
        <v>1104</v>
      </c>
      <c r="E5" s="80" t="s">
        <v>624</v>
      </c>
      <c r="F5" s="2" t="s">
        <v>200</v>
      </c>
      <c r="G5" s="80" t="s">
        <v>623</v>
      </c>
      <c r="H5" s="2" t="s">
        <v>200</v>
      </c>
      <c r="I5" s="2" t="s">
        <v>201</v>
      </c>
      <c r="J5" s="81" t="s">
        <v>214</v>
      </c>
      <c r="K5" s="5" t="s">
        <v>200</v>
      </c>
      <c r="L5" s="5"/>
      <c r="M5" s="81" t="s">
        <v>215</v>
      </c>
      <c r="N5" s="81" t="s">
        <v>200</v>
      </c>
      <c r="O5" s="8">
        <v>4</v>
      </c>
      <c r="R5" s="25">
        <f t="shared" ref="R5:R38" si="0">SUM(O5:P5)</f>
        <v>4</v>
      </c>
    </row>
    <row r="6" spans="1:21" x14ac:dyDescent="0.3">
      <c r="A6" s="89">
        <v>1</v>
      </c>
      <c r="B6" s="2" t="s">
        <v>552</v>
      </c>
      <c r="C6" s="2" t="s">
        <v>102</v>
      </c>
      <c r="D6" s="115" t="s">
        <v>1104</v>
      </c>
      <c r="E6" s="80" t="s">
        <v>309</v>
      </c>
      <c r="F6" s="80" t="s">
        <v>200</v>
      </c>
      <c r="G6" s="80" t="s">
        <v>326</v>
      </c>
      <c r="H6" s="80" t="s">
        <v>200</v>
      </c>
      <c r="I6" s="20"/>
      <c r="J6" s="80" t="s">
        <v>579</v>
      </c>
      <c r="K6" s="81" t="s">
        <v>200</v>
      </c>
      <c r="L6" s="81" t="s">
        <v>201</v>
      </c>
      <c r="M6" s="80" t="s">
        <v>625</v>
      </c>
      <c r="N6" s="81" t="s">
        <v>200</v>
      </c>
      <c r="P6" s="8">
        <v>4</v>
      </c>
      <c r="Q6" s="8">
        <f>+COUNTIF(E6:N6,"A")+COUNTIF(E6:N6,"C")</f>
        <v>4</v>
      </c>
      <c r="R6" s="25">
        <f t="shared" si="0"/>
        <v>4</v>
      </c>
      <c r="T6" s="93"/>
      <c r="U6" t="s">
        <v>422</v>
      </c>
    </row>
    <row r="7" spans="1:21" x14ac:dyDescent="0.3">
      <c r="B7" s="2" t="s">
        <v>686</v>
      </c>
      <c r="C7" s="2" t="s">
        <v>103</v>
      </c>
      <c r="D7" s="115" t="s">
        <v>1104</v>
      </c>
      <c r="E7" s="80" t="s">
        <v>216</v>
      </c>
      <c r="F7" s="80" t="s">
        <v>200</v>
      </c>
      <c r="G7" s="80" t="s">
        <v>217</v>
      </c>
      <c r="H7" s="80" t="s">
        <v>200</v>
      </c>
      <c r="I7" s="2"/>
      <c r="J7" s="81" t="s">
        <v>622</v>
      </c>
      <c r="K7" s="81" t="s">
        <v>200</v>
      </c>
      <c r="L7" s="81"/>
      <c r="M7" s="81" t="s">
        <v>1063</v>
      </c>
      <c r="N7" s="81" t="s">
        <v>200</v>
      </c>
      <c r="O7" s="8">
        <v>4</v>
      </c>
      <c r="R7" s="25">
        <f t="shared" si="0"/>
        <v>4</v>
      </c>
      <c r="U7" t="s">
        <v>423</v>
      </c>
    </row>
    <row r="8" spans="1:21" x14ac:dyDescent="0.3">
      <c r="A8" s="89">
        <v>1</v>
      </c>
      <c r="B8" s="2" t="s">
        <v>686</v>
      </c>
      <c r="C8" s="2" t="s">
        <v>104</v>
      </c>
      <c r="D8" s="115" t="s">
        <v>1104</v>
      </c>
      <c r="E8" s="80" t="s">
        <v>674</v>
      </c>
      <c r="F8" s="80" t="s">
        <v>200</v>
      </c>
      <c r="G8" s="80" t="s">
        <v>786</v>
      </c>
      <c r="H8" s="80" t="s">
        <v>200</v>
      </c>
      <c r="I8" s="20"/>
      <c r="J8" s="81" t="s">
        <v>544</v>
      </c>
      <c r="K8" s="80" t="s">
        <v>200</v>
      </c>
      <c r="L8" s="81"/>
      <c r="M8" s="81" t="s">
        <v>602</v>
      </c>
      <c r="N8" s="80" t="s">
        <v>200</v>
      </c>
      <c r="P8" s="8">
        <v>4</v>
      </c>
      <c r="Q8" s="8">
        <f>+COUNTIF(E8:N8,"A")+COUNTIF(E8:N8,"C")</f>
        <v>4</v>
      </c>
      <c r="R8" s="25">
        <f t="shared" si="0"/>
        <v>4</v>
      </c>
    </row>
    <row r="9" spans="1:21" x14ac:dyDescent="0.3">
      <c r="B9" s="2" t="s">
        <v>694</v>
      </c>
      <c r="C9" s="2" t="s">
        <v>100</v>
      </c>
      <c r="D9" s="115" t="s">
        <v>1104</v>
      </c>
      <c r="E9" s="80" t="s">
        <v>360</v>
      </c>
      <c r="F9" s="2" t="s">
        <v>200</v>
      </c>
      <c r="G9" s="80" t="s">
        <v>219</v>
      </c>
      <c r="H9" s="80" t="s">
        <v>200</v>
      </c>
      <c r="I9" s="2"/>
      <c r="J9" s="81" t="s">
        <v>220</v>
      </c>
      <c r="K9" s="5" t="s">
        <v>200</v>
      </c>
      <c r="L9" s="5"/>
      <c r="M9" s="81" t="s">
        <v>221</v>
      </c>
      <c r="N9" s="5" t="s">
        <v>200</v>
      </c>
      <c r="O9" s="8">
        <v>4</v>
      </c>
      <c r="R9" s="25">
        <f t="shared" si="0"/>
        <v>4</v>
      </c>
      <c r="T9" s="40"/>
    </row>
    <row r="10" spans="1:21" s="3" customFormat="1" x14ac:dyDescent="0.3">
      <c r="A10" s="90">
        <v>1</v>
      </c>
      <c r="B10" s="6"/>
      <c r="C10" s="6" t="s">
        <v>109</v>
      </c>
      <c r="D10" s="115"/>
      <c r="E10" s="18"/>
      <c r="F10" s="19"/>
      <c r="G10" s="19"/>
      <c r="H10" s="19"/>
      <c r="I10" s="19"/>
      <c r="J10" s="19"/>
      <c r="K10" s="24"/>
      <c r="L10" s="24"/>
      <c r="M10" s="24"/>
      <c r="N10" s="24"/>
      <c r="O10" s="8"/>
      <c r="P10" s="8"/>
      <c r="Q10" s="8">
        <f>+COUNTIF(E10:N10,"A")+COUNTIF(E10:N10,"C")</f>
        <v>0</v>
      </c>
      <c r="R10" s="25">
        <f t="shared" si="0"/>
        <v>0</v>
      </c>
      <c r="T10" s="40"/>
    </row>
    <row r="11" spans="1:21" x14ac:dyDescent="0.3">
      <c r="B11" s="2" t="s">
        <v>555</v>
      </c>
      <c r="C11" s="2" t="s">
        <v>110</v>
      </c>
      <c r="D11" s="115" t="s">
        <v>1104</v>
      </c>
      <c r="E11" s="80" t="s">
        <v>222</v>
      </c>
      <c r="F11" s="80" t="s">
        <v>200</v>
      </c>
      <c r="G11" s="80" t="s">
        <v>228</v>
      </c>
      <c r="H11" s="80" t="s">
        <v>200</v>
      </c>
      <c r="I11" s="80"/>
      <c r="J11" s="81" t="s">
        <v>223</v>
      </c>
      <c r="K11" s="81" t="s">
        <v>200</v>
      </c>
      <c r="L11" s="81" t="s">
        <v>201</v>
      </c>
      <c r="M11" s="81" t="s">
        <v>226</v>
      </c>
      <c r="N11" s="81" t="s">
        <v>200</v>
      </c>
      <c r="P11" s="8">
        <v>4</v>
      </c>
      <c r="R11" s="25">
        <f t="shared" si="0"/>
        <v>4</v>
      </c>
      <c r="T11" s="40"/>
    </row>
    <row r="12" spans="1:21" x14ac:dyDescent="0.3">
      <c r="B12" s="2" t="s">
        <v>555</v>
      </c>
      <c r="C12" s="2" t="s">
        <v>111</v>
      </c>
      <c r="D12" s="115" t="s">
        <v>1104</v>
      </c>
      <c r="E12" s="2" t="s">
        <v>224</v>
      </c>
      <c r="F12" s="80" t="s">
        <v>200</v>
      </c>
      <c r="G12" s="80" t="s">
        <v>225</v>
      </c>
      <c r="H12" s="80" t="s">
        <v>200</v>
      </c>
      <c r="I12" s="80"/>
      <c r="J12" s="81" t="s">
        <v>587</v>
      </c>
      <c r="K12" s="81" t="s">
        <v>200</v>
      </c>
      <c r="L12" s="81"/>
      <c r="M12" s="81" t="s">
        <v>760</v>
      </c>
      <c r="N12" s="81" t="s">
        <v>240</v>
      </c>
      <c r="O12" s="8">
        <v>4</v>
      </c>
      <c r="R12" s="25">
        <f t="shared" si="0"/>
        <v>4</v>
      </c>
      <c r="T12" s="40"/>
    </row>
    <row r="13" spans="1:21" x14ac:dyDescent="0.3">
      <c r="B13" s="2" t="s">
        <v>555</v>
      </c>
      <c r="C13" s="2" t="s">
        <v>112</v>
      </c>
      <c r="D13" s="115" t="s">
        <v>1104</v>
      </c>
      <c r="E13" s="2" t="s">
        <v>227</v>
      </c>
      <c r="F13" s="80" t="s">
        <v>200</v>
      </c>
      <c r="G13" s="98" t="s">
        <v>682</v>
      </c>
      <c r="H13" s="80" t="s">
        <v>200</v>
      </c>
      <c r="I13" s="80"/>
      <c r="J13" s="81" t="s">
        <v>229</v>
      </c>
      <c r="K13" s="81" t="s">
        <v>200</v>
      </c>
      <c r="L13" s="81"/>
      <c r="M13" s="81" t="s">
        <v>230</v>
      </c>
      <c r="N13" s="81" t="s">
        <v>200</v>
      </c>
      <c r="O13" s="8">
        <v>4</v>
      </c>
      <c r="R13" s="25">
        <f t="shared" si="0"/>
        <v>4</v>
      </c>
    </row>
    <row r="14" spans="1:21" x14ac:dyDescent="0.3">
      <c r="A14" s="89">
        <v>1</v>
      </c>
      <c r="B14" s="2" t="s">
        <v>555</v>
      </c>
      <c r="C14" s="2" t="s">
        <v>113</v>
      </c>
      <c r="D14" s="115" t="s">
        <v>1104</v>
      </c>
      <c r="E14" s="80" t="s">
        <v>536</v>
      </c>
      <c r="F14" s="80" t="s">
        <v>200</v>
      </c>
      <c r="G14" s="80" t="s">
        <v>759</v>
      </c>
      <c r="H14" s="80" t="s">
        <v>200</v>
      </c>
      <c r="I14" s="80"/>
      <c r="J14" s="81" t="s">
        <v>523</v>
      </c>
      <c r="K14" s="80" t="s">
        <v>200</v>
      </c>
      <c r="L14" s="81"/>
      <c r="M14" s="81" t="s">
        <v>617</v>
      </c>
      <c r="N14" s="81" t="s">
        <v>200</v>
      </c>
      <c r="P14" s="8">
        <v>4</v>
      </c>
      <c r="Q14" s="8">
        <f>+COUNTIF(E14:N14,"A")+COUNTIF(E14:N14,"C")</f>
        <v>4</v>
      </c>
      <c r="R14" s="25">
        <f t="shared" si="0"/>
        <v>4</v>
      </c>
    </row>
    <row r="15" spans="1:21" x14ac:dyDescent="0.3">
      <c r="A15" s="89">
        <v>1</v>
      </c>
      <c r="B15" s="5" t="s">
        <v>555</v>
      </c>
      <c r="C15" s="5" t="s">
        <v>114</v>
      </c>
      <c r="D15" s="115" t="s">
        <v>1104</v>
      </c>
      <c r="E15" s="2" t="s">
        <v>232</v>
      </c>
      <c r="F15" s="80" t="s">
        <v>200</v>
      </c>
      <c r="G15" s="80" t="s">
        <v>618</v>
      </c>
      <c r="H15" s="81" t="s">
        <v>200</v>
      </c>
      <c r="I15" s="80"/>
      <c r="J15" s="81" t="s">
        <v>231</v>
      </c>
      <c r="K15" s="81" t="s">
        <v>200</v>
      </c>
      <c r="L15" s="81"/>
      <c r="M15" s="80" t="s">
        <v>232</v>
      </c>
      <c r="N15" s="80" t="s">
        <v>200</v>
      </c>
      <c r="O15" s="8">
        <v>2</v>
      </c>
      <c r="P15" s="8">
        <v>2</v>
      </c>
      <c r="Q15" s="8">
        <f>+COUNTIF(F15:N15,"A")+COUNTIF(F15:N15,"C")</f>
        <v>4</v>
      </c>
      <c r="R15" s="25">
        <f t="shared" si="0"/>
        <v>4</v>
      </c>
    </row>
    <row r="16" spans="1:21" x14ac:dyDescent="0.3">
      <c r="A16" s="105"/>
      <c r="B16" s="106"/>
      <c r="C16" s="107" t="s">
        <v>1123</v>
      </c>
      <c r="D16" s="115"/>
      <c r="E16" s="18"/>
      <c r="F16" s="18"/>
      <c r="G16" s="18"/>
      <c r="H16" s="18"/>
      <c r="I16" s="18"/>
      <c r="J16" s="18"/>
      <c r="K16" s="18"/>
      <c r="L16" s="18"/>
      <c r="M16" s="18"/>
      <c r="N16" s="18"/>
      <c r="R16" s="25"/>
    </row>
    <row r="17" spans="1:20" x14ac:dyDescent="0.3">
      <c r="A17" s="89">
        <v>1</v>
      </c>
      <c r="B17" s="2" t="s">
        <v>556</v>
      </c>
      <c r="C17" s="2" t="s">
        <v>115</v>
      </c>
      <c r="D17" s="115" t="s">
        <v>1104</v>
      </c>
      <c r="E17" s="80" t="s">
        <v>505</v>
      </c>
      <c r="F17" s="80" t="s">
        <v>200</v>
      </c>
      <c r="G17" s="80" t="s">
        <v>506</v>
      </c>
      <c r="H17" s="80" t="s">
        <v>200</v>
      </c>
      <c r="I17" s="80"/>
      <c r="J17" s="81" t="s">
        <v>586</v>
      </c>
      <c r="K17" s="80" t="s">
        <v>200</v>
      </c>
      <c r="L17" s="81"/>
      <c r="M17" s="93" t="s">
        <v>640</v>
      </c>
      <c r="N17" s="80" t="s">
        <v>200</v>
      </c>
      <c r="P17" s="8">
        <v>4</v>
      </c>
      <c r="Q17" s="8">
        <f>+COUNTIF(E17:N17,"A")+COUNTIF(E17:N17,"C")</f>
        <v>4</v>
      </c>
      <c r="R17" s="25">
        <f t="shared" si="0"/>
        <v>4</v>
      </c>
    </row>
    <row r="18" spans="1:20" x14ac:dyDescent="0.3">
      <c r="B18" s="2" t="s">
        <v>556</v>
      </c>
      <c r="C18" s="2" t="s">
        <v>116</v>
      </c>
      <c r="D18" s="115" t="s">
        <v>1104</v>
      </c>
      <c r="E18" s="2" t="s">
        <v>235</v>
      </c>
      <c r="F18" s="2" t="s">
        <v>200</v>
      </c>
      <c r="G18" s="2" t="s">
        <v>657</v>
      </c>
      <c r="H18" s="80" t="s">
        <v>200</v>
      </c>
      <c r="I18" s="80"/>
      <c r="J18" s="81" t="s">
        <v>236</v>
      </c>
      <c r="K18" s="81" t="s">
        <v>200</v>
      </c>
      <c r="L18" s="81"/>
      <c r="M18" s="81" t="s">
        <v>677</v>
      </c>
      <c r="N18" s="81" t="s">
        <v>200</v>
      </c>
      <c r="O18" s="8">
        <v>4</v>
      </c>
      <c r="R18" s="25">
        <f t="shared" si="0"/>
        <v>4</v>
      </c>
      <c r="T18" s="13"/>
    </row>
    <row r="19" spans="1:20" x14ac:dyDescent="0.3">
      <c r="B19" s="2" t="s">
        <v>556</v>
      </c>
      <c r="C19" s="2" t="s">
        <v>117</v>
      </c>
      <c r="D19" s="115" t="s">
        <v>1104</v>
      </c>
      <c r="E19" s="2" t="s">
        <v>762</v>
      </c>
      <c r="F19" s="2" t="s">
        <v>200</v>
      </c>
      <c r="G19" s="2" t="s">
        <v>763</v>
      </c>
      <c r="H19" s="80" t="s">
        <v>200</v>
      </c>
      <c r="I19" s="80"/>
      <c r="J19" s="81" t="s">
        <v>704</v>
      </c>
      <c r="K19" s="81" t="s">
        <v>200</v>
      </c>
      <c r="L19" s="81"/>
      <c r="M19" s="81" t="s">
        <v>765</v>
      </c>
      <c r="N19" s="81" t="s">
        <v>200</v>
      </c>
      <c r="O19" s="8">
        <v>4</v>
      </c>
      <c r="R19" s="25">
        <f t="shared" si="0"/>
        <v>4</v>
      </c>
      <c r="T19" s="13"/>
    </row>
    <row r="20" spans="1:20" x14ac:dyDescent="0.3">
      <c r="B20" s="2" t="s">
        <v>556</v>
      </c>
      <c r="C20" s="2" t="s">
        <v>118</v>
      </c>
      <c r="D20" s="115" t="s">
        <v>1104</v>
      </c>
      <c r="E20" s="54" t="s">
        <v>1069</v>
      </c>
      <c r="F20" s="54" t="s">
        <v>234</v>
      </c>
      <c r="G20" s="2" t="s">
        <v>764</v>
      </c>
      <c r="H20" s="80" t="s">
        <v>200</v>
      </c>
      <c r="I20" s="80"/>
      <c r="J20" s="81" t="s">
        <v>418</v>
      </c>
      <c r="K20" s="81" t="s">
        <v>200</v>
      </c>
      <c r="L20" s="81"/>
      <c r="M20" s="81" t="s">
        <v>766</v>
      </c>
      <c r="N20" s="81" t="s">
        <v>200</v>
      </c>
      <c r="O20" s="8">
        <v>4</v>
      </c>
      <c r="R20" s="25">
        <f t="shared" si="0"/>
        <v>4</v>
      </c>
      <c r="T20" s="13"/>
    </row>
    <row r="21" spans="1:20" x14ac:dyDescent="0.3">
      <c r="B21" s="2" t="s">
        <v>556</v>
      </c>
      <c r="C21" s="2" t="s">
        <v>119</v>
      </c>
      <c r="D21" s="115" t="s">
        <v>1104</v>
      </c>
      <c r="E21" s="2" t="s">
        <v>238</v>
      </c>
      <c r="F21" s="2" t="s">
        <v>200</v>
      </c>
      <c r="G21" s="2" t="s">
        <v>533</v>
      </c>
      <c r="H21" s="80" t="s">
        <v>200</v>
      </c>
      <c r="I21" s="80"/>
      <c r="J21" s="81" t="s">
        <v>444</v>
      </c>
      <c r="K21" s="81" t="s">
        <v>200</v>
      </c>
      <c r="L21" s="81"/>
      <c r="M21" s="81" t="s">
        <v>702</v>
      </c>
      <c r="N21" s="81" t="s">
        <v>200</v>
      </c>
      <c r="O21" s="8">
        <v>4</v>
      </c>
      <c r="R21" s="25">
        <f t="shared" si="0"/>
        <v>4</v>
      </c>
      <c r="T21" s="13"/>
    </row>
    <row r="22" spans="1:20" ht="13.5" customHeight="1" x14ac:dyDescent="0.3">
      <c r="B22" s="2" t="s">
        <v>552</v>
      </c>
      <c r="C22" s="2" t="s">
        <v>120</v>
      </c>
      <c r="D22" s="115" t="s">
        <v>1104</v>
      </c>
      <c r="E22" s="80" t="s">
        <v>628</v>
      </c>
      <c r="F22" s="2" t="s">
        <v>200</v>
      </c>
      <c r="G22" s="80" t="s">
        <v>636</v>
      </c>
      <c r="H22" s="80" t="s">
        <v>200</v>
      </c>
      <c r="I22" s="80"/>
      <c r="J22" s="81" t="s">
        <v>639</v>
      </c>
      <c r="K22" s="81" t="s">
        <v>200</v>
      </c>
      <c r="L22" s="81"/>
      <c r="M22" s="81" t="s">
        <v>495</v>
      </c>
      <c r="N22" s="81" t="s">
        <v>200</v>
      </c>
      <c r="O22" s="8">
        <v>4</v>
      </c>
      <c r="R22" s="25">
        <f t="shared" si="0"/>
        <v>4</v>
      </c>
      <c r="T22" s="13"/>
    </row>
    <row r="23" spans="1:20" x14ac:dyDescent="0.3">
      <c r="B23" s="2" t="s">
        <v>552</v>
      </c>
      <c r="C23" s="2" t="s">
        <v>121</v>
      </c>
      <c r="D23" s="115" t="s">
        <v>1104</v>
      </c>
      <c r="E23" s="81" t="s">
        <v>647</v>
      </c>
      <c r="F23" s="5" t="s">
        <v>200</v>
      </c>
      <c r="G23" s="80" t="s">
        <v>243</v>
      </c>
      <c r="H23" s="80" t="s">
        <v>200</v>
      </c>
      <c r="I23" s="80" t="s">
        <v>201</v>
      </c>
      <c r="J23" s="81" t="s">
        <v>391</v>
      </c>
      <c r="K23" s="81" t="s">
        <v>200</v>
      </c>
      <c r="L23" s="81"/>
      <c r="M23" s="81" t="s">
        <v>244</v>
      </c>
      <c r="N23" s="81" t="s">
        <v>200</v>
      </c>
      <c r="O23" s="8">
        <v>4</v>
      </c>
      <c r="R23" s="25">
        <f t="shared" si="0"/>
        <v>4</v>
      </c>
      <c r="T23" s="13"/>
    </row>
    <row r="24" spans="1:20" x14ac:dyDescent="0.3">
      <c r="B24" s="2" t="s">
        <v>552</v>
      </c>
      <c r="C24" s="2" t="s">
        <v>122</v>
      </c>
      <c r="D24" s="115" t="s">
        <v>1104</v>
      </c>
      <c r="E24" s="54" t="s">
        <v>1161</v>
      </c>
      <c r="F24" s="43" t="s">
        <v>240</v>
      </c>
      <c r="G24" s="80" t="s">
        <v>433</v>
      </c>
      <c r="H24" s="80" t="s">
        <v>200</v>
      </c>
      <c r="I24" s="80"/>
      <c r="J24" s="81" t="s">
        <v>246</v>
      </c>
      <c r="K24" s="81" t="s">
        <v>200</v>
      </c>
      <c r="L24" s="81"/>
      <c r="M24" s="81" t="s">
        <v>701</v>
      </c>
      <c r="N24" s="81" t="s">
        <v>200</v>
      </c>
      <c r="O24" s="8">
        <v>4</v>
      </c>
      <c r="R24" s="25">
        <f t="shared" si="0"/>
        <v>4</v>
      </c>
      <c r="T24" s="13"/>
    </row>
    <row r="25" spans="1:20" x14ac:dyDescent="0.3">
      <c r="B25" s="2" t="s">
        <v>552</v>
      </c>
      <c r="C25" s="2" t="s">
        <v>123</v>
      </c>
      <c r="D25" s="115" t="s">
        <v>1104</v>
      </c>
      <c r="E25" s="80" t="s">
        <v>248</v>
      </c>
      <c r="F25" s="80" t="s">
        <v>200</v>
      </c>
      <c r="G25" s="80" t="s">
        <v>289</v>
      </c>
      <c r="H25" s="80" t="s">
        <v>200</v>
      </c>
      <c r="I25" s="80" t="s">
        <v>201</v>
      </c>
      <c r="J25" s="81" t="s">
        <v>241</v>
      </c>
      <c r="K25" s="81" t="s">
        <v>200</v>
      </c>
      <c r="L25" s="81" t="s">
        <v>201</v>
      </c>
      <c r="M25" s="81" t="s">
        <v>438</v>
      </c>
      <c r="N25" s="81" t="s">
        <v>200</v>
      </c>
      <c r="R25" s="25"/>
      <c r="T25" s="13"/>
    </row>
    <row r="26" spans="1:20" x14ac:dyDescent="0.3">
      <c r="B26" s="2" t="s">
        <v>552</v>
      </c>
      <c r="C26" s="2" t="s">
        <v>1068</v>
      </c>
      <c r="D26" s="115" t="s">
        <v>1104</v>
      </c>
      <c r="E26" s="162" t="s">
        <v>1086</v>
      </c>
      <c r="F26" s="80" t="s">
        <v>200</v>
      </c>
      <c r="G26" s="80" t="s">
        <v>1094</v>
      </c>
      <c r="H26" s="94" t="s">
        <v>200</v>
      </c>
      <c r="I26" s="94"/>
      <c r="J26" s="81" t="s">
        <v>242</v>
      </c>
      <c r="K26" s="95" t="s">
        <v>200</v>
      </c>
      <c r="L26" s="95"/>
      <c r="M26" s="43" t="s">
        <v>1069</v>
      </c>
      <c r="N26" s="43" t="s">
        <v>1097</v>
      </c>
      <c r="R26" s="25"/>
      <c r="T26" s="13"/>
    </row>
    <row r="27" spans="1:20" s="3" customFormat="1" ht="13.5" customHeight="1" x14ac:dyDescent="0.3">
      <c r="A27" s="90">
        <v>1</v>
      </c>
      <c r="B27" s="6"/>
      <c r="C27" s="6" t="s">
        <v>124</v>
      </c>
      <c r="D27" s="115"/>
      <c r="E27" s="18"/>
      <c r="F27" s="19"/>
      <c r="G27" s="19"/>
      <c r="H27" s="19"/>
      <c r="I27" s="19"/>
      <c r="J27" s="19"/>
      <c r="K27" s="24"/>
      <c r="L27" s="24"/>
      <c r="M27" s="24"/>
      <c r="N27" s="24"/>
      <c r="O27" s="8"/>
      <c r="P27" s="8"/>
      <c r="Q27" s="8">
        <f>+COUNTIF(E27:N27,"A")+COUNTIF(E27:N27,"C")</f>
        <v>0</v>
      </c>
      <c r="R27" s="25">
        <f t="shared" si="0"/>
        <v>0</v>
      </c>
      <c r="T27" s="13"/>
    </row>
    <row r="28" spans="1:20" x14ac:dyDescent="0.3">
      <c r="B28" s="2" t="s">
        <v>557</v>
      </c>
      <c r="C28" s="2" t="s">
        <v>125</v>
      </c>
      <c r="D28" s="115" t="s">
        <v>1104</v>
      </c>
      <c r="E28" s="80" t="s">
        <v>249</v>
      </c>
      <c r="F28" s="2" t="s">
        <v>200</v>
      </c>
      <c r="G28" s="54" t="s">
        <v>1163</v>
      </c>
      <c r="H28" s="54" t="s">
        <v>240</v>
      </c>
      <c r="I28" s="80" t="s">
        <v>201</v>
      </c>
      <c r="J28" s="81" t="s">
        <v>251</v>
      </c>
      <c r="K28" s="81" t="s">
        <v>200</v>
      </c>
      <c r="L28" s="5" t="s">
        <v>201</v>
      </c>
      <c r="M28" s="81" t="s">
        <v>252</v>
      </c>
      <c r="N28" s="5" t="s">
        <v>200</v>
      </c>
      <c r="O28" s="8">
        <v>4</v>
      </c>
      <c r="R28" s="25">
        <f t="shared" si="0"/>
        <v>4</v>
      </c>
      <c r="T28" s="13"/>
    </row>
    <row r="29" spans="1:20" x14ac:dyDescent="0.3">
      <c r="A29" s="1"/>
      <c r="B29" s="2" t="s">
        <v>557</v>
      </c>
      <c r="C29" s="2" t="s">
        <v>126</v>
      </c>
      <c r="D29" s="115" t="s">
        <v>1104</v>
      </c>
      <c r="E29" s="80" t="s">
        <v>1144</v>
      </c>
      <c r="F29" s="2" t="s">
        <v>200</v>
      </c>
      <c r="G29" s="80" t="s">
        <v>254</v>
      </c>
      <c r="H29" s="80" t="s">
        <v>200</v>
      </c>
      <c r="I29" s="80" t="s">
        <v>201</v>
      </c>
      <c r="J29" s="81" t="s">
        <v>255</v>
      </c>
      <c r="K29" s="81" t="s">
        <v>200</v>
      </c>
      <c r="L29" s="5" t="s">
        <v>201</v>
      </c>
      <c r="M29" s="101" t="s">
        <v>256</v>
      </c>
      <c r="N29" s="101" t="s">
        <v>1067</v>
      </c>
      <c r="O29" s="8">
        <v>4</v>
      </c>
      <c r="R29" s="25">
        <f t="shared" si="0"/>
        <v>4</v>
      </c>
      <c r="T29" s="13"/>
    </row>
    <row r="30" spans="1:20" x14ac:dyDescent="0.3">
      <c r="A30" s="89">
        <v>1</v>
      </c>
      <c r="B30" s="2" t="s">
        <v>557</v>
      </c>
      <c r="C30" s="2" t="s">
        <v>132</v>
      </c>
      <c r="D30" s="115" t="s">
        <v>1104</v>
      </c>
      <c r="E30" s="80" t="s">
        <v>389</v>
      </c>
      <c r="F30" s="80" t="s">
        <v>200</v>
      </c>
      <c r="G30" s="80" t="s">
        <v>756</v>
      </c>
      <c r="H30" s="80" t="s">
        <v>200</v>
      </c>
      <c r="I30" s="80"/>
      <c r="J30" s="81" t="s">
        <v>706</v>
      </c>
      <c r="K30" s="81" t="s">
        <v>200</v>
      </c>
      <c r="L30" s="17"/>
      <c r="M30" s="81" t="s">
        <v>539</v>
      </c>
      <c r="N30" s="81" t="s">
        <v>200</v>
      </c>
      <c r="P30" s="8">
        <v>4</v>
      </c>
      <c r="Q30" s="8">
        <f>+COUNTIF(E30:N30,"A")+COUNTIF(E30:N30,"C")</f>
        <v>4</v>
      </c>
      <c r="R30" s="25">
        <f t="shared" si="0"/>
        <v>4</v>
      </c>
      <c r="T30" s="13"/>
    </row>
    <row r="31" spans="1:20" x14ac:dyDescent="0.3">
      <c r="B31" s="2" t="s">
        <v>557</v>
      </c>
      <c r="C31" s="2" t="s">
        <v>23</v>
      </c>
      <c r="D31" s="115" t="s">
        <v>1104</v>
      </c>
      <c r="E31" s="80" t="s">
        <v>257</v>
      </c>
      <c r="F31" s="80" t="s">
        <v>200</v>
      </c>
      <c r="G31" s="80" t="s">
        <v>258</v>
      </c>
      <c r="H31" s="80" t="s">
        <v>200</v>
      </c>
      <c r="I31" s="80" t="s">
        <v>201</v>
      </c>
      <c r="J31" s="81" t="s">
        <v>259</v>
      </c>
      <c r="K31" s="81" t="s">
        <v>200</v>
      </c>
      <c r="L31" s="5" t="s">
        <v>201</v>
      </c>
      <c r="M31" s="81" t="s">
        <v>260</v>
      </c>
      <c r="N31" s="5" t="s">
        <v>200</v>
      </c>
      <c r="O31" s="8">
        <v>4</v>
      </c>
      <c r="R31" s="25">
        <f t="shared" si="0"/>
        <v>4</v>
      </c>
    </row>
    <row r="32" spans="1:20" ht="13.5" customHeight="1" x14ac:dyDescent="0.3">
      <c r="A32" s="89">
        <v>1</v>
      </c>
      <c r="B32" s="2" t="s">
        <v>557</v>
      </c>
      <c r="C32" s="2" t="s">
        <v>131</v>
      </c>
      <c r="D32" s="115" t="s">
        <v>1104</v>
      </c>
      <c r="E32" s="80" t="s">
        <v>1071</v>
      </c>
      <c r="F32" s="80" t="s">
        <v>200</v>
      </c>
      <c r="G32" s="80" t="s">
        <v>535</v>
      </c>
      <c r="H32" s="80" t="s">
        <v>200</v>
      </c>
      <c r="I32" s="80"/>
      <c r="J32" s="81" t="s">
        <v>527</v>
      </c>
      <c r="K32" s="81" t="s">
        <v>200</v>
      </c>
      <c r="L32" s="17"/>
      <c r="M32" s="152" t="s">
        <v>1136</v>
      </c>
      <c r="N32" s="81" t="s">
        <v>200</v>
      </c>
      <c r="P32" s="8">
        <v>4</v>
      </c>
      <c r="Q32" s="8">
        <f>+COUNTIF(E32:N32,"A")+COUNTIF(E32:N32,"C")</f>
        <v>4</v>
      </c>
      <c r="R32" s="25">
        <f t="shared" si="0"/>
        <v>4</v>
      </c>
    </row>
    <row r="33" spans="1:20" x14ac:dyDescent="0.3">
      <c r="B33" s="2" t="s">
        <v>557</v>
      </c>
      <c r="C33" s="2" t="s">
        <v>127</v>
      </c>
      <c r="D33" s="115" t="s">
        <v>1104</v>
      </c>
      <c r="E33" s="80" t="s">
        <v>273</v>
      </c>
      <c r="F33" s="2" t="s">
        <v>200</v>
      </c>
      <c r="G33" s="80" t="s">
        <v>262</v>
      </c>
      <c r="H33" s="2" t="s">
        <v>200</v>
      </c>
      <c r="I33" s="2" t="s">
        <v>201</v>
      </c>
      <c r="J33" s="81" t="s">
        <v>1140</v>
      </c>
      <c r="K33" s="5" t="s">
        <v>200</v>
      </c>
      <c r="L33" s="5"/>
      <c r="M33" s="81" t="s">
        <v>735</v>
      </c>
      <c r="N33" s="5" t="s">
        <v>200</v>
      </c>
      <c r="O33" s="8">
        <v>4</v>
      </c>
      <c r="R33" s="25">
        <f t="shared" si="0"/>
        <v>4</v>
      </c>
    </row>
    <row r="34" spans="1:20" x14ac:dyDescent="0.3">
      <c r="B34" s="2" t="s">
        <v>557</v>
      </c>
      <c r="C34" s="2" t="s">
        <v>128</v>
      </c>
      <c r="D34" s="115" t="s">
        <v>1104</v>
      </c>
      <c r="E34" s="80" t="s">
        <v>515</v>
      </c>
      <c r="F34" s="80" t="s">
        <v>200</v>
      </c>
      <c r="G34" s="80" t="s">
        <v>264</v>
      </c>
      <c r="H34" s="2" t="s">
        <v>200</v>
      </c>
      <c r="I34" s="2" t="s">
        <v>201</v>
      </c>
      <c r="J34" s="81" t="s">
        <v>708</v>
      </c>
      <c r="K34" s="5" t="s">
        <v>200</v>
      </c>
      <c r="L34" s="5"/>
      <c r="M34" s="81" t="s">
        <v>266</v>
      </c>
      <c r="N34" s="5" t="s">
        <v>200</v>
      </c>
      <c r="O34" s="8">
        <v>4</v>
      </c>
      <c r="R34" s="25">
        <f t="shared" si="0"/>
        <v>4</v>
      </c>
    </row>
    <row r="35" spans="1:20" x14ac:dyDescent="0.3">
      <c r="B35" s="2" t="s">
        <v>557</v>
      </c>
      <c r="C35" s="2" t="s">
        <v>129</v>
      </c>
      <c r="D35" s="115" t="s">
        <v>1104</v>
      </c>
      <c r="E35" s="80" t="s">
        <v>267</v>
      </c>
      <c r="F35" s="2" t="s">
        <v>200</v>
      </c>
      <c r="G35" s="80" t="s">
        <v>791</v>
      </c>
      <c r="H35" s="80" t="s">
        <v>200</v>
      </c>
      <c r="I35" s="80" t="s">
        <v>201</v>
      </c>
      <c r="J35" s="81" t="s">
        <v>466</v>
      </c>
      <c r="K35" s="81" t="s">
        <v>200</v>
      </c>
      <c r="L35" s="5" t="s">
        <v>201</v>
      </c>
      <c r="M35" s="81" t="s">
        <v>268</v>
      </c>
      <c r="N35" s="5" t="s">
        <v>200</v>
      </c>
      <c r="O35" s="8">
        <v>4</v>
      </c>
      <c r="R35" s="25">
        <f t="shared" si="0"/>
        <v>4</v>
      </c>
    </row>
    <row r="36" spans="1:20" ht="15.75" customHeight="1" x14ac:dyDescent="0.3">
      <c r="A36" s="89">
        <v>1</v>
      </c>
      <c r="B36" s="2" t="s">
        <v>557</v>
      </c>
      <c r="C36" s="2" t="s">
        <v>130</v>
      </c>
      <c r="D36" s="115" t="s">
        <v>1104</v>
      </c>
      <c r="E36" s="80" t="s">
        <v>269</v>
      </c>
      <c r="F36" s="80" t="s">
        <v>200</v>
      </c>
      <c r="G36" s="80" t="s">
        <v>270</v>
      </c>
      <c r="H36" s="80" t="s">
        <v>200</v>
      </c>
      <c r="I36" s="80" t="s">
        <v>201</v>
      </c>
      <c r="J36" s="81" t="s">
        <v>271</v>
      </c>
      <c r="K36" s="80" t="s">
        <v>200</v>
      </c>
      <c r="L36" s="17"/>
      <c r="M36" s="81" t="s">
        <v>272</v>
      </c>
      <c r="N36" s="80" t="s">
        <v>200</v>
      </c>
      <c r="P36" s="8">
        <v>4</v>
      </c>
      <c r="Q36" s="8">
        <f>+COUNTIF(E36:N36,"A")+COUNTIF(E36:N36,"C")</f>
        <v>4</v>
      </c>
      <c r="R36" s="25">
        <f t="shared" si="0"/>
        <v>4</v>
      </c>
    </row>
    <row r="37" spans="1:20" x14ac:dyDescent="0.3">
      <c r="A37" s="1"/>
      <c r="B37" s="2" t="s">
        <v>557</v>
      </c>
      <c r="C37" s="2" t="s">
        <v>25</v>
      </c>
      <c r="D37" s="115" t="s">
        <v>1104</v>
      </c>
      <c r="E37" s="54" t="s">
        <v>789</v>
      </c>
      <c r="F37" s="54" t="s">
        <v>240</v>
      </c>
      <c r="G37" s="153" t="s">
        <v>1078</v>
      </c>
      <c r="H37" s="100" t="s">
        <v>200</v>
      </c>
      <c r="I37" s="2"/>
      <c r="J37" s="80" t="s">
        <v>788</v>
      </c>
      <c r="K37" s="5" t="s">
        <v>200</v>
      </c>
      <c r="L37" s="5"/>
      <c r="M37" s="97" t="s">
        <v>1080</v>
      </c>
      <c r="N37" s="5" t="s">
        <v>200</v>
      </c>
      <c r="O37" s="8">
        <v>4</v>
      </c>
      <c r="R37" s="25">
        <f t="shared" si="0"/>
        <v>4</v>
      </c>
    </row>
    <row r="38" spans="1:20" x14ac:dyDescent="0.3">
      <c r="A38" s="1"/>
      <c r="B38" s="2" t="s">
        <v>557</v>
      </c>
      <c r="C38" s="2" t="s">
        <v>25</v>
      </c>
      <c r="D38" s="115" t="s">
        <v>1104</v>
      </c>
      <c r="E38" s="54" t="s">
        <v>794</v>
      </c>
      <c r="F38" s="54" t="s">
        <v>240</v>
      </c>
      <c r="G38" s="81" t="s">
        <v>719</v>
      </c>
      <c r="H38" s="81" t="s">
        <v>200</v>
      </c>
      <c r="I38" s="20"/>
      <c r="J38" s="96" t="s">
        <v>1166</v>
      </c>
      <c r="K38" s="81" t="s">
        <v>240</v>
      </c>
      <c r="L38" s="17"/>
      <c r="M38" s="43" t="s">
        <v>1167</v>
      </c>
      <c r="N38" s="43" t="s">
        <v>240</v>
      </c>
      <c r="O38" s="8">
        <v>4</v>
      </c>
      <c r="R38" s="25">
        <f t="shared" si="0"/>
        <v>4</v>
      </c>
    </row>
    <row r="39" spans="1:20" x14ac:dyDescent="0.3">
      <c r="A39" s="89">
        <v>1</v>
      </c>
      <c r="B39" s="2" t="s">
        <v>557</v>
      </c>
      <c r="C39" s="2" t="s">
        <v>59</v>
      </c>
      <c r="D39" s="115" t="s">
        <v>1104</v>
      </c>
      <c r="E39" s="54" t="s">
        <v>1069</v>
      </c>
      <c r="F39" s="80" t="s">
        <v>1172</v>
      </c>
      <c r="G39" s="99" t="s">
        <v>1069</v>
      </c>
      <c r="H39" s="80" t="s">
        <v>1172</v>
      </c>
      <c r="I39" s="20"/>
      <c r="J39" s="81" t="s">
        <v>641</v>
      </c>
      <c r="K39" s="80" t="s">
        <v>200</v>
      </c>
      <c r="L39" s="17"/>
      <c r="M39" s="81" t="s">
        <v>541</v>
      </c>
      <c r="N39" s="80" t="s">
        <v>200</v>
      </c>
      <c r="P39" s="8">
        <v>4</v>
      </c>
      <c r="Q39" s="8">
        <f>+COUNTIF(E39:N39,"A")+COUNTIF(E39:N39,"C")</f>
        <v>2</v>
      </c>
      <c r="R39" s="25">
        <f t="shared" ref="R39:R71" si="1">SUM(O39:P39)</f>
        <v>4</v>
      </c>
    </row>
    <row r="40" spans="1:20" x14ac:dyDescent="0.3">
      <c r="A40" s="89">
        <v>1</v>
      </c>
      <c r="B40" s="2" t="s">
        <v>557</v>
      </c>
      <c r="C40" s="2" t="s">
        <v>59</v>
      </c>
      <c r="D40" s="115" t="s">
        <v>1104</v>
      </c>
      <c r="E40" s="163" t="s">
        <v>772</v>
      </c>
      <c r="F40" s="80" t="s">
        <v>200</v>
      </c>
      <c r="G40" s="163" t="s">
        <v>1160</v>
      </c>
      <c r="H40" s="80" t="s">
        <v>200</v>
      </c>
      <c r="I40" s="20"/>
      <c r="J40" s="81" t="s">
        <v>771</v>
      </c>
      <c r="K40" s="81" t="s">
        <v>200</v>
      </c>
      <c r="L40" s="17"/>
      <c r="M40" s="161" t="s">
        <v>753</v>
      </c>
      <c r="N40" s="43" t="s">
        <v>200</v>
      </c>
      <c r="P40" s="8">
        <v>4</v>
      </c>
      <c r="Q40" s="8">
        <f>+COUNTIF(E40:N40,"A")+COUNTIF(E40:N40,"C")</f>
        <v>4</v>
      </c>
      <c r="R40" s="25">
        <f>SUM(O40:P40)</f>
        <v>4</v>
      </c>
    </row>
    <row r="41" spans="1:20" x14ac:dyDescent="0.3">
      <c r="A41" s="89">
        <v>1</v>
      </c>
      <c r="B41" s="2" t="s">
        <v>557</v>
      </c>
      <c r="C41" s="2" t="s">
        <v>60</v>
      </c>
      <c r="D41" s="115" t="s">
        <v>1104</v>
      </c>
      <c r="E41" s="54" t="s">
        <v>1069</v>
      </c>
      <c r="F41" s="54" t="s">
        <v>1134</v>
      </c>
      <c r="G41" s="54" t="s">
        <v>1164</v>
      </c>
      <c r="H41" s="54" t="s">
        <v>240</v>
      </c>
      <c r="I41" s="2"/>
      <c r="J41" s="43" t="s">
        <v>1069</v>
      </c>
      <c r="K41" s="43" t="s">
        <v>1134</v>
      </c>
      <c r="L41" s="5"/>
      <c r="M41" s="43" t="s">
        <v>1069</v>
      </c>
      <c r="N41" s="43" t="s">
        <v>1134</v>
      </c>
      <c r="R41" s="25">
        <f t="shared" si="1"/>
        <v>0</v>
      </c>
    </row>
    <row r="42" spans="1:20" s="93" customFormat="1" x14ac:dyDescent="0.3">
      <c r="A42" s="164"/>
      <c r="B42" s="80"/>
      <c r="C42" s="80"/>
      <c r="D42" s="160"/>
      <c r="E42" s="162"/>
      <c r="F42" s="94"/>
      <c r="G42" s="94"/>
      <c r="H42" s="94"/>
      <c r="I42" s="94"/>
      <c r="J42" s="97"/>
      <c r="K42" s="95"/>
      <c r="L42" s="95"/>
      <c r="M42" s="95"/>
      <c r="N42" s="95"/>
      <c r="O42" s="165"/>
      <c r="P42" s="165"/>
      <c r="Q42" s="165"/>
      <c r="R42" s="166"/>
    </row>
    <row r="43" spans="1:20" s="3" customFormat="1" x14ac:dyDescent="0.3">
      <c r="A43" s="90"/>
      <c r="B43" s="6"/>
      <c r="C43" s="6" t="s">
        <v>133</v>
      </c>
      <c r="D43" s="115"/>
      <c r="E43" s="18"/>
      <c r="F43" s="19"/>
      <c r="G43" s="19"/>
      <c r="H43" s="19"/>
      <c r="I43" s="19"/>
      <c r="J43" s="19"/>
      <c r="K43" s="24"/>
      <c r="L43" s="24"/>
      <c r="M43" s="24"/>
      <c r="N43" s="24"/>
      <c r="O43" s="8"/>
      <c r="P43" s="8"/>
      <c r="Q43" s="8"/>
      <c r="R43" s="25">
        <f t="shared" si="1"/>
        <v>0</v>
      </c>
      <c r="T43"/>
    </row>
    <row r="44" spans="1:20" x14ac:dyDescent="0.3">
      <c r="B44" s="2" t="s">
        <v>552</v>
      </c>
      <c r="C44" s="2" t="s">
        <v>134</v>
      </c>
      <c r="D44" s="115" t="s">
        <v>1104</v>
      </c>
      <c r="E44" s="80" t="s">
        <v>621</v>
      </c>
      <c r="F44" s="80" t="s">
        <v>200</v>
      </c>
      <c r="G44" s="80" t="s">
        <v>1147</v>
      </c>
      <c r="H44" s="80" t="s">
        <v>200</v>
      </c>
      <c r="I44" s="80"/>
      <c r="J44" s="80" t="s">
        <v>629</v>
      </c>
      <c r="K44" s="97" t="s">
        <v>200</v>
      </c>
      <c r="L44" s="81"/>
      <c r="M44" s="81" t="s">
        <v>280</v>
      </c>
      <c r="N44" s="5" t="s">
        <v>200</v>
      </c>
      <c r="O44" s="8">
        <v>4</v>
      </c>
      <c r="R44" s="25">
        <f t="shared" si="1"/>
        <v>4</v>
      </c>
    </row>
    <row r="45" spans="1:20" x14ac:dyDescent="0.3">
      <c r="B45" s="2" t="s">
        <v>552</v>
      </c>
      <c r="C45" s="2" t="s">
        <v>135</v>
      </c>
      <c r="D45" s="115" t="s">
        <v>1104</v>
      </c>
      <c r="E45" s="80" t="s">
        <v>281</v>
      </c>
      <c r="F45" s="80" t="s">
        <v>200</v>
      </c>
      <c r="G45" s="80" t="s">
        <v>290</v>
      </c>
      <c r="H45" s="80" t="s">
        <v>200</v>
      </c>
      <c r="I45" s="80"/>
      <c r="J45" s="80" t="s">
        <v>590</v>
      </c>
      <c r="K45" s="80" t="s">
        <v>200</v>
      </c>
      <c r="L45" s="81"/>
      <c r="M45" s="81" t="s">
        <v>284</v>
      </c>
      <c r="N45" s="5" t="s">
        <v>200</v>
      </c>
      <c r="O45" s="8">
        <v>4</v>
      </c>
      <c r="R45" s="25">
        <f t="shared" si="1"/>
        <v>4</v>
      </c>
    </row>
    <row r="46" spans="1:20" x14ac:dyDescent="0.3">
      <c r="B46" s="2" t="s">
        <v>552</v>
      </c>
      <c r="C46" s="2" t="s">
        <v>135</v>
      </c>
      <c r="D46" s="115" t="s">
        <v>1104</v>
      </c>
      <c r="E46" s="80" t="s">
        <v>285</v>
      </c>
      <c r="F46" s="80" t="s">
        <v>200</v>
      </c>
      <c r="G46" s="80" t="s">
        <v>286</v>
      </c>
      <c r="H46" s="80" t="s">
        <v>200</v>
      </c>
      <c r="I46" s="80"/>
      <c r="J46" s="80" t="s">
        <v>1092</v>
      </c>
      <c r="K46" s="81" t="s">
        <v>200</v>
      </c>
      <c r="L46" s="81"/>
      <c r="M46" s="81" t="s">
        <v>342</v>
      </c>
      <c r="N46" s="5" t="s">
        <v>200</v>
      </c>
      <c r="O46" s="8">
        <v>4</v>
      </c>
      <c r="R46" s="25">
        <f t="shared" si="1"/>
        <v>4</v>
      </c>
    </row>
    <row r="47" spans="1:20" x14ac:dyDescent="0.3">
      <c r="B47" s="2" t="s">
        <v>552</v>
      </c>
      <c r="C47" s="2" t="s">
        <v>136</v>
      </c>
      <c r="D47" s="115" t="s">
        <v>1104</v>
      </c>
      <c r="E47" s="50" t="s">
        <v>651</v>
      </c>
      <c r="F47" s="80" t="s">
        <v>200</v>
      </c>
      <c r="G47" s="80" t="s">
        <v>1058</v>
      </c>
      <c r="H47" s="80" t="s">
        <v>200</v>
      </c>
      <c r="I47" s="80"/>
      <c r="J47" s="81" t="s">
        <v>488</v>
      </c>
      <c r="K47" s="81" t="s">
        <v>200</v>
      </c>
      <c r="L47" s="81"/>
      <c r="M47" s="81" t="s">
        <v>288</v>
      </c>
      <c r="N47" s="81" t="s">
        <v>200</v>
      </c>
      <c r="O47" s="8">
        <v>4</v>
      </c>
      <c r="R47" s="25">
        <f t="shared" si="1"/>
        <v>4</v>
      </c>
    </row>
    <row r="48" spans="1:20" x14ac:dyDescent="0.3">
      <c r="B48" s="2" t="s">
        <v>557</v>
      </c>
      <c r="C48" s="2" t="s">
        <v>137</v>
      </c>
      <c r="D48" s="115" t="s">
        <v>1104</v>
      </c>
      <c r="E48" s="81" t="s">
        <v>432</v>
      </c>
      <c r="F48" s="81" t="s">
        <v>200</v>
      </c>
      <c r="G48" s="80" t="s">
        <v>293</v>
      </c>
      <c r="H48" s="80" t="s">
        <v>200</v>
      </c>
      <c r="I48" s="80"/>
      <c r="J48" s="81" t="s">
        <v>606</v>
      </c>
      <c r="K48" s="152" t="s">
        <v>200</v>
      </c>
      <c r="L48" s="81"/>
      <c r="M48" s="81" t="s">
        <v>711</v>
      </c>
      <c r="N48" s="5" t="s">
        <v>200</v>
      </c>
      <c r="O48" s="8">
        <v>4</v>
      </c>
      <c r="R48" s="25">
        <f t="shared" si="1"/>
        <v>4</v>
      </c>
    </row>
    <row r="49" spans="1:20" s="3" customFormat="1" x14ac:dyDescent="0.3">
      <c r="A49" s="90"/>
      <c r="B49" s="6"/>
      <c r="C49" s="6" t="s">
        <v>138</v>
      </c>
      <c r="D49" s="115"/>
      <c r="E49" s="23"/>
      <c r="F49" s="24"/>
      <c r="G49" s="19"/>
      <c r="H49" s="19"/>
      <c r="I49" s="19"/>
      <c r="J49" s="19"/>
      <c r="K49" s="24"/>
      <c r="L49" s="24"/>
      <c r="M49" s="24"/>
      <c r="N49" s="24"/>
      <c r="O49" s="8"/>
      <c r="P49" s="8"/>
      <c r="Q49" s="8"/>
      <c r="R49" s="25">
        <f t="shared" si="1"/>
        <v>0</v>
      </c>
      <c r="T49"/>
    </row>
    <row r="50" spans="1:20" x14ac:dyDescent="0.3">
      <c r="B50" s="2" t="s">
        <v>552</v>
      </c>
      <c r="C50" s="2" t="s">
        <v>134</v>
      </c>
      <c r="D50" s="115" t="s">
        <v>1104</v>
      </c>
      <c r="E50" s="80" t="s">
        <v>294</v>
      </c>
      <c r="F50" s="2" t="s">
        <v>200</v>
      </c>
      <c r="G50" s="80" t="s">
        <v>295</v>
      </c>
      <c r="H50" s="80" t="s">
        <v>200</v>
      </c>
      <c r="I50" s="80"/>
      <c r="J50" s="81" t="s">
        <v>384</v>
      </c>
      <c r="K50" s="81" t="s">
        <v>200</v>
      </c>
      <c r="L50" s="81"/>
      <c r="M50" s="81" t="s">
        <v>296</v>
      </c>
      <c r="N50" s="5" t="s">
        <v>200</v>
      </c>
      <c r="O50" s="8">
        <v>4</v>
      </c>
      <c r="R50" s="25">
        <f t="shared" si="1"/>
        <v>4</v>
      </c>
    </row>
    <row r="51" spans="1:20" x14ac:dyDescent="0.3">
      <c r="B51" s="2" t="s">
        <v>552</v>
      </c>
      <c r="C51" s="2" t="s">
        <v>135</v>
      </c>
      <c r="D51" s="115" t="s">
        <v>1104</v>
      </c>
      <c r="E51" s="80" t="s">
        <v>714</v>
      </c>
      <c r="F51" s="80" t="s">
        <v>200</v>
      </c>
      <c r="G51" s="80" t="s">
        <v>297</v>
      </c>
      <c r="H51" s="80" t="s">
        <v>200</v>
      </c>
      <c r="I51" s="80"/>
      <c r="J51" s="81" t="s">
        <v>320</v>
      </c>
      <c r="K51" s="80" t="s">
        <v>200</v>
      </c>
      <c r="L51" s="81"/>
      <c r="M51" s="81" t="s">
        <v>299</v>
      </c>
      <c r="N51" s="5" t="s">
        <v>200</v>
      </c>
      <c r="O51" s="8">
        <v>4</v>
      </c>
      <c r="R51" s="25">
        <f t="shared" si="1"/>
        <v>4</v>
      </c>
    </row>
    <row r="52" spans="1:20" x14ac:dyDescent="0.3">
      <c r="B52" s="2" t="s">
        <v>552</v>
      </c>
      <c r="C52" s="2" t="s">
        <v>135</v>
      </c>
      <c r="D52" s="115" t="s">
        <v>1104</v>
      </c>
      <c r="E52" s="80" t="s">
        <v>300</v>
      </c>
      <c r="F52" s="14" t="s">
        <v>200</v>
      </c>
      <c r="G52" s="153" t="s">
        <v>344</v>
      </c>
      <c r="H52" s="80" t="s">
        <v>200</v>
      </c>
      <c r="I52" s="80"/>
      <c r="J52" s="81" t="s">
        <v>1090</v>
      </c>
      <c r="K52" s="81" t="s">
        <v>200</v>
      </c>
      <c r="L52" s="81"/>
      <c r="M52" s="81" t="s">
        <v>305</v>
      </c>
      <c r="N52" s="5" t="s">
        <v>200</v>
      </c>
      <c r="O52" s="8">
        <v>4</v>
      </c>
      <c r="R52" s="25">
        <f t="shared" si="1"/>
        <v>4</v>
      </c>
    </row>
    <row r="53" spans="1:20" x14ac:dyDescent="0.3">
      <c r="B53" s="2" t="s">
        <v>552</v>
      </c>
      <c r="C53" s="2" t="s">
        <v>136</v>
      </c>
      <c r="D53" s="115" t="s">
        <v>1104</v>
      </c>
      <c r="E53" s="80" t="s">
        <v>303</v>
      </c>
      <c r="F53" s="2" t="s">
        <v>200</v>
      </c>
      <c r="G53" s="80" t="s">
        <v>304</v>
      </c>
      <c r="H53" s="80" t="s">
        <v>200</v>
      </c>
      <c r="I53" s="80"/>
      <c r="J53" s="81" t="s">
        <v>1141</v>
      </c>
      <c r="K53" s="81" t="s">
        <v>200</v>
      </c>
      <c r="L53" s="81"/>
      <c r="M53" s="81" t="s">
        <v>400</v>
      </c>
      <c r="N53" s="5" t="s">
        <v>200</v>
      </c>
      <c r="O53" s="8">
        <v>4</v>
      </c>
      <c r="R53" s="25">
        <f t="shared" si="1"/>
        <v>4</v>
      </c>
    </row>
    <row r="54" spans="1:20" x14ac:dyDescent="0.3">
      <c r="B54" s="2" t="s">
        <v>557</v>
      </c>
      <c r="C54" s="2" t="s">
        <v>137</v>
      </c>
      <c r="D54" s="115" t="s">
        <v>1104</v>
      </c>
      <c r="E54" s="80" t="s">
        <v>306</v>
      </c>
      <c r="F54" s="2" t="s">
        <v>200</v>
      </c>
      <c r="G54" s="99" t="s">
        <v>1162</v>
      </c>
      <c r="H54" s="54" t="s">
        <v>240</v>
      </c>
      <c r="I54" s="2"/>
      <c r="J54" s="43" t="s">
        <v>1138</v>
      </c>
      <c r="K54" s="43" t="s">
        <v>240</v>
      </c>
      <c r="L54" s="5"/>
      <c r="M54" s="96" t="s">
        <v>1137</v>
      </c>
      <c r="N54" s="43" t="s">
        <v>240</v>
      </c>
      <c r="O54" s="8">
        <v>4</v>
      </c>
      <c r="R54" s="25">
        <f t="shared" si="1"/>
        <v>4</v>
      </c>
    </row>
    <row r="55" spans="1:20" s="3" customFormat="1" x14ac:dyDescent="0.3">
      <c r="A55" s="90"/>
      <c r="B55" s="6"/>
      <c r="C55" s="6" t="s">
        <v>139</v>
      </c>
      <c r="D55" s="115"/>
      <c r="E55" s="18"/>
      <c r="F55" s="19"/>
      <c r="G55" s="19"/>
      <c r="H55" s="19"/>
      <c r="I55" s="19"/>
      <c r="J55" s="19"/>
      <c r="K55" s="24"/>
      <c r="L55" s="24"/>
      <c r="M55" s="24"/>
      <c r="N55" s="24"/>
      <c r="O55" s="8"/>
      <c r="P55" s="8"/>
      <c r="Q55" s="8"/>
      <c r="R55" s="25">
        <f t="shared" si="1"/>
        <v>0</v>
      </c>
      <c r="T55"/>
    </row>
    <row r="56" spans="1:20" x14ac:dyDescent="0.3">
      <c r="B56" s="2" t="s">
        <v>552</v>
      </c>
      <c r="C56" s="2" t="s">
        <v>134</v>
      </c>
      <c r="D56" s="115" t="s">
        <v>1104</v>
      </c>
      <c r="E56" s="80" t="s">
        <v>322</v>
      </c>
      <c r="F56" s="80" t="s">
        <v>200</v>
      </c>
      <c r="G56" s="80" t="s">
        <v>630</v>
      </c>
      <c r="H56" s="80" t="s">
        <v>200</v>
      </c>
      <c r="I56" s="80"/>
      <c r="J56" s="81" t="s">
        <v>310</v>
      </c>
      <c r="K56" s="81" t="s">
        <v>200</v>
      </c>
      <c r="L56" s="81"/>
      <c r="M56" s="81" t="s">
        <v>1061</v>
      </c>
      <c r="N56" s="5" t="s">
        <v>200</v>
      </c>
      <c r="O56" s="8">
        <v>4</v>
      </c>
      <c r="R56" s="25">
        <f t="shared" si="1"/>
        <v>4</v>
      </c>
    </row>
    <row r="57" spans="1:20" x14ac:dyDescent="0.3">
      <c r="B57" s="2" t="s">
        <v>552</v>
      </c>
      <c r="C57" s="2" t="s">
        <v>135</v>
      </c>
      <c r="D57" s="115" t="s">
        <v>1104</v>
      </c>
      <c r="E57" s="80" t="s">
        <v>312</v>
      </c>
      <c r="F57" s="80" t="s">
        <v>200</v>
      </c>
      <c r="G57" s="80" t="s">
        <v>313</v>
      </c>
      <c r="H57" s="80" t="s">
        <v>200</v>
      </c>
      <c r="I57" s="80"/>
      <c r="J57" s="81" t="s">
        <v>314</v>
      </c>
      <c r="K57" s="81" t="s">
        <v>200</v>
      </c>
      <c r="L57" s="81"/>
      <c r="M57" s="81" t="s">
        <v>318</v>
      </c>
      <c r="N57" s="5" t="s">
        <v>200</v>
      </c>
      <c r="O57" s="8">
        <v>4</v>
      </c>
      <c r="R57" s="25">
        <f t="shared" si="1"/>
        <v>4</v>
      </c>
    </row>
    <row r="58" spans="1:20" x14ac:dyDescent="0.3">
      <c r="B58" s="2" t="s">
        <v>552</v>
      </c>
      <c r="C58" s="2" t="s">
        <v>135</v>
      </c>
      <c r="D58" s="115" t="s">
        <v>1104</v>
      </c>
      <c r="E58" s="80" t="s">
        <v>316</v>
      </c>
      <c r="F58" s="80" t="s">
        <v>200</v>
      </c>
      <c r="G58" s="80" t="s">
        <v>317</v>
      </c>
      <c r="H58" s="80" t="s">
        <v>200</v>
      </c>
      <c r="I58" s="80"/>
      <c r="J58" s="81" t="s">
        <v>752</v>
      </c>
      <c r="K58" s="81" t="s">
        <v>200</v>
      </c>
      <c r="L58" s="81"/>
      <c r="M58" s="129" t="s">
        <v>1069</v>
      </c>
      <c r="N58" s="43" t="s">
        <v>1096</v>
      </c>
      <c r="O58" s="8">
        <v>4</v>
      </c>
      <c r="R58" s="25">
        <f t="shared" si="1"/>
        <v>4</v>
      </c>
    </row>
    <row r="59" spans="1:20" x14ac:dyDescent="0.3">
      <c r="B59" s="2" t="s">
        <v>552</v>
      </c>
      <c r="C59" s="2" t="s">
        <v>136</v>
      </c>
      <c r="D59" s="115" t="s">
        <v>1104</v>
      </c>
      <c r="E59" s="80" t="s">
        <v>319</v>
      </c>
      <c r="F59" s="80" t="s">
        <v>200</v>
      </c>
      <c r="G59" s="99" t="s">
        <v>1069</v>
      </c>
      <c r="H59" s="80" t="s">
        <v>234</v>
      </c>
      <c r="I59" s="80"/>
      <c r="J59" s="81" t="s">
        <v>475</v>
      </c>
      <c r="K59" s="5" t="s">
        <v>200</v>
      </c>
      <c r="L59" s="5"/>
      <c r="M59" s="129" t="s">
        <v>1069</v>
      </c>
      <c r="N59" s="43" t="s">
        <v>1096</v>
      </c>
      <c r="O59" s="8">
        <v>4</v>
      </c>
      <c r="R59" s="25">
        <f t="shared" si="1"/>
        <v>4</v>
      </c>
    </row>
    <row r="60" spans="1:20" x14ac:dyDescent="0.3">
      <c r="B60" s="2" t="s">
        <v>557</v>
      </c>
      <c r="C60" s="2" t="s">
        <v>137</v>
      </c>
      <c r="D60" s="115" t="s">
        <v>1104</v>
      </c>
      <c r="E60" s="121" t="s">
        <v>795</v>
      </c>
      <c r="F60" s="80" t="s">
        <v>200</v>
      </c>
      <c r="G60" s="80" t="s">
        <v>585</v>
      </c>
      <c r="H60" s="80" t="s">
        <v>200</v>
      </c>
      <c r="I60" s="80"/>
      <c r="J60" s="96" t="s">
        <v>1069</v>
      </c>
      <c r="K60" s="43" t="s">
        <v>234</v>
      </c>
      <c r="L60" s="81" t="s">
        <v>201</v>
      </c>
      <c r="M60" s="81" t="s">
        <v>1091</v>
      </c>
      <c r="N60" s="5" t="s">
        <v>200</v>
      </c>
      <c r="O60" s="8">
        <v>4</v>
      </c>
      <c r="R60" s="25">
        <f t="shared" si="1"/>
        <v>4</v>
      </c>
    </row>
    <row r="61" spans="1:20" s="3" customFormat="1" ht="15" customHeight="1" x14ac:dyDescent="0.3">
      <c r="A61" s="90"/>
      <c r="B61" s="6"/>
      <c r="C61" s="6" t="s">
        <v>140</v>
      </c>
      <c r="D61" s="115"/>
      <c r="E61" s="18"/>
      <c r="F61" s="19"/>
      <c r="G61" s="19"/>
      <c r="H61" s="19"/>
      <c r="I61" s="19"/>
      <c r="J61" s="19"/>
      <c r="K61" s="24"/>
      <c r="L61" s="24"/>
      <c r="M61" s="24"/>
      <c r="N61" s="24"/>
      <c r="O61" s="8"/>
      <c r="P61" s="8"/>
      <c r="Q61" s="8"/>
      <c r="R61" s="25">
        <f t="shared" si="1"/>
        <v>0</v>
      </c>
      <c r="T61"/>
    </row>
    <row r="62" spans="1:20" x14ac:dyDescent="0.3">
      <c r="B62" s="2" t="s">
        <v>552</v>
      </c>
      <c r="C62" s="2" t="s">
        <v>134</v>
      </c>
      <c r="D62" s="115" t="s">
        <v>1104</v>
      </c>
      <c r="E62" s="80" t="s">
        <v>740</v>
      </c>
      <c r="F62" s="80" t="s">
        <v>200</v>
      </c>
      <c r="G62" s="81" t="s">
        <v>265</v>
      </c>
      <c r="H62" s="80" t="s">
        <v>200</v>
      </c>
      <c r="I62" s="80"/>
      <c r="J62" s="81" t="s">
        <v>327</v>
      </c>
      <c r="K62" s="81" t="s">
        <v>200</v>
      </c>
      <c r="L62" s="81"/>
      <c r="M62" s="81" t="s">
        <v>328</v>
      </c>
      <c r="N62" s="5" t="s">
        <v>200</v>
      </c>
      <c r="O62" s="8">
        <v>4</v>
      </c>
      <c r="R62" s="25">
        <f t="shared" si="1"/>
        <v>4</v>
      </c>
    </row>
    <row r="63" spans="1:20" x14ac:dyDescent="0.3">
      <c r="B63" s="2" t="s">
        <v>552</v>
      </c>
      <c r="C63" s="2" t="s">
        <v>135</v>
      </c>
      <c r="D63" s="115" t="s">
        <v>1104</v>
      </c>
      <c r="E63" s="80" t="s">
        <v>329</v>
      </c>
      <c r="F63" s="80" t="s">
        <v>200</v>
      </c>
      <c r="G63" s="80" t="s">
        <v>499</v>
      </c>
      <c r="H63" s="81" t="s">
        <v>200</v>
      </c>
      <c r="I63" s="80"/>
      <c r="J63" s="81" t="s">
        <v>481</v>
      </c>
      <c r="K63" s="81" t="s">
        <v>200</v>
      </c>
      <c r="L63" s="81"/>
      <c r="M63" s="81" t="s">
        <v>331</v>
      </c>
      <c r="N63" s="5" t="s">
        <v>200</v>
      </c>
      <c r="O63" s="8">
        <v>4</v>
      </c>
      <c r="R63" s="25">
        <f t="shared" si="1"/>
        <v>4</v>
      </c>
    </row>
    <row r="64" spans="1:20" x14ac:dyDescent="0.3">
      <c r="B64" s="2" t="s">
        <v>552</v>
      </c>
      <c r="C64" s="2" t="s">
        <v>135</v>
      </c>
      <c r="D64" s="115" t="s">
        <v>1104</v>
      </c>
      <c r="E64" s="80" t="s">
        <v>593</v>
      </c>
      <c r="F64" s="80" t="s">
        <v>200</v>
      </c>
      <c r="G64" s="80" t="s">
        <v>500</v>
      </c>
      <c r="H64" s="80" t="s">
        <v>200</v>
      </c>
      <c r="I64" s="80"/>
      <c r="J64" s="81" t="s">
        <v>484</v>
      </c>
      <c r="K64" s="81" t="s">
        <v>200</v>
      </c>
      <c r="L64" s="81"/>
      <c r="M64" s="81" t="s">
        <v>548</v>
      </c>
      <c r="N64" s="81" t="s">
        <v>200</v>
      </c>
      <c r="O64" s="8">
        <v>4</v>
      </c>
      <c r="R64" s="25">
        <f t="shared" si="1"/>
        <v>4</v>
      </c>
    </row>
    <row r="65" spans="1:20" x14ac:dyDescent="0.3">
      <c r="B65" s="2" t="s">
        <v>552</v>
      </c>
      <c r="C65" s="2" t="s">
        <v>136</v>
      </c>
      <c r="D65" s="115" t="s">
        <v>1104</v>
      </c>
      <c r="E65" s="80" t="s">
        <v>669</v>
      </c>
      <c r="F65" s="80" t="s">
        <v>200</v>
      </c>
      <c r="G65" s="81" t="s">
        <v>335</v>
      </c>
      <c r="H65" s="80" t="s">
        <v>200</v>
      </c>
      <c r="I65" s="80"/>
      <c r="J65" s="81" t="s">
        <v>774</v>
      </c>
      <c r="K65" s="5" t="s">
        <v>200</v>
      </c>
      <c r="L65" s="5"/>
      <c r="M65" s="101" t="s">
        <v>1099</v>
      </c>
      <c r="N65" s="101" t="s">
        <v>1067</v>
      </c>
      <c r="O65" s="8">
        <v>4</v>
      </c>
      <c r="R65" s="25">
        <f t="shared" si="1"/>
        <v>4</v>
      </c>
    </row>
    <row r="66" spans="1:20" x14ac:dyDescent="0.3">
      <c r="B66" s="2" t="s">
        <v>557</v>
      </c>
      <c r="C66" s="2" t="s">
        <v>137</v>
      </c>
      <c r="D66" s="115" t="s">
        <v>1104</v>
      </c>
      <c r="E66" s="80" t="s">
        <v>792</v>
      </c>
      <c r="F66" s="80" t="s">
        <v>200</v>
      </c>
      <c r="G66" s="80" t="s">
        <v>742</v>
      </c>
      <c r="H66" s="80" t="s">
        <v>200</v>
      </c>
      <c r="I66" s="80"/>
      <c r="J66" s="81" t="s">
        <v>699</v>
      </c>
      <c r="K66" s="81" t="s">
        <v>200</v>
      </c>
      <c r="L66" s="5"/>
      <c r="M66" s="81" t="s">
        <v>718</v>
      </c>
      <c r="N66" s="81" t="s">
        <v>200</v>
      </c>
      <c r="O66" s="8">
        <v>4</v>
      </c>
      <c r="R66" s="25">
        <f t="shared" si="1"/>
        <v>4</v>
      </c>
    </row>
    <row r="67" spans="1:20" s="3" customFormat="1" x14ac:dyDescent="0.3">
      <c r="A67" s="90"/>
      <c r="B67" s="6"/>
      <c r="C67" s="6" t="s">
        <v>141</v>
      </c>
      <c r="D67" s="115"/>
      <c r="E67" s="18"/>
      <c r="F67" s="19"/>
      <c r="G67" s="19"/>
      <c r="H67" s="19"/>
      <c r="I67" s="19"/>
      <c r="J67" s="19"/>
      <c r="K67" s="24"/>
      <c r="L67" s="24"/>
      <c r="M67" s="24"/>
      <c r="N67" s="24"/>
      <c r="O67" s="8"/>
      <c r="P67" s="8"/>
      <c r="Q67" s="8"/>
      <c r="R67" s="25">
        <f t="shared" si="1"/>
        <v>0</v>
      </c>
      <c r="T67"/>
    </row>
    <row r="68" spans="1:20" x14ac:dyDescent="0.3">
      <c r="B68" s="2" t="s">
        <v>552</v>
      </c>
      <c r="C68" s="2" t="s">
        <v>134</v>
      </c>
      <c r="D68" s="115" t="s">
        <v>1104</v>
      </c>
      <c r="E68" s="80" t="s">
        <v>1159</v>
      </c>
      <c r="F68" s="80" t="s">
        <v>200</v>
      </c>
      <c r="G68" s="80" t="s">
        <v>378</v>
      </c>
      <c r="H68" s="80" t="s">
        <v>200</v>
      </c>
      <c r="I68" s="80"/>
      <c r="J68" s="81" t="s">
        <v>379</v>
      </c>
      <c r="K68" s="81" t="s">
        <v>200</v>
      </c>
      <c r="L68" s="81"/>
      <c r="M68" s="81" t="s">
        <v>380</v>
      </c>
      <c r="N68" s="5" t="s">
        <v>200</v>
      </c>
      <c r="O68" s="8">
        <v>4</v>
      </c>
      <c r="R68" s="25">
        <f t="shared" si="1"/>
        <v>4</v>
      </c>
    </row>
    <row r="69" spans="1:20" x14ac:dyDescent="0.3">
      <c r="B69" s="2" t="s">
        <v>552</v>
      </c>
      <c r="C69" s="2" t="s">
        <v>135</v>
      </c>
      <c r="D69" s="115" t="s">
        <v>1104</v>
      </c>
      <c r="E69" s="80" t="s">
        <v>715</v>
      </c>
      <c r="F69" s="81" t="s">
        <v>200</v>
      </c>
      <c r="G69" s="80" t="s">
        <v>597</v>
      </c>
      <c r="H69" s="80" t="s">
        <v>200</v>
      </c>
      <c r="I69" s="80"/>
      <c r="J69" s="81" t="s">
        <v>382</v>
      </c>
      <c r="K69" s="81" t="s">
        <v>200</v>
      </c>
      <c r="L69" s="81"/>
      <c r="M69" s="81" t="s">
        <v>302</v>
      </c>
      <c r="N69" s="5" t="s">
        <v>200</v>
      </c>
      <c r="O69" s="8">
        <v>4</v>
      </c>
      <c r="R69" s="25">
        <f t="shared" si="1"/>
        <v>4</v>
      </c>
    </row>
    <row r="70" spans="1:20" ht="14.1" customHeight="1" x14ac:dyDescent="0.3">
      <c r="B70" s="2" t="s">
        <v>552</v>
      </c>
      <c r="C70" s="2" t="s">
        <v>135</v>
      </c>
      <c r="D70" s="115" t="s">
        <v>1104</v>
      </c>
      <c r="E70" s="80" t="s">
        <v>383</v>
      </c>
      <c r="F70" s="80" t="s">
        <v>200</v>
      </c>
      <c r="G70" s="80" t="s">
        <v>332</v>
      </c>
      <c r="H70" s="80" t="s">
        <v>200</v>
      </c>
      <c r="I70" s="80"/>
      <c r="J70" s="81" t="s">
        <v>1064</v>
      </c>
      <c r="K70" s="97" t="s">
        <v>200</v>
      </c>
      <c r="L70" s="81"/>
      <c r="M70" s="81" t="s">
        <v>471</v>
      </c>
      <c r="N70" s="5" t="s">
        <v>200</v>
      </c>
      <c r="O70" s="8">
        <v>4</v>
      </c>
      <c r="R70" s="25">
        <f t="shared" si="1"/>
        <v>4</v>
      </c>
      <c r="T70" s="40"/>
    </row>
    <row r="71" spans="1:20" x14ac:dyDescent="0.3">
      <c r="B71" s="2" t="s">
        <v>557</v>
      </c>
      <c r="C71" s="2" t="s">
        <v>137</v>
      </c>
      <c r="D71" s="115" t="s">
        <v>1104</v>
      </c>
      <c r="E71" s="80" t="s">
        <v>353</v>
      </c>
      <c r="F71" s="80" t="s">
        <v>200</v>
      </c>
      <c r="G71" s="80" t="s">
        <v>390</v>
      </c>
      <c r="H71" s="80" t="s">
        <v>200</v>
      </c>
      <c r="I71" s="80" t="s">
        <v>201</v>
      </c>
      <c r="J71" s="97" t="s">
        <v>608</v>
      </c>
      <c r="K71" s="81" t="s">
        <v>200</v>
      </c>
      <c r="L71" s="81" t="s">
        <v>201</v>
      </c>
      <c r="M71" s="81" t="s">
        <v>336</v>
      </c>
      <c r="N71" s="5" t="s">
        <v>200</v>
      </c>
      <c r="O71" s="8">
        <v>4</v>
      </c>
      <c r="R71" s="25">
        <f t="shared" si="1"/>
        <v>4</v>
      </c>
      <c r="T71" s="40"/>
    </row>
    <row r="72" spans="1:20" x14ac:dyDescent="0.3">
      <c r="B72" s="6"/>
      <c r="C72" s="6" t="s">
        <v>142</v>
      </c>
      <c r="D72" s="115"/>
      <c r="E72" s="18"/>
      <c r="F72" s="19"/>
      <c r="G72" s="19"/>
      <c r="H72" s="19"/>
      <c r="I72" s="19"/>
      <c r="J72" s="19"/>
      <c r="K72" s="24"/>
      <c r="L72" s="24"/>
      <c r="M72" s="24"/>
      <c r="N72" s="24"/>
      <c r="R72" s="25">
        <f t="shared" ref="R72:R103" si="2">SUM(O72:P72)</f>
        <v>0</v>
      </c>
      <c r="T72" s="40"/>
    </row>
    <row r="73" spans="1:20" s="3" customFormat="1" x14ac:dyDescent="0.3">
      <c r="A73" s="90"/>
      <c r="B73" s="2" t="s">
        <v>552</v>
      </c>
      <c r="C73" s="2" t="s">
        <v>134</v>
      </c>
      <c r="D73" s="115" t="s">
        <v>1104</v>
      </c>
      <c r="E73" s="80" t="s">
        <v>514</v>
      </c>
      <c r="F73" s="5" t="s">
        <v>200</v>
      </c>
      <c r="G73" s="80" t="s">
        <v>368</v>
      </c>
      <c r="H73" s="80" t="s">
        <v>200</v>
      </c>
      <c r="I73" s="80"/>
      <c r="J73" s="81" t="s">
        <v>369</v>
      </c>
      <c r="K73" s="81" t="s">
        <v>200</v>
      </c>
      <c r="L73" s="81"/>
      <c r="M73" s="81" t="s">
        <v>352</v>
      </c>
      <c r="N73" s="5" t="s">
        <v>200</v>
      </c>
      <c r="O73" s="8">
        <v>4</v>
      </c>
      <c r="P73" s="8"/>
      <c r="Q73" s="8"/>
      <c r="R73" s="25">
        <f t="shared" si="2"/>
        <v>4</v>
      </c>
      <c r="T73" s="40"/>
    </row>
    <row r="74" spans="1:20" x14ac:dyDescent="0.3">
      <c r="B74" s="2" t="s">
        <v>552</v>
      </c>
      <c r="C74" s="2" t="s">
        <v>135</v>
      </c>
      <c r="D74" s="115" t="s">
        <v>1104</v>
      </c>
      <c r="E74" s="80" t="s">
        <v>743</v>
      </c>
      <c r="F74" s="2" t="s">
        <v>200</v>
      </c>
      <c r="G74" s="54" t="s">
        <v>1069</v>
      </c>
      <c r="H74" s="54" t="s">
        <v>1096</v>
      </c>
      <c r="I74" s="2"/>
      <c r="J74" s="81" t="s">
        <v>291</v>
      </c>
      <c r="K74" s="81" t="s">
        <v>200</v>
      </c>
      <c r="L74" s="81"/>
      <c r="M74" s="81" t="s">
        <v>359</v>
      </c>
      <c r="N74" s="5" t="s">
        <v>200</v>
      </c>
      <c r="O74" s="8">
        <v>4</v>
      </c>
      <c r="R74" s="25">
        <f t="shared" si="2"/>
        <v>4</v>
      </c>
      <c r="T74" s="40"/>
    </row>
    <row r="75" spans="1:20" x14ac:dyDescent="0.3">
      <c r="B75" s="2" t="s">
        <v>552</v>
      </c>
      <c r="C75" s="2" t="s">
        <v>135</v>
      </c>
      <c r="D75" s="115" t="s">
        <v>1104</v>
      </c>
      <c r="E75" s="80" t="s">
        <v>371</v>
      </c>
      <c r="F75" s="2" t="s">
        <v>200</v>
      </c>
      <c r="G75" s="153" t="s">
        <v>1079</v>
      </c>
      <c r="H75" s="153" t="s">
        <v>200</v>
      </c>
      <c r="I75" s="2"/>
      <c r="J75" s="81" t="s">
        <v>362</v>
      </c>
      <c r="K75" s="81" t="s">
        <v>200</v>
      </c>
      <c r="L75" s="81"/>
      <c r="M75" s="81" t="s">
        <v>486</v>
      </c>
      <c r="N75" s="5" t="s">
        <v>200</v>
      </c>
      <c r="O75" s="8">
        <v>4</v>
      </c>
      <c r="R75" s="25">
        <f t="shared" si="2"/>
        <v>4</v>
      </c>
    </row>
    <row r="76" spans="1:20" x14ac:dyDescent="0.3">
      <c r="B76" s="2" t="s">
        <v>557</v>
      </c>
      <c r="C76" s="2" t="s">
        <v>137</v>
      </c>
      <c r="D76" s="115" t="s">
        <v>1104</v>
      </c>
      <c r="E76" s="80" t="s">
        <v>375</v>
      </c>
      <c r="F76" s="2" t="s">
        <v>200</v>
      </c>
      <c r="G76" s="80" t="s">
        <v>464</v>
      </c>
      <c r="H76" s="2" t="s">
        <v>200</v>
      </c>
      <c r="I76" s="2"/>
      <c r="J76" s="54" t="s">
        <v>1126</v>
      </c>
      <c r="K76" s="54" t="s">
        <v>240</v>
      </c>
      <c r="L76" s="5"/>
      <c r="M76" s="81" t="s">
        <v>439</v>
      </c>
      <c r="N76" s="5" t="s">
        <v>200</v>
      </c>
      <c r="O76" s="8">
        <v>4</v>
      </c>
      <c r="R76" s="25">
        <f t="shared" si="2"/>
        <v>4</v>
      </c>
    </row>
    <row r="77" spans="1:20" x14ac:dyDescent="0.3">
      <c r="B77" s="6"/>
      <c r="C77" s="6" t="s">
        <v>143</v>
      </c>
      <c r="D77" s="115"/>
      <c r="E77" s="18"/>
      <c r="F77" s="19"/>
      <c r="G77" s="19"/>
      <c r="H77" s="19"/>
      <c r="I77" s="19"/>
      <c r="J77" s="19"/>
      <c r="K77" s="24"/>
      <c r="L77" s="24"/>
      <c r="M77" s="24"/>
      <c r="N77" s="24"/>
      <c r="R77" s="25">
        <f t="shared" si="2"/>
        <v>0</v>
      </c>
    </row>
    <row r="78" spans="1:20" x14ac:dyDescent="0.3">
      <c r="B78" s="2" t="s">
        <v>552</v>
      </c>
      <c r="C78" s="2" t="s">
        <v>134</v>
      </c>
      <c r="D78" s="115" t="s">
        <v>1104</v>
      </c>
      <c r="E78" s="80" t="s">
        <v>350</v>
      </c>
      <c r="F78" s="80" t="s">
        <v>200</v>
      </c>
      <c r="G78" s="80" t="s">
        <v>351</v>
      </c>
      <c r="H78" s="81" t="s">
        <v>200</v>
      </c>
      <c r="I78" s="80"/>
      <c r="J78" s="81" t="s">
        <v>635</v>
      </c>
      <c r="K78" s="81" t="s">
        <v>200</v>
      </c>
      <c r="L78" s="81"/>
      <c r="M78" s="81" t="s">
        <v>510</v>
      </c>
      <c r="N78" s="5" t="s">
        <v>200</v>
      </c>
      <c r="O78" s="8">
        <v>4</v>
      </c>
      <c r="R78" s="25">
        <f t="shared" si="2"/>
        <v>4</v>
      </c>
      <c r="T78" s="40"/>
    </row>
    <row r="79" spans="1:20" s="3" customFormat="1" x14ac:dyDescent="0.3">
      <c r="A79" s="90"/>
      <c r="B79" s="2" t="s">
        <v>552</v>
      </c>
      <c r="C79" s="2" t="s">
        <v>135</v>
      </c>
      <c r="D79" s="115" t="s">
        <v>1104</v>
      </c>
      <c r="E79" s="80" t="s">
        <v>619</v>
      </c>
      <c r="F79" s="80" t="s">
        <v>200</v>
      </c>
      <c r="G79" s="80" t="s">
        <v>700</v>
      </c>
      <c r="H79" s="80" t="s">
        <v>200</v>
      </c>
      <c r="I79" s="80"/>
      <c r="J79" s="81" t="s">
        <v>354</v>
      </c>
      <c r="K79" s="81" t="s">
        <v>200</v>
      </c>
      <c r="L79" s="81"/>
      <c r="M79" s="81" t="s">
        <v>355</v>
      </c>
      <c r="N79" s="5" t="s">
        <v>200</v>
      </c>
      <c r="O79" s="8">
        <v>4</v>
      </c>
      <c r="P79" s="8"/>
      <c r="Q79" s="8"/>
      <c r="R79" s="25">
        <f t="shared" si="2"/>
        <v>4</v>
      </c>
      <c r="T79" s="40"/>
    </row>
    <row r="80" spans="1:20" x14ac:dyDescent="0.3">
      <c r="B80" s="2" t="s">
        <v>552</v>
      </c>
      <c r="C80" s="2" t="s">
        <v>136</v>
      </c>
      <c r="D80" s="115" t="s">
        <v>1104</v>
      </c>
      <c r="E80" s="80" t="s">
        <v>744</v>
      </c>
      <c r="F80" s="80" t="s">
        <v>200</v>
      </c>
      <c r="G80" s="80" t="s">
        <v>583</v>
      </c>
      <c r="H80" s="80" t="s">
        <v>200</v>
      </c>
      <c r="I80" s="80"/>
      <c r="J80" s="81" t="s">
        <v>358</v>
      </c>
      <c r="K80" s="81" t="s">
        <v>200</v>
      </c>
      <c r="L80" s="81"/>
      <c r="M80" s="81" t="s">
        <v>476</v>
      </c>
      <c r="N80" s="5" t="s">
        <v>200</v>
      </c>
      <c r="O80" s="8">
        <v>4</v>
      </c>
      <c r="R80" s="25">
        <f t="shared" si="2"/>
        <v>4</v>
      </c>
      <c r="T80" s="40"/>
    </row>
    <row r="81" spans="1:21" x14ac:dyDescent="0.3">
      <c r="B81" s="2" t="s">
        <v>557</v>
      </c>
      <c r="C81" s="2" t="s">
        <v>137</v>
      </c>
      <c r="D81" s="115" t="s">
        <v>1104</v>
      </c>
      <c r="E81" s="80" t="s">
        <v>364</v>
      </c>
      <c r="F81" s="80" t="s">
        <v>200</v>
      </c>
      <c r="G81" s="80" t="s">
        <v>307</v>
      </c>
      <c r="H81" s="153" t="s">
        <v>200</v>
      </c>
      <c r="I81" s="80" t="s">
        <v>201</v>
      </c>
      <c r="J81" s="97" t="s">
        <v>1142</v>
      </c>
      <c r="K81" s="81" t="s">
        <v>240</v>
      </c>
      <c r="L81" s="81" t="s">
        <v>201</v>
      </c>
      <c r="M81" s="81" t="s">
        <v>698</v>
      </c>
      <c r="N81" s="5" t="s">
        <v>200</v>
      </c>
      <c r="O81" s="8">
        <v>4</v>
      </c>
      <c r="R81" s="25">
        <f t="shared" si="2"/>
        <v>4</v>
      </c>
      <c r="T81" s="40"/>
    </row>
    <row r="82" spans="1:21" x14ac:dyDescent="0.3">
      <c r="B82" s="6"/>
      <c r="C82" s="6" t="s">
        <v>144</v>
      </c>
      <c r="D82" s="115"/>
      <c r="E82" s="18"/>
      <c r="F82" s="19"/>
      <c r="G82" s="19"/>
      <c r="H82" s="19"/>
      <c r="I82" s="19"/>
      <c r="J82" s="19"/>
      <c r="K82" s="24"/>
      <c r="L82" s="24"/>
      <c r="M82" s="24"/>
      <c r="N82" s="24"/>
      <c r="R82" s="25">
        <f t="shared" si="2"/>
        <v>0</v>
      </c>
      <c r="T82" s="40"/>
    </row>
    <row r="83" spans="1:21" x14ac:dyDescent="0.3">
      <c r="B83" s="2" t="s">
        <v>552</v>
      </c>
      <c r="C83" s="2" t="s">
        <v>134</v>
      </c>
      <c r="D83" s="115" t="s">
        <v>1104</v>
      </c>
      <c r="E83" s="81" t="s">
        <v>1072</v>
      </c>
      <c r="F83" s="81" t="s">
        <v>200</v>
      </c>
      <c r="G83" s="80" t="s">
        <v>591</v>
      </c>
      <c r="H83" s="80" t="s">
        <v>200</v>
      </c>
      <c r="I83" s="80"/>
      <c r="J83" s="81" t="s">
        <v>338</v>
      </c>
      <c r="K83" s="5" t="s">
        <v>200</v>
      </c>
      <c r="L83" s="5"/>
      <c r="M83" s="81" t="s">
        <v>339</v>
      </c>
      <c r="N83" s="5" t="s">
        <v>200</v>
      </c>
      <c r="O83" s="8">
        <v>4</v>
      </c>
      <c r="R83" s="25">
        <f t="shared" si="2"/>
        <v>4</v>
      </c>
    </row>
    <row r="84" spans="1:21" x14ac:dyDescent="0.3">
      <c r="B84" s="2" t="s">
        <v>552</v>
      </c>
      <c r="C84" s="2" t="s">
        <v>135</v>
      </c>
      <c r="D84" s="115" t="s">
        <v>1104</v>
      </c>
      <c r="E84" s="80" t="s">
        <v>592</v>
      </c>
      <c r="F84" s="80" t="s">
        <v>200</v>
      </c>
      <c r="G84" s="80" t="s">
        <v>340</v>
      </c>
      <c r="H84" s="80" t="s">
        <v>200</v>
      </c>
      <c r="I84" s="80"/>
      <c r="J84" s="81" t="s">
        <v>507</v>
      </c>
      <c r="K84" s="81" t="s">
        <v>200</v>
      </c>
      <c r="L84" s="5"/>
      <c r="M84" s="81" t="s">
        <v>385</v>
      </c>
      <c r="N84" s="5" t="s">
        <v>200</v>
      </c>
      <c r="O84" s="8">
        <v>4</v>
      </c>
      <c r="R84" s="25">
        <f t="shared" si="2"/>
        <v>4</v>
      </c>
    </row>
    <row r="85" spans="1:21" s="3" customFormat="1" x14ac:dyDescent="0.3">
      <c r="A85" s="90"/>
      <c r="B85" s="2" t="s">
        <v>552</v>
      </c>
      <c r="C85" s="2" t="s">
        <v>136</v>
      </c>
      <c r="D85" s="115" t="s">
        <v>1104</v>
      </c>
      <c r="E85" s="54" t="s">
        <v>1069</v>
      </c>
      <c r="F85" s="54" t="s">
        <v>1096</v>
      </c>
      <c r="G85" s="80" t="s">
        <v>398</v>
      </c>
      <c r="H85" s="80" t="s">
        <v>200</v>
      </c>
      <c r="I85" s="80"/>
      <c r="J85" s="81" t="s">
        <v>343</v>
      </c>
      <c r="K85" s="5" t="s">
        <v>200</v>
      </c>
      <c r="L85" s="5"/>
      <c r="M85" s="81" t="s">
        <v>549</v>
      </c>
      <c r="N85" s="81" t="s">
        <v>200</v>
      </c>
      <c r="O85" s="8">
        <v>4</v>
      </c>
      <c r="P85" s="8"/>
      <c r="Q85" s="8"/>
      <c r="R85" s="25">
        <f t="shared" si="2"/>
        <v>4</v>
      </c>
      <c r="T85"/>
      <c r="U85"/>
    </row>
    <row r="86" spans="1:21" x14ac:dyDescent="0.3">
      <c r="B86" s="2" t="s">
        <v>557</v>
      </c>
      <c r="C86" s="2" t="s">
        <v>137</v>
      </c>
      <c r="D86" s="115" t="s">
        <v>1104</v>
      </c>
      <c r="E86" s="80" t="s">
        <v>347</v>
      </c>
      <c r="F86" s="80" t="s">
        <v>200</v>
      </c>
      <c r="G86" s="80" t="s">
        <v>348</v>
      </c>
      <c r="H86" s="80" t="s">
        <v>200</v>
      </c>
      <c r="I86" s="80" t="s">
        <v>201</v>
      </c>
      <c r="J86" s="81" t="s">
        <v>349</v>
      </c>
      <c r="K86" s="5" t="s">
        <v>200</v>
      </c>
      <c r="L86" s="5"/>
      <c r="M86" s="43" t="s">
        <v>722</v>
      </c>
      <c r="N86" s="43" t="s">
        <v>240</v>
      </c>
      <c r="O86" s="8">
        <v>4</v>
      </c>
      <c r="R86" s="25">
        <f t="shared" si="2"/>
        <v>4</v>
      </c>
    </row>
    <row r="87" spans="1:21" x14ac:dyDescent="0.3">
      <c r="A87" s="89">
        <v>1</v>
      </c>
      <c r="B87" s="6"/>
      <c r="C87" s="6" t="s">
        <v>145</v>
      </c>
      <c r="D87" s="115"/>
      <c r="E87" s="24"/>
      <c r="F87" s="24"/>
      <c r="G87" s="24"/>
      <c r="H87" s="19"/>
      <c r="I87" s="19"/>
      <c r="J87" s="19"/>
      <c r="K87" s="24"/>
      <c r="L87" s="24"/>
      <c r="M87" s="24"/>
      <c r="N87" s="24"/>
      <c r="Q87" s="8">
        <f t="shared" ref="Q87:Q95" si="3">+COUNTIF(E87:N87,"A")+COUNTIF(E87:N87,"C")</f>
        <v>0</v>
      </c>
      <c r="R87" s="25">
        <f t="shared" si="2"/>
        <v>0</v>
      </c>
    </row>
    <row r="88" spans="1:21" x14ac:dyDescent="0.3">
      <c r="A88" s="89">
        <v>1</v>
      </c>
      <c r="B88" s="2" t="s">
        <v>552</v>
      </c>
      <c r="C88" s="2" t="s">
        <v>134</v>
      </c>
      <c r="D88" s="115" t="s">
        <v>1104</v>
      </c>
      <c r="E88" s="81" t="s">
        <v>463</v>
      </c>
      <c r="F88" s="81" t="s">
        <v>200</v>
      </c>
      <c r="G88" s="154" t="s">
        <v>1073</v>
      </c>
      <c r="H88" s="81" t="s">
        <v>200</v>
      </c>
      <c r="I88" s="80"/>
      <c r="J88" s="43" t="s">
        <v>1069</v>
      </c>
      <c r="K88" s="81" t="s">
        <v>234</v>
      </c>
      <c r="L88" s="81"/>
      <c r="M88" s="81" t="s">
        <v>473</v>
      </c>
      <c r="N88" s="81" t="s">
        <v>200</v>
      </c>
      <c r="P88" s="8">
        <v>4</v>
      </c>
      <c r="Q88" s="8">
        <f t="shared" si="3"/>
        <v>3</v>
      </c>
      <c r="R88" s="25">
        <f t="shared" si="2"/>
        <v>4</v>
      </c>
    </row>
    <row r="89" spans="1:21" x14ac:dyDescent="0.3">
      <c r="A89" s="89">
        <v>1</v>
      </c>
      <c r="B89" s="2" t="s">
        <v>552</v>
      </c>
      <c r="C89" s="2" t="s">
        <v>135</v>
      </c>
      <c r="D89" s="115" t="s">
        <v>1104</v>
      </c>
      <c r="E89" s="81" t="s">
        <v>1145</v>
      </c>
      <c r="F89" s="81" t="s">
        <v>200</v>
      </c>
      <c r="G89" s="81" t="s">
        <v>582</v>
      </c>
      <c r="H89" s="80" t="s">
        <v>200</v>
      </c>
      <c r="I89" s="80"/>
      <c r="J89" s="81" t="s">
        <v>723</v>
      </c>
      <c r="K89" s="81" t="s">
        <v>200</v>
      </c>
      <c r="L89" s="81"/>
      <c r="M89" s="81" t="s">
        <v>546</v>
      </c>
      <c r="N89" s="80" t="s">
        <v>200</v>
      </c>
      <c r="P89" s="8">
        <v>4</v>
      </c>
      <c r="Q89" s="8">
        <f t="shared" si="3"/>
        <v>4</v>
      </c>
      <c r="R89" s="25">
        <f t="shared" si="2"/>
        <v>4</v>
      </c>
      <c r="T89" s="40"/>
    </row>
    <row r="90" spans="1:21" x14ac:dyDescent="0.3">
      <c r="A90" s="89">
        <v>1</v>
      </c>
      <c r="B90" s="2" t="s">
        <v>552</v>
      </c>
      <c r="C90" s="2" t="s">
        <v>135</v>
      </c>
      <c r="D90" s="115" t="s">
        <v>1104</v>
      </c>
      <c r="E90" s="81" t="s">
        <v>356</v>
      </c>
      <c r="F90" s="81" t="s">
        <v>200</v>
      </c>
      <c r="G90" s="81" t="s">
        <v>1148</v>
      </c>
      <c r="H90" s="80" t="s">
        <v>200</v>
      </c>
      <c r="I90" s="80"/>
      <c r="J90" s="81" t="s">
        <v>1077</v>
      </c>
      <c r="K90" s="81" t="s">
        <v>200</v>
      </c>
      <c r="L90" s="81"/>
      <c r="M90" s="81" t="s">
        <v>733</v>
      </c>
      <c r="N90" s="80" t="s">
        <v>200</v>
      </c>
      <c r="P90" s="8">
        <v>4</v>
      </c>
      <c r="Q90" s="8">
        <f t="shared" si="3"/>
        <v>4</v>
      </c>
      <c r="R90" s="25">
        <f t="shared" si="2"/>
        <v>4</v>
      </c>
      <c r="T90" s="40"/>
    </row>
    <row r="91" spans="1:21" s="3" customFormat="1" x14ac:dyDescent="0.3">
      <c r="A91" s="90">
        <v>1</v>
      </c>
      <c r="B91" s="2" t="s">
        <v>552</v>
      </c>
      <c r="C91" s="2" t="s">
        <v>146</v>
      </c>
      <c r="D91" s="115" t="s">
        <v>1104</v>
      </c>
      <c r="E91" s="81" t="s">
        <v>386</v>
      </c>
      <c r="F91" s="81" t="s">
        <v>200</v>
      </c>
      <c r="G91" s="81" t="s">
        <v>387</v>
      </c>
      <c r="H91" s="80" t="s">
        <v>200</v>
      </c>
      <c r="I91" s="80"/>
      <c r="J91" s="81" t="s">
        <v>1093</v>
      </c>
      <c r="K91" s="81" t="s">
        <v>200</v>
      </c>
      <c r="L91" s="81"/>
      <c r="M91" s="81" t="s">
        <v>292</v>
      </c>
      <c r="N91" s="81" t="s">
        <v>200</v>
      </c>
      <c r="O91" s="8"/>
      <c r="P91" s="8">
        <v>4</v>
      </c>
      <c r="Q91" s="8">
        <f t="shared" si="3"/>
        <v>4</v>
      </c>
      <c r="R91" s="25">
        <f t="shared" si="2"/>
        <v>4</v>
      </c>
      <c r="T91" s="40"/>
    </row>
    <row r="92" spans="1:21" x14ac:dyDescent="0.3">
      <c r="A92" s="89">
        <v>1</v>
      </c>
      <c r="B92" s="2" t="s">
        <v>557</v>
      </c>
      <c r="C92" s="2" t="s">
        <v>137</v>
      </c>
      <c r="D92" s="115" t="s">
        <v>1104</v>
      </c>
      <c r="E92" s="81" t="s">
        <v>542</v>
      </c>
      <c r="F92" s="81" t="s">
        <v>200</v>
      </c>
      <c r="G92" s="81" t="s">
        <v>469</v>
      </c>
      <c r="H92" s="80" t="s">
        <v>200</v>
      </c>
      <c r="I92" s="80"/>
      <c r="J92" s="81" t="s">
        <v>274</v>
      </c>
      <c r="K92" s="81" t="s">
        <v>200</v>
      </c>
      <c r="L92" s="81"/>
      <c r="M92" s="81" t="s">
        <v>665</v>
      </c>
      <c r="N92" s="81" t="s">
        <v>200</v>
      </c>
      <c r="P92" s="8">
        <v>4</v>
      </c>
      <c r="Q92" s="8">
        <f t="shared" si="3"/>
        <v>4</v>
      </c>
      <c r="R92" s="25">
        <f t="shared" si="2"/>
        <v>4</v>
      </c>
    </row>
    <row r="93" spans="1:21" x14ac:dyDescent="0.3">
      <c r="A93" s="89">
        <v>1</v>
      </c>
      <c r="B93" s="6"/>
      <c r="C93" s="6" t="s">
        <v>147</v>
      </c>
      <c r="D93" s="115"/>
      <c r="E93" s="18"/>
      <c r="F93" s="19"/>
      <c r="G93" s="19"/>
      <c r="H93" s="19"/>
      <c r="I93" s="19"/>
      <c r="J93" s="19"/>
      <c r="K93" s="24"/>
      <c r="L93" s="24"/>
      <c r="M93" s="24"/>
      <c r="N93" s="24"/>
      <c r="Q93" s="8">
        <f t="shared" si="3"/>
        <v>0</v>
      </c>
      <c r="R93" s="25">
        <f t="shared" si="2"/>
        <v>0</v>
      </c>
      <c r="T93" s="40"/>
    </row>
    <row r="94" spans="1:21" x14ac:dyDescent="0.3">
      <c r="A94" s="89">
        <v>1</v>
      </c>
      <c r="B94" s="2" t="s">
        <v>552</v>
      </c>
      <c r="C94" s="2" t="s">
        <v>134</v>
      </c>
      <c r="D94" s="115" t="s">
        <v>1104</v>
      </c>
      <c r="E94" s="80" t="s">
        <v>496</v>
      </c>
      <c r="F94" s="80" t="s">
        <v>200</v>
      </c>
      <c r="G94" s="80" t="s">
        <v>501</v>
      </c>
      <c r="H94" s="80" t="s">
        <v>200</v>
      </c>
      <c r="I94" s="80"/>
      <c r="J94" s="81" t="s">
        <v>472</v>
      </c>
      <c r="K94" s="81" t="s">
        <v>200</v>
      </c>
      <c r="L94" s="81"/>
      <c r="M94" s="81" t="s">
        <v>474</v>
      </c>
      <c r="N94" s="80" t="s">
        <v>200</v>
      </c>
      <c r="P94" s="8">
        <v>4</v>
      </c>
      <c r="Q94" s="8">
        <f t="shared" si="3"/>
        <v>4</v>
      </c>
      <c r="R94" s="25">
        <f t="shared" si="2"/>
        <v>4</v>
      </c>
      <c r="T94" s="40"/>
    </row>
    <row r="95" spans="1:21" x14ac:dyDescent="0.3">
      <c r="A95" s="89">
        <v>1</v>
      </c>
      <c r="B95" s="2" t="s">
        <v>552</v>
      </c>
      <c r="C95" s="2" t="s">
        <v>135</v>
      </c>
      <c r="D95" s="115" t="s">
        <v>1104</v>
      </c>
      <c r="E95" s="80" t="s">
        <v>497</v>
      </c>
      <c r="F95" s="80" t="s">
        <v>200</v>
      </c>
      <c r="G95" s="80" t="s">
        <v>650</v>
      </c>
      <c r="H95" s="81" t="s">
        <v>200</v>
      </c>
      <c r="I95" s="80"/>
      <c r="J95" s="81" t="s">
        <v>403</v>
      </c>
      <c r="K95" s="80" t="s">
        <v>200</v>
      </c>
      <c r="L95" s="81"/>
      <c r="M95" s="81" t="s">
        <v>512</v>
      </c>
      <c r="N95" s="80" t="s">
        <v>200</v>
      </c>
      <c r="P95" s="8">
        <v>4</v>
      </c>
      <c r="Q95" s="8">
        <f t="shared" si="3"/>
        <v>4</v>
      </c>
      <c r="R95" s="25">
        <f t="shared" si="2"/>
        <v>4</v>
      </c>
      <c r="T95" s="40"/>
    </row>
    <row r="96" spans="1:21" x14ac:dyDescent="0.3">
      <c r="A96" s="89">
        <v>1</v>
      </c>
      <c r="B96" s="2" t="s">
        <v>552</v>
      </c>
      <c r="C96" s="2" t="s">
        <v>135</v>
      </c>
      <c r="D96" s="115" t="s">
        <v>1104</v>
      </c>
      <c r="E96" s="99"/>
      <c r="F96" t="s">
        <v>1096</v>
      </c>
      <c r="G96" s="80" t="s">
        <v>502</v>
      </c>
      <c r="H96" s="80" t="s">
        <v>200</v>
      </c>
      <c r="I96" s="80"/>
      <c r="J96" s="81" t="s">
        <v>399</v>
      </c>
      <c r="K96" s="81" t="s">
        <v>200</v>
      </c>
      <c r="L96" s="81"/>
      <c r="M96" s="81" t="s">
        <v>321</v>
      </c>
      <c r="N96" s="80" t="s">
        <v>200</v>
      </c>
      <c r="P96" s="8">
        <v>4</v>
      </c>
      <c r="Q96" s="8">
        <f>+COUNTIF(G96:N96,"A")+COUNTIF(G96:N96,"C")</f>
        <v>3</v>
      </c>
      <c r="R96" s="25">
        <f t="shared" si="2"/>
        <v>4</v>
      </c>
      <c r="T96" s="40"/>
    </row>
    <row r="97" spans="1:24" s="3" customFormat="1" x14ac:dyDescent="0.3">
      <c r="A97" s="90">
        <v>1</v>
      </c>
      <c r="B97" s="2" t="s">
        <v>552</v>
      </c>
      <c r="C97" s="2" t="s">
        <v>146</v>
      </c>
      <c r="D97" s="115" t="s">
        <v>1104</v>
      </c>
      <c r="E97" s="80" t="s">
        <v>631</v>
      </c>
      <c r="F97" s="80" t="s">
        <v>200</v>
      </c>
      <c r="G97" s="99" t="s">
        <v>1169</v>
      </c>
      <c r="H97" s="54" t="s">
        <v>240</v>
      </c>
      <c r="I97" s="80"/>
      <c r="J97" s="54" t="s">
        <v>1168</v>
      </c>
      <c r="K97" s="54" t="s">
        <v>240</v>
      </c>
      <c r="L97" s="81"/>
      <c r="M97" s="81" t="s">
        <v>584</v>
      </c>
      <c r="N97" s="80" t="s">
        <v>200</v>
      </c>
      <c r="O97" s="8"/>
      <c r="P97" s="8">
        <v>4</v>
      </c>
      <c r="Q97" s="8">
        <f t="shared" ref="Q97:Q116" si="4">+COUNTIF(E97:N97,"A")+COUNTIF(E97:N97,"C")</f>
        <v>2</v>
      </c>
      <c r="R97" s="25">
        <f t="shared" si="2"/>
        <v>4</v>
      </c>
      <c r="T97" s="40"/>
    </row>
    <row r="98" spans="1:24" x14ac:dyDescent="0.3">
      <c r="A98" s="89">
        <v>1</v>
      </c>
      <c r="B98" s="2" t="s">
        <v>557</v>
      </c>
      <c r="C98" s="2" t="s">
        <v>137</v>
      </c>
      <c r="D98" s="115" t="s">
        <v>1104</v>
      </c>
      <c r="E98" s="80" t="s">
        <v>516</v>
      </c>
      <c r="F98" s="80" t="s">
        <v>200</v>
      </c>
      <c r="G98" s="54" t="s">
        <v>1087</v>
      </c>
      <c r="H98" s="54" t="s">
        <v>240</v>
      </c>
      <c r="I98" s="80"/>
      <c r="J98" s="96" t="s">
        <v>1139</v>
      </c>
      <c r="K98" s="43" t="s">
        <v>240</v>
      </c>
      <c r="L98" s="81"/>
      <c r="M98" s="80" t="s">
        <v>773</v>
      </c>
      <c r="N98" s="81" t="s">
        <v>200</v>
      </c>
      <c r="P98" s="8">
        <v>4</v>
      </c>
      <c r="Q98" s="8">
        <f t="shared" si="4"/>
        <v>2</v>
      </c>
      <c r="R98" s="25">
        <f t="shared" si="2"/>
        <v>4</v>
      </c>
      <c r="T98" s="40"/>
    </row>
    <row r="99" spans="1:24" x14ac:dyDescent="0.3">
      <c r="A99" s="89">
        <v>1</v>
      </c>
      <c r="B99" s="6"/>
      <c r="C99" s="6" t="s">
        <v>148</v>
      </c>
      <c r="D99" s="115"/>
      <c r="E99" s="18"/>
      <c r="F99" s="19"/>
      <c r="G99" s="19"/>
      <c r="H99" s="19"/>
      <c r="I99" s="19"/>
      <c r="J99" s="19"/>
      <c r="K99" s="24"/>
      <c r="L99" s="24"/>
      <c r="M99" s="24"/>
      <c r="N99" s="24"/>
      <c r="Q99" s="8">
        <f t="shared" si="4"/>
        <v>0</v>
      </c>
      <c r="R99" s="25">
        <f t="shared" si="2"/>
        <v>0</v>
      </c>
    </row>
    <row r="100" spans="1:24" x14ac:dyDescent="0.3">
      <c r="A100" s="89">
        <v>1</v>
      </c>
      <c r="B100" s="2" t="s">
        <v>552</v>
      </c>
      <c r="C100" s="2" t="s">
        <v>134</v>
      </c>
      <c r="D100" s="115" t="s">
        <v>1104</v>
      </c>
      <c r="E100" s="80" t="s">
        <v>278</v>
      </c>
      <c r="F100" s="80" t="s">
        <v>200</v>
      </c>
      <c r="G100" s="80" t="s">
        <v>357</v>
      </c>
      <c r="H100" s="80" t="s">
        <v>200</v>
      </c>
      <c r="I100" s="80"/>
      <c r="J100" s="81" t="s">
        <v>480</v>
      </c>
      <c r="K100" s="80" t="s">
        <v>200</v>
      </c>
      <c r="L100" s="81"/>
      <c r="M100" s="81" t="s">
        <v>247</v>
      </c>
      <c r="N100" s="80" t="s">
        <v>200</v>
      </c>
      <c r="P100" s="8">
        <v>4</v>
      </c>
      <c r="Q100" s="8">
        <f t="shared" si="4"/>
        <v>4</v>
      </c>
      <c r="R100" s="25">
        <f t="shared" si="2"/>
        <v>4</v>
      </c>
      <c r="T100" s="40"/>
    </row>
    <row r="101" spans="1:24" x14ac:dyDescent="0.3">
      <c r="A101" s="89">
        <v>1</v>
      </c>
      <c r="B101" s="2" t="s">
        <v>552</v>
      </c>
      <c r="C101" s="2" t="s">
        <v>135</v>
      </c>
      <c r="D101" s="115" t="s">
        <v>1104</v>
      </c>
      <c r="E101" s="80" t="s">
        <v>1057</v>
      </c>
      <c r="F101" s="81" t="s">
        <v>200</v>
      </c>
      <c r="G101" s="80" t="s">
        <v>503</v>
      </c>
      <c r="H101" s="80" t="s">
        <v>200</v>
      </c>
      <c r="I101" s="80"/>
      <c r="J101" s="81" t="s">
        <v>345</v>
      </c>
      <c r="K101" s="80" t="s">
        <v>200</v>
      </c>
      <c r="L101" s="81"/>
      <c r="M101" s="81" t="s">
        <v>406</v>
      </c>
      <c r="N101" s="80" t="s">
        <v>200</v>
      </c>
      <c r="P101" s="8">
        <v>4</v>
      </c>
      <c r="Q101" s="8">
        <f t="shared" si="4"/>
        <v>4</v>
      </c>
      <c r="R101" s="25">
        <f t="shared" si="2"/>
        <v>4</v>
      </c>
      <c r="T101" s="40"/>
    </row>
    <row r="102" spans="1:24" x14ac:dyDescent="0.3">
      <c r="A102" s="89">
        <v>1</v>
      </c>
      <c r="B102" s="2" t="s">
        <v>552</v>
      </c>
      <c r="C102" s="2" t="s">
        <v>135</v>
      </c>
      <c r="D102" s="115" t="s">
        <v>1104</v>
      </c>
      <c r="E102" s="80" t="s">
        <v>790</v>
      </c>
      <c r="F102" s="80" t="s">
        <v>200</v>
      </c>
      <c r="G102" s="80" t="s">
        <v>599</v>
      </c>
      <c r="H102" s="80" t="s">
        <v>200</v>
      </c>
      <c r="I102" s="80"/>
      <c r="J102" s="81" t="s">
        <v>405</v>
      </c>
      <c r="K102" s="80" t="s">
        <v>200</v>
      </c>
      <c r="L102" s="81"/>
      <c r="M102" s="81" t="s">
        <v>434</v>
      </c>
      <c r="N102" s="80" t="s">
        <v>240</v>
      </c>
      <c r="P102" s="8">
        <v>4</v>
      </c>
      <c r="Q102" s="8">
        <f t="shared" si="4"/>
        <v>3</v>
      </c>
      <c r="R102" s="25">
        <f t="shared" si="2"/>
        <v>4</v>
      </c>
      <c r="T102" s="40"/>
    </row>
    <row r="103" spans="1:24" s="3" customFormat="1" x14ac:dyDescent="0.3">
      <c r="A103" s="90">
        <v>1</v>
      </c>
      <c r="B103" s="2" t="s">
        <v>552</v>
      </c>
      <c r="C103" s="2" t="s">
        <v>146</v>
      </c>
      <c r="D103" s="115" t="s">
        <v>1104</v>
      </c>
      <c r="E103" s="80" t="s">
        <v>448</v>
      </c>
      <c r="F103" s="80" t="s">
        <v>200</v>
      </c>
      <c r="G103" s="80" t="s">
        <v>447</v>
      </c>
      <c r="H103" s="80" t="s">
        <v>200</v>
      </c>
      <c r="I103" s="80"/>
      <c r="J103" s="81" t="s">
        <v>724</v>
      </c>
      <c r="K103" s="81" t="s">
        <v>200</v>
      </c>
      <c r="L103" s="81"/>
      <c r="M103" s="54" t="s">
        <v>1143</v>
      </c>
      <c r="N103" s="54" t="s">
        <v>240</v>
      </c>
      <c r="O103" s="8"/>
      <c r="P103" s="8">
        <v>4</v>
      </c>
      <c r="Q103" s="8">
        <f t="shared" si="4"/>
        <v>3</v>
      </c>
      <c r="R103" s="25">
        <f t="shared" si="2"/>
        <v>4</v>
      </c>
      <c r="T103" s="40"/>
      <c r="U103"/>
      <c r="V103"/>
      <c r="W103"/>
      <c r="X103"/>
    </row>
    <row r="104" spans="1:24" x14ac:dyDescent="0.3">
      <c r="A104" s="89">
        <v>1</v>
      </c>
      <c r="B104" s="2" t="s">
        <v>557</v>
      </c>
      <c r="C104" s="2" t="s">
        <v>137</v>
      </c>
      <c r="D104" s="115" t="s">
        <v>1104</v>
      </c>
      <c r="E104" s="80" t="s">
        <v>596</v>
      </c>
      <c r="F104" s="80" t="s">
        <v>200</v>
      </c>
      <c r="G104" s="80" t="s">
        <v>775</v>
      </c>
      <c r="H104" s="80" t="s">
        <v>200</v>
      </c>
      <c r="I104" s="80"/>
      <c r="J104" s="81" t="s">
        <v>652</v>
      </c>
      <c r="K104" s="81" t="s">
        <v>200</v>
      </c>
      <c r="L104" s="81" t="s">
        <v>201</v>
      </c>
      <c r="M104" s="81" t="s">
        <v>716</v>
      </c>
      <c r="N104" s="80" t="s">
        <v>200</v>
      </c>
      <c r="P104" s="8">
        <v>4</v>
      </c>
      <c r="Q104" s="8">
        <f t="shared" si="4"/>
        <v>4</v>
      </c>
      <c r="R104" s="25">
        <f t="shared" ref="R104:R116" si="5">SUM(O104:P104)</f>
        <v>4</v>
      </c>
      <c r="T104" s="40"/>
    </row>
    <row r="105" spans="1:24" x14ac:dyDescent="0.3">
      <c r="A105" s="89">
        <v>1</v>
      </c>
      <c r="B105" s="6"/>
      <c r="C105" s="6" t="s">
        <v>149</v>
      </c>
      <c r="D105" s="115"/>
      <c r="E105" s="18"/>
      <c r="F105" s="19"/>
      <c r="G105" s="19"/>
      <c r="H105" s="19"/>
      <c r="I105" s="19"/>
      <c r="J105" s="19"/>
      <c r="K105" s="24"/>
      <c r="L105" s="24"/>
      <c r="M105" s="24"/>
      <c r="N105" s="24"/>
      <c r="Q105" s="8">
        <f t="shared" si="4"/>
        <v>0</v>
      </c>
      <c r="R105" s="25">
        <f t="shared" si="5"/>
        <v>0</v>
      </c>
      <c r="T105" s="40"/>
    </row>
    <row r="106" spans="1:24" x14ac:dyDescent="0.3">
      <c r="A106" s="89">
        <v>1</v>
      </c>
      <c r="B106" s="2" t="s">
        <v>552</v>
      </c>
      <c r="C106" s="2" t="s">
        <v>134</v>
      </c>
      <c r="D106" s="115" t="s">
        <v>1104</v>
      </c>
      <c r="E106" s="80" t="s">
        <v>218</v>
      </c>
      <c r="F106" s="80" t="s">
        <v>200</v>
      </c>
      <c r="G106" s="80" t="s">
        <v>517</v>
      </c>
      <c r="H106" s="80" t="s">
        <v>200</v>
      </c>
      <c r="I106" s="80"/>
      <c r="J106" s="81" t="s">
        <v>664</v>
      </c>
      <c r="K106" s="81" t="s">
        <v>200</v>
      </c>
      <c r="L106" s="81"/>
      <c r="M106" s="81" t="s">
        <v>663</v>
      </c>
      <c r="N106" s="80" t="s">
        <v>200</v>
      </c>
      <c r="P106" s="8">
        <v>4</v>
      </c>
      <c r="Q106" s="8">
        <f t="shared" si="4"/>
        <v>4</v>
      </c>
      <c r="R106" s="25">
        <f t="shared" si="5"/>
        <v>4</v>
      </c>
      <c r="T106" s="40"/>
    </row>
    <row r="107" spans="1:24" x14ac:dyDescent="0.3">
      <c r="A107" s="89">
        <v>1</v>
      </c>
      <c r="B107" s="2" t="s">
        <v>552</v>
      </c>
      <c r="C107" s="2" t="s">
        <v>135</v>
      </c>
      <c r="D107" s="115" t="s">
        <v>1104</v>
      </c>
      <c r="E107" s="80" t="s">
        <v>603</v>
      </c>
      <c r="F107" s="80" t="s">
        <v>200</v>
      </c>
      <c r="G107" s="80" t="s">
        <v>1074</v>
      </c>
      <c r="H107" s="80" t="s">
        <v>200</v>
      </c>
      <c r="I107" s="80"/>
      <c r="J107" s="80" t="s">
        <v>604</v>
      </c>
      <c r="K107" s="80" t="s">
        <v>200</v>
      </c>
      <c r="L107" s="81"/>
      <c r="M107" s="80" t="s">
        <v>478</v>
      </c>
      <c r="N107" s="80" t="s">
        <v>200</v>
      </c>
      <c r="P107" s="8">
        <v>4</v>
      </c>
      <c r="Q107" s="8">
        <f t="shared" si="4"/>
        <v>4</v>
      </c>
      <c r="R107" s="25">
        <f t="shared" si="5"/>
        <v>4</v>
      </c>
      <c r="T107" s="40"/>
    </row>
    <row r="108" spans="1:24" ht="14.25" customHeight="1" x14ac:dyDescent="0.3">
      <c r="A108" s="89">
        <v>1</v>
      </c>
      <c r="B108" s="2" t="s">
        <v>552</v>
      </c>
      <c r="C108" s="2" t="s">
        <v>135</v>
      </c>
      <c r="D108" s="115" t="s">
        <v>1104</v>
      </c>
      <c r="E108" s="81" t="s">
        <v>1146</v>
      </c>
      <c r="F108" s="80" t="s">
        <v>200</v>
      </c>
      <c r="G108" s="80" t="s">
        <v>361</v>
      </c>
      <c r="H108" s="80" t="s">
        <v>200</v>
      </c>
      <c r="I108" s="80"/>
      <c r="J108" s="81" t="s">
        <v>607</v>
      </c>
      <c r="K108" s="80" t="s">
        <v>200</v>
      </c>
      <c r="L108" s="81"/>
      <c r="M108" s="97" t="s">
        <v>372</v>
      </c>
      <c r="N108" s="80" t="s">
        <v>200</v>
      </c>
      <c r="P108" s="8">
        <v>4</v>
      </c>
      <c r="Q108" s="8">
        <f t="shared" si="4"/>
        <v>4</v>
      </c>
      <c r="R108" s="25">
        <f>SUM(O108:P108)</f>
        <v>4</v>
      </c>
      <c r="T108" s="40"/>
    </row>
    <row r="109" spans="1:24" s="3" customFormat="1" x14ac:dyDescent="0.3">
      <c r="A109" s="90">
        <v>1</v>
      </c>
      <c r="B109" s="2" t="s">
        <v>552</v>
      </c>
      <c r="C109" s="2" t="s">
        <v>146</v>
      </c>
      <c r="D109" s="115" t="s">
        <v>1104</v>
      </c>
      <c r="E109" s="81" t="s">
        <v>642</v>
      </c>
      <c r="F109" s="80" t="s">
        <v>200</v>
      </c>
      <c r="G109" s="217"/>
      <c r="H109" s="80" t="s">
        <v>1173</v>
      </c>
      <c r="I109" s="80"/>
      <c r="J109" s="81" t="s">
        <v>446</v>
      </c>
      <c r="K109" s="81" t="s">
        <v>200</v>
      </c>
      <c r="L109" s="81"/>
      <c r="M109" s="80" t="s">
        <v>726</v>
      </c>
      <c r="N109" s="80" t="s">
        <v>200</v>
      </c>
      <c r="O109" s="8"/>
      <c r="P109" s="8">
        <v>4</v>
      </c>
      <c r="Q109" s="8">
        <f t="shared" si="4"/>
        <v>3</v>
      </c>
      <c r="R109" s="25">
        <f t="shared" si="5"/>
        <v>4</v>
      </c>
      <c r="T109" s="40"/>
      <c r="U109"/>
      <c r="V109"/>
      <c r="W109"/>
      <c r="X109"/>
    </row>
    <row r="110" spans="1:24" x14ac:dyDescent="0.3">
      <c r="A110" s="89">
        <v>1</v>
      </c>
      <c r="B110" s="2" t="s">
        <v>557</v>
      </c>
      <c r="C110" s="2" t="s">
        <v>137</v>
      </c>
      <c r="D110" s="115" t="s">
        <v>1104</v>
      </c>
      <c r="E110" s="80" t="s">
        <v>518</v>
      </c>
      <c r="F110" s="80" t="s">
        <v>200</v>
      </c>
      <c r="G110" s="80" t="s">
        <v>725</v>
      </c>
      <c r="H110" s="80" t="s">
        <v>200</v>
      </c>
      <c r="I110" s="80"/>
      <c r="J110" s="81" t="s">
        <v>1081</v>
      </c>
      <c r="K110" s="81" t="s">
        <v>200</v>
      </c>
      <c r="L110" s="81" t="s">
        <v>201</v>
      </c>
      <c r="M110" s="81" t="s">
        <v>644</v>
      </c>
      <c r="N110" s="80" t="s">
        <v>200</v>
      </c>
      <c r="P110" s="8">
        <v>4</v>
      </c>
      <c r="Q110" s="8">
        <f t="shared" si="4"/>
        <v>4</v>
      </c>
      <c r="R110" s="25">
        <f t="shared" si="5"/>
        <v>4</v>
      </c>
      <c r="T110" s="40"/>
    </row>
    <row r="111" spans="1:24" x14ac:dyDescent="0.3">
      <c r="A111" s="89">
        <v>1</v>
      </c>
      <c r="B111" s="6"/>
      <c r="C111" s="6" t="s">
        <v>81</v>
      </c>
      <c r="D111" s="115"/>
      <c r="E111" s="18"/>
      <c r="F111" s="19"/>
      <c r="G111" s="19"/>
      <c r="H111" s="19"/>
      <c r="I111" s="19"/>
      <c r="J111" s="19"/>
      <c r="K111" s="24"/>
      <c r="L111" s="24"/>
      <c r="M111" s="24"/>
      <c r="N111" s="24"/>
      <c r="Q111" s="8">
        <f t="shared" si="4"/>
        <v>0</v>
      </c>
      <c r="R111" s="25">
        <f t="shared" si="5"/>
        <v>0</v>
      </c>
      <c r="T111" s="40"/>
    </row>
    <row r="112" spans="1:24" x14ac:dyDescent="0.3">
      <c r="A112" s="89">
        <v>1</v>
      </c>
      <c r="B112" s="2" t="s">
        <v>552</v>
      </c>
      <c r="C112" s="2" t="s">
        <v>30</v>
      </c>
      <c r="D112" s="115" t="s">
        <v>1104</v>
      </c>
      <c r="E112" s="80" t="s">
        <v>393</v>
      </c>
      <c r="F112" s="80" t="s">
        <v>200</v>
      </c>
      <c r="G112" s="81" t="s">
        <v>367</v>
      </c>
      <c r="H112" s="80" t="s">
        <v>200</v>
      </c>
      <c r="I112" s="80"/>
      <c r="J112" s="81" t="s">
        <v>513</v>
      </c>
      <c r="K112" s="81" t="s">
        <v>200</v>
      </c>
      <c r="L112" s="80"/>
      <c r="M112" s="80" t="s">
        <v>407</v>
      </c>
      <c r="N112" s="80" t="s">
        <v>200</v>
      </c>
      <c r="P112" s="8">
        <v>4</v>
      </c>
      <c r="Q112" s="8">
        <f t="shared" si="4"/>
        <v>4</v>
      </c>
      <c r="R112" s="25">
        <f t="shared" si="5"/>
        <v>4</v>
      </c>
    </row>
    <row r="113" spans="1:20" x14ac:dyDescent="0.3">
      <c r="A113" s="89">
        <v>1</v>
      </c>
      <c r="B113" s="2" t="s">
        <v>552</v>
      </c>
      <c r="C113" s="2" t="s">
        <v>150</v>
      </c>
      <c r="D113" s="115" t="s">
        <v>1104</v>
      </c>
      <c r="E113" s="80" t="s">
        <v>397</v>
      </c>
      <c r="F113" s="80" t="s">
        <v>200</v>
      </c>
      <c r="G113" s="80" t="s">
        <v>633</v>
      </c>
      <c r="H113" s="80" t="s">
        <v>200</v>
      </c>
      <c r="I113" s="80"/>
      <c r="J113" s="81" t="s">
        <v>298</v>
      </c>
      <c r="K113" s="81" t="s">
        <v>200</v>
      </c>
      <c r="L113" s="80"/>
      <c r="M113" s="81" t="s">
        <v>346</v>
      </c>
      <c r="N113" s="81" t="s">
        <v>200</v>
      </c>
      <c r="P113" s="8">
        <v>4</v>
      </c>
      <c r="Q113" s="8">
        <f t="shared" si="4"/>
        <v>4</v>
      </c>
      <c r="R113" s="25">
        <f t="shared" si="5"/>
        <v>4</v>
      </c>
      <c r="T113" s="40"/>
    </row>
    <row r="114" spans="1:20" x14ac:dyDescent="0.3">
      <c r="A114" s="89">
        <v>1</v>
      </c>
      <c r="B114" s="2" t="s">
        <v>552</v>
      </c>
      <c r="C114" s="2" t="s">
        <v>151</v>
      </c>
      <c r="D114" s="115" t="s">
        <v>1104</v>
      </c>
      <c r="E114" s="80" t="s">
        <v>498</v>
      </c>
      <c r="F114" s="80" t="s">
        <v>200</v>
      </c>
      <c r="G114" s="80" t="s">
        <v>620</v>
      </c>
      <c r="H114" s="80" t="s">
        <v>200</v>
      </c>
      <c r="I114" s="80"/>
      <c r="J114" s="81" t="s">
        <v>1095</v>
      </c>
      <c r="K114" s="81" t="s">
        <v>200</v>
      </c>
      <c r="L114" s="80"/>
      <c r="M114" s="80" t="s">
        <v>404</v>
      </c>
      <c r="N114" s="80" t="s">
        <v>200</v>
      </c>
      <c r="P114" s="8">
        <v>4</v>
      </c>
      <c r="Q114" s="8">
        <f t="shared" si="4"/>
        <v>4</v>
      </c>
      <c r="R114" s="25">
        <f t="shared" si="5"/>
        <v>4</v>
      </c>
      <c r="T114" s="40"/>
    </row>
    <row r="115" spans="1:20" x14ac:dyDescent="0.3">
      <c r="A115" s="89">
        <v>1</v>
      </c>
      <c r="B115" s="2" t="s">
        <v>552</v>
      </c>
      <c r="C115" s="2" t="s">
        <v>10</v>
      </c>
      <c r="D115" s="115" t="s">
        <v>1104</v>
      </c>
      <c r="E115" s="80" t="s">
        <v>458</v>
      </c>
      <c r="F115" s="80" t="s">
        <v>200</v>
      </c>
      <c r="G115" s="80" t="s">
        <v>673</v>
      </c>
      <c r="H115" s="54" t="s">
        <v>200</v>
      </c>
      <c r="I115" s="80"/>
      <c r="J115" s="81" t="s">
        <v>1089</v>
      </c>
      <c r="K115" s="81" t="s">
        <v>200</v>
      </c>
      <c r="L115" s="80"/>
      <c r="M115" s="80" t="s">
        <v>634</v>
      </c>
      <c r="N115" s="80" t="s">
        <v>200</v>
      </c>
      <c r="P115" s="8">
        <v>4</v>
      </c>
      <c r="Q115" s="8">
        <f t="shared" si="4"/>
        <v>4</v>
      </c>
      <c r="R115" s="25">
        <f t="shared" si="5"/>
        <v>4</v>
      </c>
      <c r="T115" s="40"/>
    </row>
    <row r="116" spans="1:20" x14ac:dyDescent="0.3">
      <c r="A116" s="89">
        <v>1</v>
      </c>
      <c r="B116" s="2" t="s">
        <v>552</v>
      </c>
      <c r="C116" s="2" t="s">
        <v>10</v>
      </c>
      <c r="D116" s="115" t="s">
        <v>1104</v>
      </c>
      <c r="E116" s="81" t="s">
        <v>511</v>
      </c>
      <c r="F116" s="80" t="s">
        <v>200</v>
      </c>
      <c r="G116" s="80" t="s">
        <v>750</v>
      </c>
      <c r="H116" s="80" t="s">
        <v>200</v>
      </c>
      <c r="I116" s="80"/>
      <c r="J116" s="80" t="s">
        <v>534</v>
      </c>
      <c r="K116" s="81" t="s">
        <v>200</v>
      </c>
      <c r="L116" s="80"/>
      <c r="M116" s="80" t="s">
        <v>363</v>
      </c>
      <c r="N116" s="80" t="s">
        <v>200</v>
      </c>
      <c r="P116" s="8">
        <v>4</v>
      </c>
      <c r="Q116" s="8">
        <f t="shared" si="4"/>
        <v>4</v>
      </c>
      <c r="R116" s="25">
        <f t="shared" si="5"/>
        <v>4</v>
      </c>
      <c r="T116" s="1"/>
    </row>
    <row r="117" spans="1:20" x14ac:dyDescent="0.3">
      <c r="D117" s="115"/>
      <c r="E117" s="169" t="s">
        <v>1066</v>
      </c>
      <c r="F117" s="169"/>
      <c r="G117" s="169"/>
      <c r="H117" s="169"/>
      <c r="I117" s="169"/>
      <c r="J117" s="169"/>
      <c r="K117" s="169"/>
      <c r="L117" s="169"/>
      <c r="M117" s="169"/>
      <c r="N117" s="111"/>
      <c r="R117" s="25"/>
      <c r="T117" s="40"/>
    </row>
    <row r="118" spans="1:20" x14ac:dyDescent="0.3">
      <c r="B118" t="s">
        <v>552</v>
      </c>
      <c r="C118" t="s">
        <v>1076</v>
      </c>
      <c r="D118" s="115" t="s">
        <v>1106</v>
      </c>
      <c r="E118" s="186" t="s">
        <v>667</v>
      </c>
      <c r="F118" s="186"/>
      <c r="G118" s="187"/>
      <c r="H118" s="50" t="s">
        <v>200</v>
      </c>
      <c r="I118" s="80"/>
      <c r="J118" s="170" t="s">
        <v>1069</v>
      </c>
      <c r="K118" s="170"/>
      <c r="L118" s="170"/>
      <c r="M118" s="170"/>
      <c r="N118" s="111" t="s">
        <v>1096</v>
      </c>
      <c r="R118" s="25"/>
    </row>
    <row r="119" spans="1:20" x14ac:dyDescent="0.3">
      <c r="B119" t="s">
        <v>552</v>
      </c>
      <c r="C119" t="s">
        <v>1076</v>
      </c>
      <c r="D119" s="115" t="s">
        <v>1106</v>
      </c>
      <c r="E119" s="169" t="s">
        <v>1084</v>
      </c>
      <c r="F119" s="169"/>
      <c r="G119" s="169"/>
      <c r="H119" s="80" t="s">
        <v>200</v>
      </c>
      <c r="I119" s="80"/>
      <c r="J119" s="170" t="s">
        <v>1082</v>
      </c>
      <c r="K119" s="170"/>
      <c r="L119" s="170"/>
      <c r="M119" s="170"/>
      <c r="N119" s="122" t="s">
        <v>240</v>
      </c>
      <c r="R119" s="25"/>
      <c r="T119" s="40"/>
    </row>
    <row r="120" spans="1:20" x14ac:dyDescent="0.3">
      <c r="B120" t="s">
        <v>552</v>
      </c>
      <c r="C120" t="s">
        <v>1076</v>
      </c>
      <c r="D120" s="115" t="s">
        <v>1106</v>
      </c>
      <c r="E120" s="170" t="s">
        <v>1085</v>
      </c>
      <c r="F120" s="170"/>
      <c r="G120" s="170"/>
      <c r="H120" s="80" t="s">
        <v>240</v>
      </c>
      <c r="I120" s="80"/>
      <c r="J120" s="169" t="s">
        <v>1083</v>
      </c>
      <c r="K120" s="169"/>
      <c r="L120" s="169"/>
      <c r="M120" s="169"/>
      <c r="N120" s="111" t="s">
        <v>200</v>
      </c>
      <c r="R120" s="25"/>
      <c r="T120" s="40"/>
    </row>
    <row r="121" spans="1:20" x14ac:dyDescent="0.3">
      <c r="B121" t="s">
        <v>552</v>
      </c>
      <c r="C121" t="s">
        <v>660</v>
      </c>
      <c r="D121" s="116" t="s">
        <v>1106</v>
      </c>
      <c r="E121" s="169" t="s">
        <v>489</v>
      </c>
      <c r="F121" s="169"/>
      <c r="G121" s="169"/>
      <c r="H121" s="80" t="s">
        <v>200</v>
      </c>
      <c r="I121" s="80"/>
      <c r="J121" s="180" t="s">
        <v>395</v>
      </c>
      <c r="K121" s="181"/>
      <c r="L121" s="181"/>
      <c r="M121" s="182"/>
      <c r="N121" s="5" t="s">
        <v>200</v>
      </c>
      <c r="R121" s="25"/>
      <c r="T121" s="40"/>
    </row>
    <row r="122" spans="1:20" x14ac:dyDescent="0.3">
      <c r="E122" s="108"/>
      <c r="F122" s="108"/>
      <c r="G122" s="108"/>
      <c r="H122" s="93"/>
      <c r="I122" s="93"/>
      <c r="K122" s="97"/>
      <c r="L122" s="97"/>
      <c r="M122" s="97"/>
      <c r="R122" s="25"/>
      <c r="T122" s="40"/>
    </row>
    <row r="123" spans="1:20" s="13" customFormat="1" x14ac:dyDescent="0.3">
      <c r="A123" s="48"/>
      <c r="D123" s="112"/>
      <c r="E123" s="13" t="s">
        <v>105</v>
      </c>
      <c r="G123" s="13" t="s">
        <v>106</v>
      </c>
      <c r="J123" s="102" t="s">
        <v>107</v>
      </c>
      <c r="K123" s="26"/>
      <c r="L123" s="26"/>
      <c r="M123" s="26" t="s">
        <v>108</v>
      </c>
      <c r="N123" s="26"/>
      <c r="O123" s="8"/>
      <c r="P123" s="8"/>
      <c r="Q123" s="8"/>
      <c r="R123" s="25"/>
      <c r="T123" s="40"/>
    </row>
    <row r="124" spans="1:20" s="13" customFormat="1" x14ac:dyDescent="0.3">
      <c r="A124" s="48"/>
      <c r="D124" s="112"/>
      <c r="E124" s="13" t="s">
        <v>152</v>
      </c>
      <c r="F124" s="13">
        <f>COUNTIF(F4:F116,"A")</f>
        <v>87</v>
      </c>
      <c r="G124" s="13" t="s">
        <v>152</v>
      </c>
      <c r="H124" s="13">
        <f>COUNTIF(H4:H116,"A")</f>
        <v>86</v>
      </c>
      <c r="J124" s="102" t="s">
        <v>152</v>
      </c>
      <c r="K124" s="26">
        <f>COUNTIF(K5:K116,"A")</f>
        <v>86</v>
      </c>
      <c r="L124" s="26"/>
      <c r="M124" s="26" t="s">
        <v>152</v>
      </c>
      <c r="N124" s="26">
        <f>COUNTIF(N5:R116,"A")</f>
        <v>83</v>
      </c>
      <c r="O124" s="8"/>
      <c r="P124" s="8"/>
      <c r="Q124" s="8"/>
      <c r="R124" s="25"/>
      <c r="T124" s="40"/>
    </row>
    <row r="125" spans="1:20" s="13" customFormat="1" x14ac:dyDescent="0.3">
      <c r="A125" s="48"/>
      <c r="D125" s="112"/>
      <c r="E125" s="13" t="s">
        <v>695</v>
      </c>
      <c r="F125" s="13">
        <f>COUNTIF(F4:F116,"s")</f>
        <v>0</v>
      </c>
      <c r="G125" s="13" t="s">
        <v>695</v>
      </c>
      <c r="H125" s="13">
        <f>COUNTIF(H4:H116,"s")</f>
        <v>0</v>
      </c>
      <c r="J125" s="103" t="s">
        <v>695</v>
      </c>
      <c r="K125" s="13">
        <f>COUNTIF(K5:K116,"S")</f>
        <v>0</v>
      </c>
      <c r="L125" s="26"/>
      <c r="M125" s="13" t="s">
        <v>695</v>
      </c>
      <c r="N125" s="13">
        <f>COUNTIF(N5:N116,"S")</f>
        <v>0</v>
      </c>
      <c r="O125" s="8"/>
      <c r="P125" s="8"/>
      <c r="Q125" s="8"/>
      <c r="R125" s="25"/>
      <c r="T125" s="40"/>
    </row>
    <row r="126" spans="1:20" s="13" customFormat="1" x14ac:dyDescent="0.3">
      <c r="A126" s="48"/>
      <c r="D126" s="112"/>
      <c r="E126" s="13" t="s">
        <v>153</v>
      </c>
      <c r="F126" s="13">
        <f>COUNTIF(F4:F116,"C")</f>
        <v>0</v>
      </c>
      <c r="G126" s="13" t="s">
        <v>153</v>
      </c>
      <c r="H126" s="13">
        <f>COUNTIF(H4:H116,"C")</f>
        <v>0</v>
      </c>
      <c r="J126" s="102" t="s">
        <v>153</v>
      </c>
      <c r="K126" s="26">
        <f>COUNTIF(K5:K116,"C")</f>
        <v>0</v>
      </c>
      <c r="L126" s="26"/>
      <c r="M126" s="26" t="s">
        <v>153</v>
      </c>
      <c r="N126" s="26">
        <f>COUNTIF(N5:N116,"C")</f>
        <v>0</v>
      </c>
      <c r="O126" s="8"/>
      <c r="P126" s="8"/>
      <c r="Q126" s="8"/>
      <c r="R126" s="25"/>
      <c r="T126" s="40"/>
    </row>
    <row r="127" spans="1:20" s="13" customFormat="1" x14ac:dyDescent="0.3">
      <c r="A127" s="48"/>
      <c r="D127" s="112"/>
      <c r="E127" s="102" t="s">
        <v>1100</v>
      </c>
      <c r="F127" s="26">
        <f>COUNTIF(F6:F117,"VAC")</f>
        <v>0</v>
      </c>
      <c r="G127" s="26" t="s">
        <v>1100</v>
      </c>
      <c r="H127" s="26">
        <f>COUNTIF(H6:H116,"VAC")</f>
        <v>0</v>
      </c>
      <c r="J127" s="102" t="s">
        <v>1100</v>
      </c>
      <c r="K127" s="26">
        <f>COUNTIF(K6:K117,"VAC")</f>
        <v>0</v>
      </c>
      <c r="L127" s="26"/>
      <c r="M127" s="26" t="s">
        <v>1100</v>
      </c>
      <c r="N127" s="26">
        <f>COUNTIF(N6:N117,"V")</f>
        <v>0</v>
      </c>
      <c r="O127" s="8"/>
      <c r="P127" s="8"/>
      <c r="Q127" s="8"/>
      <c r="R127" s="25"/>
      <c r="T127" s="40"/>
    </row>
    <row r="128" spans="1:20" s="13" customFormat="1" x14ac:dyDescent="0.3">
      <c r="A128" s="48"/>
      <c r="D128" s="112"/>
      <c r="E128" s="13" t="s">
        <v>1066</v>
      </c>
      <c r="F128" s="13">
        <f>COUNTIF(H118:H121,"A")</f>
        <v>3</v>
      </c>
      <c r="J128" s="13" t="s">
        <v>1066</v>
      </c>
      <c r="K128" s="13">
        <f>COUNTIF(N118:N121,"A")</f>
        <v>2</v>
      </c>
      <c r="N128" s="26"/>
      <c r="O128" s="8"/>
      <c r="P128" s="8"/>
      <c r="Q128" s="8"/>
      <c r="R128" s="25"/>
      <c r="T128" s="40"/>
    </row>
    <row r="129" spans="1:20" s="13" customFormat="1" x14ac:dyDescent="0.3">
      <c r="A129" s="48"/>
      <c r="D129" s="112"/>
      <c r="E129" s="13" t="s">
        <v>154</v>
      </c>
      <c r="F129" s="13">
        <f>COUNTIF(F4:F116,"P")</f>
        <v>3</v>
      </c>
      <c r="G129" s="13" t="s">
        <v>154</v>
      </c>
      <c r="H129" s="13">
        <f>COUNTIF(H4:H116,"P")</f>
        <v>5</v>
      </c>
      <c r="J129" s="102" t="s">
        <v>154</v>
      </c>
      <c r="K129" s="26">
        <f>COUNTIF(K5:K116,"P")</f>
        <v>6</v>
      </c>
      <c r="L129" s="26"/>
      <c r="M129" s="26" t="s">
        <v>154</v>
      </c>
      <c r="N129" s="26">
        <f>COUNTIF(N5:N116,"P")</f>
        <v>6</v>
      </c>
      <c r="O129" s="8"/>
      <c r="P129" s="8"/>
      <c r="Q129" s="8"/>
      <c r="R129" s="25"/>
      <c r="T129" s="40"/>
    </row>
    <row r="130" spans="1:20" s="13" customFormat="1" x14ac:dyDescent="0.3">
      <c r="A130" s="48"/>
      <c r="D130" s="112"/>
      <c r="E130" s="102" t="s">
        <v>1127</v>
      </c>
      <c r="F130" s="120">
        <f>COUNTIF(F5:F116,"V-M")</f>
        <v>2</v>
      </c>
      <c r="G130" s="102" t="s">
        <v>1127</v>
      </c>
      <c r="H130" s="120">
        <f>COUNTIF(H5:H116,"V-M")</f>
        <v>1</v>
      </c>
      <c r="J130" s="102" t="s">
        <v>1127</v>
      </c>
      <c r="K130" s="120">
        <f>COUNTIF(K5:K116,"V-M")</f>
        <v>0</v>
      </c>
      <c r="L130" s="26"/>
      <c r="M130" s="102" t="s">
        <v>1127</v>
      </c>
      <c r="N130" s="120">
        <f>COUNTIF(N5:N116,"V-M")</f>
        <v>2</v>
      </c>
      <c r="O130" s="8"/>
      <c r="P130" s="8"/>
      <c r="Q130" s="8"/>
      <c r="R130" s="25"/>
      <c r="T130" s="40"/>
    </row>
    <row r="131" spans="1:20" s="13" customFormat="1" x14ac:dyDescent="0.3">
      <c r="A131" s="48"/>
      <c r="D131" s="112"/>
      <c r="E131" s="102" t="s">
        <v>1128</v>
      </c>
      <c r="F131" s="120">
        <f>COUNTIF(F6:F117,"V-EL")</f>
        <v>0</v>
      </c>
      <c r="G131" s="102" t="s">
        <v>1128</v>
      </c>
      <c r="H131" s="120">
        <f>COUNTIF(H6:H117,"V-EL")</f>
        <v>0</v>
      </c>
      <c r="J131" s="102" t="s">
        <v>1128</v>
      </c>
      <c r="K131" s="120">
        <f>COUNTIF(K6:K117,"V-EL")</f>
        <v>0</v>
      </c>
      <c r="L131" s="26"/>
      <c r="M131" s="102" t="s">
        <v>1128</v>
      </c>
      <c r="N131" s="120">
        <f>COUNTIF(N6:N117,"V-EL")</f>
        <v>0</v>
      </c>
      <c r="O131" s="8"/>
      <c r="P131" s="8"/>
      <c r="Q131" s="8"/>
      <c r="R131" s="25"/>
      <c r="T131" s="40"/>
    </row>
    <row r="132" spans="1:20" s="13" customFormat="1" x14ac:dyDescent="0.3">
      <c r="A132" s="48"/>
      <c r="D132" s="112"/>
      <c r="E132" s="102" t="s">
        <v>1132</v>
      </c>
      <c r="F132" s="120">
        <f>COUNTIF(F7:F118,"V-MIX")</f>
        <v>1</v>
      </c>
      <c r="G132" s="102" t="s">
        <v>1132</v>
      </c>
      <c r="H132" s="120">
        <f>COUNTIF(H7:H118,"V-MIX")</f>
        <v>1</v>
      </c>
      <c r="J132" s="102" t="s">
        <v>1132</v>
      </c>
      <c r="K132" s="120">
        <f>COUNTIF(K7:K118,"V-MIX")</f>
        <v>0</v>
      </c>
      <c r="L132" s="26"/>
      <c r="M132" s="102" t="s">
        <v>1129</v>
      </c>
      <c r="N132" s="120">
        <f>COUNTIF(N7:N118,"V-MIX")</f>
        <v>0</v>
      </c>
      <c r="O132" s="8"/>
      <c r="P132" s="8"/>
      <c r="Q132" s="8"/>
      <c r="R132" s="25"/>
      <c r="T132" s="40"/>
    </row>
    <row r="133" spans="1:20" s="13" customFormat="1" x14ac:dyDescent="0.3">
      <c r="A133" s="48"/>
      <c r="D133" s="112"/>
      <c r="E133" s="102" t="s">
        <v>1130</v>
      </c>
      <c r="F133" s="120">
        <f t="shared" ref="F133:F138" ca="1" si="6">COUNTIF(F8:F247,"V-MIX")</f>
        <v>0</v>
      </c>
      <c r="G133" s="102" t="s">
        <v>1130</v>
      </c>
      <c r="H133" s="120">
        <f>COUNTIF(H8:H119,"V-J")</f>
        <v>0</v>
      </c>
      <c r="J133" s="102" t="s">
        <v>1130</v>
      </c>
      <c r="K133" s="120">
        <f>COUNTIF(K8:K119,"V-J")</f>
        <v>0</v>
      </c>
      <c r="L133" s="26"/>
      <c r="M133" s="102" t="s">
        <v>1130</v>
      </c>
      <c r="N133" s="120">
        <f>COUNTIF(N8:N119,"V-J")</f>
        <v>0</v>
      </c>
      <c r="O133" s="8"/>
      <c r="P133" s="8"/>
      <c r="Q133" s="8"/>
      <c r="R133" s="25"/>
      <c r="T133" s="40"/>
    </row>
    <row r="134" spans="1:20" s="13" customFormat="1" x14ac:dyDescent="0.3">
      <c r="A134" s="48"/>
      <c r="D134" s="112"/>
      <c r="E134" s="102" t="s">
        <v>1131</v>
      </c>
      <c r="F134" s="120">
        <f t="shared" ca="1" si="6"/>
        <v>0</v>
      </c>
      <c r="G134" s="102" t="s">
        <v>1131</v>
      </c>
      <c r="H134" s="120">
        <f>COUNTIF(H9:H120,"V-S")</f>
        <v>1</v>
      </c>
      <c r="J134" s="102" t="s">
        <v>1131</v>
      </c>
      <c r="K134" s="120">
        <f>COUNTIF(K9:K120,"V-S")</f>
        <v>0</v>
      </c>
      <c r="L134" s="26"/>
      <c r="M134" s="102" t="s">
        <v>1131</v>
      </c>
      <c r="N134" s="120">
        <f>COUNTIF(N9:N120,"V-S")</f>
        <v>0</v>
      </c>
      <c r="O134" s="8"/>
      <c r="P134" s="8"/>
      <c r="Q134" s="8"/>
      <c r="R134" s="25"/>
      <c r="T134" s="40"/>
    </row>
    <row r="135" spans="1:20" s="13" customFormat="1" x14ac:dyDescent="0.3">
      <c r="A135" s="48"/>
      <c r="D135" s="112"/>
      <c r="E135" s="102" t="s">
        <v>1133</v>
      </c>
      <c r="F135" s="120">
        <f t="shared" ca="1" si="6"/>
        <v>0</v>
      </c>
      <c r="G135" s="102" t="s">
        <v>1133</v>
      </c>
      <c r="H135" s="120">
        <f>COUNTIF(H10:H121,"V-CS")</f>
        <v>0</v>
      </c>
      <c r="J135" s="102" t="s">
        <v>1133</v>
      </c>
      <c r="K135" s="120">
        <f>COUNTIF(K10:K121,"V-CS")</f>
        <v>0</v>
      </c>
      <c r="L135" s="26"/>
      <c r="M135" s="102" t="s">
        <v>1133</v>
      </c>
      <c r="N135" s="120">
        <f>COUNTIF(N10:N121,"V-CS")</f>
        <v>1</v>
      </c>
      <c r="O135" s="8"/>
      <c r="P135" s="8"/>
      <c r="Q135" s="8"/>
      <c r="R135" s="25"/>
      <c r="T135" s="40"/>
    </row>
    <row r="136" spans="1:20" s="13" customFormat="1" x14ac:dyDescent="0.3">
      <c r="A136" s="48"/>
      <c r="D136" s="112"/>
      <c r="E136" s="102" t="s">
        <v>1135</v>
      </c>
      <c r="F136" s="120">
        <f t="shared" ca="1" si="6"/>
        <v>0</v>
      </c>
      <c r="G136" s="102" t="s">
        <v>1135</v>
      </c>
      <c r="H136" s="120">
        <f>COUNTIF(H11:H122,"V-BR")</f>
        <v>0</v>
      </c>
      <c r="J136" s="102" t="s">
        <v>1135</v>
      </c>
      <c r="K136" s="120">
        <f>COUNTIF(K11:K122,"V-BR")</f>
        <v>1</v>
      </c>
      <c r="L136" s="26"/>
      <c r="M136" s="102" t="s">
        <v>1135</v>
      </c>
      <c r="N136" s="120">
        <f>COUNTIF(N11:N122,"V-BR")</f>
        <v>1</v>
      </c>
      <c r="O136" s="8"/>
      <c r="P136" s="8"/>
      <c r="Q136" s="8"/>
      <c r="R136" s="25"/>
      <c r="T136" s="40"/>
    </row>
    <row r="137" spans="1:20" s="13" customFormat="1" ht="14.25" customHeight="1" x14ac:dyDescent="0.3">
      <c r="A137" s="48"/>
      <c r="D137" s="112"/>
      <c r="E137" s="13" t="s">
        <v>156</v>
      </c>
      <c r="F137" s="120">
        <f t="shared" ca="1" si="6"/>
        <v>0</v>
      </c>
      <c r="G137" s="13" t="s">
        <v>156</v>
      </c>
      <c r="H137" s="120">
        <f t="shared" ref="H137:H138" si="7">COUNTIF(H12:H123,"V-BR")</f>
        <v>0</v>
      </c>
      <c r="I137" s="13">
        <f>COUNTIF(I5:I116,"L")</f>
        <v>13</v>
      </c>
      <c r="J137" s="102" t="s">
        <v>156</v>
      </c>
      <c r="K137" s="26">
        <f>COUNTIF(K6:K116,"LM")</f>
        <v>0</v>
      </c>
      <c r="L137" s="26">
        <f>COUNTIF(L5:L116,"L")</f>
        <v>12</v>
      </c>
      <c r="M137" s="26" t="s">
        <v>156</v>
      </c>
      <c r="N137" s="26">
        <f>COUNTIF(N6:N117,"LM")</f>
        <v>2</v>
      </c>
      <c r="O137" s="8"/>
      <c r="P137" s="8"/>
      <c r="Q137" s="8"/>
      <c r="R137" s="25"/>
      <c r="T137" s="26">
        <f>COUNTIF(T6:T117,"V")</f>
        <v>0</v>
      </c>
    </row>
    <row r="138" spans="1:20" s="13" customFormat="1" ht="14.25" customHeight="1" x14ac:dyDescent="0.3">
      <c r="A138" s="48"/>
      <c r="D138" s="112"/>
      <c r="E138" s="13" t="s">
        <v>1088</v>
      </c>
      <c r="F138" s="120">
        <f t="shared" ca="1" si="6"/>
        <v>0</v>
      </c>
      <c r="G138" s="13" t="s">
        <v>1088</v>
      </c>
      <c r="H138" s="120">
        <f t="shared" si="7"/>
        <v>0</v>
      </c>
      <c r="J138" s="103" t="s">
        <v>1088</v>
      </c>
      <c r="K138" s="13">
        <f>COUNTIF(K6:K118,"CIO")</f>
        <v>0</v>
      </c>
      <c r="L138" s="26"/>
      <c r="M138" s="13" t="s">
        <v>1088</v>
      </c>
      <c r="N138" s="13">
        <f>COUNTIF(N6:N118,"CIO")</f>
        <v>0</v>
      </c>
      <c r="O138" s="8"/>
      <c r="P138" s="8"/>
      <c r="Q138" s="8"/>
      <c r="R138" s="25"/>
      <c r="T138" s="40"/>
    </row>
    <row r="139" spans="1:20" x14ac:dyDescent="0.3">
      <c r="E139" s="13" t="s">
        <v>53</v>
      </c>
      <c r="F139">
        <f ca="1">SUM(F124:F138)</f>
        <v>99</v>
      </c>
      <c r="H139">
        <f>SUM(H124:H138)</f>
        <v>94</v>
      </c>
      <c r="K139" s="1">
        <f>SUM(K124:K138)</f>
        <v>95</v>
      </c>
      <c r="N139" s="1">
        <f>SUM(N124:R138)</f>
        <v>95</v>
      </c>
      <c r="R139" s="25"/>
      <c r="T139" s="40"/>
    </row>
    <row r="140" spans="1:20" x14ac:dyDescent="0.3">
      <c r="R140" s="25"/>
      <c r="T140" s="40"/>
    </row>
    <row r="141" spans="1:20" x14ac:dyDescent="0.3">
      <c r="F141" s="53">
        <f ca="1">+(F124+F125+F126)/(F139)</f>
        <v>0.87878787878787878</v>
      </c>
      <c r="H141" s="53">
        <f>+(H124+H125+H126)/(H139)</f>
        <v>0.91489361702127658</v>
      </c>
      <c r="K141" s="53">
        <f>+(K124+K125+K126)/(K139)</f>
        <v>0.90526315789473688</v>
      </c>
      <c r="N141" s="53">
        <f>+(N124+N125+N126)/(N139)</f>
        <v>0.87368421052631584</v>
      </c>
      <c r="R141" s="25"/>
      <c r="T141" s="40"/>
    </row>
    <row r="142" spans="1:20" x14ac:dyDescent="0.3">
      <c r="F142" s="53"/>
      <c r="H142" s="53"/>
      <c r="K142" s="53"/>
      <c r="N142" s="53"/>
      <c r="R142" s="25"/>
      <c r="T142" s="40"/>
    </row>
    <row r="143" spans="1:20" x14ac:dyDescent="0.3">
      <c r="B143" s="2"/>
      <c r="C143" s="2" t="s">
        <v>1149</v>
      </c>
      <c r="D143" s="115"/>
      <c r="E143" s="134"/>
      <c r="F143" s="135"/>
      <c r="G143" s="135"/>
      <c r="H143" s="135"/>
      <c r="I143" s="135"/>
      <c r="J143" s="135"/>
      <c r="K143" s="135"/>
      <c r="L143" s="135"/>
      <c r="M143" s="158"/>
      <c r="N143" s="150"/>
      <c r="R143" s="25"/>
      <c r="T143" s="40"/>
    </row>
    <row r="144" spans="1:20" x14ac:dyDescent="0.3">
      <c r="B144" s="2" t="s">
        <v>556</v>
      </c>
      <c r="C144" s="2" t="s">
        <v>1101</v>
      </c>
      <c r="D144" s="115" t="s">
        <v>1106</v>
      </c>
      <c r="E144" s="177" t="s">
        <v>768</v>
      </c>
      <c r="F144" s="178"/>
      <c r="G144" s="179"/>
      <c r="H144" s="151" t="s">
        <v>200</v>
      </c>
      <c r="I144" s="151"/>
      <c r="J144" s="177" t="s">
        <v>467</v>
      </c>
      <c r="K144" s="178"/>
      <c r="L144" s="178"/>
      <c r="M144" s="179"/>
      <c r="N144" s="128" t="s">
        <v>200</v>
      </c>
      <c r="R144" s="25"/>
      <c r="T144" s="13"/>
    </row>
    <row r="145" spans="1:20" x14ac:dyDescent="0.3">
      <c r="B145" s="2" t="s">
        <v>556</v>
      </c>
      <c r="C145" s="2" t="s">
        <v>1102</v>
      </c>
      <c r="D145" s="115" t="s">
        <v>1105</v>
      </c>
      <c r="E145" s="180" t="s">
        <v>441</v>
      </c>
      <c r="F145" s="181"/>
      <c r="G145" s="182"/>
      <c r="H145" s="80" t="s">
        <v>200</v>
      </c>
      <c r="I145" s="80"/>
      <c r="J145" s="183" t="s">
        <v>442</v>
      </c>
      <c r="K145" s="184"/>
      <c r="L145" s="184"/>
      <c r="M145" s="185"/>
      <c r="N145" s="128" t="s">
        <v>200</v>
      </c>
      <c r="R145" s="25"/>
      <c r="T145" s="13"/>
    </row>
    <row r="146" spans="1:20" x14ac:dyDescent="0.3">
      <c r="B146" s="2" t="s">
        <v>556</v>
      </c>
      <c r="C146" s="2" t="s">
        <v>1107</v>
      </c>
      <c r="D146" s="115" t="s">
        <v>1111</v>
      </c>
      <c r="E146" s="174" t="s">
        <v>1108</v>
      </c>
      <c r="F146" s="175"/>
      <c r="G146" s="176"/>
      <c r="H146" s="54" t="s">
        <v>240</v>
      </c>
      <c r="I146" s="80"/>
      <c r="J146" s="174" t="s">
        <v>1112</v>
      </c>
      <c r="K146" s="175"/>
      <c r="L146" s="175"/>
      <c r="M146" s="176"/>
      <c r="N146" s="129" t="s">
        <v>240</v>
      </c>
      <c r="R146" s="25"/>
      <c r="T146" s="13"/>
    </row>
    <row r="147" spans="1:20" x14ac:dyDescent="0.3">
      <c r="B147" s="2" t="s">
        <v>556</v>
      </c>
      <c r="C147" s="2" t="s">
        <v>1110</v>
      </c>
      <c r="D147" s="115" t="s">
        <v>1105</v>
      </c>
      <c r="E147" s="171" t="s">
        <v>1109</v>
      </c>
      <c r="F147" s="172"/>
      <c r="G147" s="173"/>
      <c r="H147" s="80" t="s">
        <v>200</v>
      </c>
      <c r="I147" s="80"/>
      <c r="J147" s="174" t="s">
        <v>1113</v>
      </c>
      <c r="K147" s="175"/>
      <c r="L147" s="175"/>
      <c r="M147" s="176"/>
      <c r="N147" s="129" t="s">
        <v>240</v>
      </c>
      <c r="R147" s="25"/>
      <c r="T147" s="13"/>
    </row>
    <row r="148" spans="1:20" x14ac:dyDescent="0.3">
      <c r="B148" s="2" t="s">
        <v>556</v>
      </c>
      <c r="C148" s="2" t="s">
        <v>119</v>
      </c>
      <c r="D148" s="115" t="s">
        <v>1105</v>
      </c>
      <c r="E148" s="188"/>
      <c r="F148" s="189"/>
      <c r="G148" s="190"/>
      <c r="H148" s="54" t="s">
        <v>240</v>
      </c>
      <c r="I148" s="80"/>
      <c r="J148" s="183" t="s">
        <v>1114</v>
      </c>
      <c r="K148" s="184"/>
      <c r="L148" s="184"/>
      <c r="M148" s="185"/>
      <c r="N148" s="128" t="s">
        <v>200</v>
      </c>
      <c r="R148" s="25"/>
      <c r="T148" s="13"/>
    </row>
    <row r="149" spans="1:20" x14ac:dyDescent="0.3">
      <c r="B149" s="2" t="s">
        <v>556</v>
      </c>
      <c r="C149" s="2" t="s">
        <v>1115</v>
      </c>
      <c r="D149" s="115" t="s">
        <v>1117</v>
      </c>
      <c r="E149" s="183" t="s">
        <v>1116</v>
      </c>
      <c r="F149" s="184"/>
      <c r="G149" s="184"/>
      <c r="H149" s="184"/>
      <c r="I149" s="184"/>
      <c r="J149" s="184"/>
      <c r="K149" s="184"/>
      <c r="L149" s="184"/>
      <c r="M149" s="185"/>
      <c r="N149" s="128" t="s">
        <v>200</v>
      </c>
      <c r="R149" s="25"/>
      <c r="T149" s="13"/>
    </row>
    <row r="150" spans="1:20" x14ac:dyDescent="0.3">
      <c r="B150" s="2" t="s">
        <v>556</v>
      </c>
      <c r="C150" s="2" t="s">
        <v>76</v>
      </c>
      <c r="D150" s="115" t="s">
        <v>1117</v>
      </c>
      <c r="E150" s="183" t="s">
        <v>1118</v>
      </c>
      <c r="F150" s="184"/>
      <c r="G150" s="184"/>
      <c r="H150" s="184"/>
      <c r="I150" s="184"/>
      <c r="J150" s="184"/>
      <c r="K150" s="184"/>
      <c r="L150" s="184"/>
      <c r="M150" s="185"/>
      <c r="N150" s="128" t="s">
        <v>200</v>
      </c>
      <c r="R150" s="25"/>
      <c r="T150" s="13"/>
    </row>
    <row r="151" spans="1:20" x14ac:dyDescent="0.3">
      <c r="B151" s="2" t="s">
        <v>556</v>
      </c>
      <c r="C151" s="2" t="s">
        <v>56</v>
      </c>
      <c r="D151" s="114" t="s">
        <v>1117</v>
      </c>
      <c r="E151" s="196" t="s">
        <v>520</v>
      </c>
      <c r="F151" s="197"/>
      <c r="G151" s="197"/>
      <c r="H151" s="197"/>
      <c r="I151" s="197"/>
      <c r="J151" s="197"/>
      <c r="K151" s="197"/>
      <c r="L151" s="197"/>
      <c r="M151" s="198"/>
      <c r="N151" s="128" t="s">
        <v>200</v>
      </c>
      <c r="R151" s="25"/>
      <c r="T151" s="13"/>
    </row>
    <row r="152" spans="1:20" x14ac:dyDescent="0.3">
      <c r="B152" s="2" t="s">
        <v>556</v>
      </c>
      <c r="C152" s="2" t="s">
        <v>1120</v>
      </c>
      <c r="D152" s="115" t="s">
        <v>1105</v>
      </c>
      <c r="E152" s="192" t="s">
        <v>1121</v>
      </c>
      <c r="F152" s="192"/>
      <c r="G152" s="192"/>
      <c r="H152" s="109" t="s">
        <v>200</v>
      </c>
      <c r="I152" s="110"/>
      <c r="J152" s="192" t="s">
        <v>1122</v>
      </c>
      <c r="K152" s="192"/>
      <c r="L152" s="192"/>
      <c r="M152" s="192"/>
      <c r="N152" s="130" t="s">
        <v>240</v>
      </c>
      <c r="R152" s="25"/>
      <c r="T152" s="13"/>
    </row>
    <row r="153" spans="1:20" x14ac:dyDescent="0.3">
      <c r="A153" s="89" t="s">
        <v>1119</v>
      </c>
      <c r="B153" s="2" t="s">
        <v>556</v>
      </c>
      <c r="C153" s="2" t="s">
        <v>1124</v>
      </c>
      <c r="D153" s="115" t="s">
        <v>1117</v>
      </c>
      <c r="E153" s="183" t="s">
        <v>1125</v>
      </c>
      <c r="F153" s="184"/>
      <c r="G153" s="184"/>
      <c r="H153" s="184"/>
      <c r="I153" s="184"/>
      <c r="J153" s="184"/>
      <c r="K153" s="184"/>
      <c r="L153" s="184"/>
      <c r="M153" s="185"/>
      <c r="N153" s="130" t="s">
        <v>200</v>
      </c>
      <c r="R153" s="25"/>
      <c r="T153" s="13"/>
    </row>
    <row r="154" spans="1:20" x14ac:dyDescent="0.3">
      <c r="B154" s="2"/>
      <c r="C154" s="123" t="s">
        <v>1150</v>
      </c>
      <c r="E154" s="131"/>
      <c r="F154" s="132"/>
      <c r="G154" s="131"/>
      <c r="H154" s="132"/>
      <c r="I154" s="131"/>
      <c r="J154" s="133"/>
      <c r="K154" s="132"/>
      <c r="L154" s="133"/>
      <c r="M154" s="133"/>
      <c r="N154" s="53"/>
      <c r="R154" s="25"/>
      <c r="T154" s="40"/>
    </row>
    <row r="155" spans="1:20" x14ac:dyDescent="0.3">
      <c r="B155" s="2" t="s">
        <v>557</v>
      </c>
      <c r="C155" s="2" t="s">
        <v>1154</v>
      </c>
      <c r="D155" s="114" t="s">
        <v>1105</v>
      </c>
      <c r="E155" s="180" t="s">
        <v>627</v>
      </c>
      <c r="F155" s="181"/>
      <c r="G155" s="182"/>
      <c r="H155" s="159" t="s">
        <v>200</v>
      </c>
      <c r="J155" s="191" t="s">
        <v>409</v>
      </c>
      <c r="K155" s="191"/>
      <c r="L155" s="191"/>
      <c r="M155" s="191"/>
      <c r="N155" s="125" t="s">
        <v>200</v>
      </c>
      <c r="R155" s="25"/>
      <c r="T155" s="40"/>
    </row>
    <row r="156" spans="1:20" x14ac:dyDescent="0.3">
      <c r="B156" s="2" t="s">
        <v>557</v>
      </c>
      <c r="C156" s="2" t="s">
        <v>1155</v>
      </c>
      <c r="D156" s="114" t="s">
        <v>1105</v>
      </c>
      <c r="E156" s="180" t="s">
        <v>410</v>
      </c>
      <c r="F156" s="181"/>
      <c r="G156" s="181"/>
      <c r="H156" s="159" t="s">
        <v>200</v>
      </c>
      <c r="J156" s="191" t="s">
        <v>411</v>
      </c>
      <c r="K156" s="191"/>
      <c r="L156" s="191"/>
      <c r="M156" s="191"/>
      <c r="N156" s="125" t="s">
        <v>200</v>
      </c>
      <c r="R156" s="25"/>
      <c r="T156" s="40"/>
    </row>
    <row r="157" spans="1:20" x14ac:dyDescent="0.3">
      <c r="B157" s="2" t="s">
        <v>557</v>
      </c>
      <c r="C157" s="2" t="s">
        <v>1158</v>
      </c>
      <c r="D157" s="114"/>
      <c r="E157" s="155"/>
      <c r="F157" s="156"/>
      <c r="G157" s="157"/>
      <c r="H157" s="139"/>
      <c r="J157" s="180"/>
      <c r="K157" s="181"/>
      <c r="L157" s="181"/>
      <c r="M157" s="182"/>
      <c r="N157" s="125"/>
      <c r="R157" s="25"/>
      <c r="T157" s="40"/>
    </row>
    <row r="158" spans="1:20" x14ac:dyDescent="0.3">
      <c r="B158" s="2" t="s">
        <v>557</v>
      </c>
      <c r="C158" s="2" t="s">
        <v>1157</v>
      </c>
      <c r="D158" s="114" t="s">
        <v>1105</v>
      </c>
      <c r="E158" s="193"/>
      <c r="F158" s="193"/>
      <c r="G158" s="193"/>
      <c r="H158" s="168" t="s">
        <v>234</v>
      </c>
      <c r="I158" s="99"/>
      <c r="J158" s="204"/>
      <c r="K158" s="204"/>
      <c r="L158" s="204"/>
      <c r="M158" s="205"/>
      <c r="N158" s="168" t="s">
        <v>234</v>
      </c>
      <c r="R158" s="25"/>
    </row>
    <row r="159" spans="1:20" x14ac:dyDescent="0.3">
      <c r="B159" s="2" t="s">
        <v>557</v>
      </c>
      <c r="C159" s="2" t="s">
        <v>211</v>
      </c>
      <c r="D159" s="126" t="s">
        <v>1105</v>
      </c>
      <c r="E159" s="200" t="s">
        <v>1151</v>
      </c>
      <c r="F159" s="200"/>
      <c r="G159" s="200"/>
      <c r="H159" s="127" t="s">
        <v>200</v>
      </c>
      <c r="J159" s="201" t="s">
        <v>1156</v>
      </c>
      <c r="K159" s="202"/>
      <c r="L159" s="202"/>
      <c r="M159" s="203"/>
      <c r="N159" s="127" t="s">
        <v>200</v>
      </c>
      <c r="R159" s="25"/>
      <c r="T159" s="40"/>
    </row>
    <row r="160" spans="1:20" x14ac:dyDescent="0.3">
      <c r="B160" s="2"/>
      <c r="C160" s="55" t="s">
        <v>171</v>
      </c>
      <c r="D160" s="117"/>
      <c r="E160" s="148"/>
      <c r="F160" s="135"/>
      <c r="G160" s="135"/>
      <c r="H160" s="149"/>
      <c r="I160" s="135"/>
      <c r="J160" s="136"/>
      <c r="K160" s="149"/>
      <c r="L160" s="136"/>
      <c r="M160" s="137"/>
      <c r="N160" s="124"/>
      <c r="R160" s="25"/>
      <c r="T160" s="40"/>
    </row>
    <row r="161" spans="1:20" x14ac:dyDescent="0.3">
      <c r="B161" s="2" t="s">
        <v>552</v>
      </c>
      <c r="C161" s="56" t="s">
        <v>35</v>
      </c>
      <c r="D161" s="118"/>
      <c r="E161" s="199" t="s">
        <v>787</v>
      </c>
      <c r="F161" s="199"/>
      <c r="G161" s="199"/>
      <c r="H161" s="199"/>
      <c r="I161" s="199"/>
      <c r="J161" s="199"/>
      <c r="K161" s="199"/>
      <c r="L161" s="199"/>
      <c r="M161" s="199"/>
      <c r="N161" s="125" t="s">
        <v>200</v>
      </c>
      <c r="R161" s="25"/>
      <c r="T161" s="40"/>
    </row>
    <row r="162" spans="1:20" x14ac:dyDescent="0.3">
      <c r="B162" s="2" t="s">
        <v>552</v>
      </c>
      <c r="C162" s="56" t="s">
        <v>34</v>
      </c>
      <c r="D162" s="118" t="s">
        <v>1152</v>
      </c>
      <c r="E162" s="191" t="s">
        <v>176</v>
      </c>
      <c r="F162" s="191"/>
      <c r="G162" s="191"/>
      <c r="H162" s="159" t="s">
        <v>200</v>
      </c>
      <c r="I162" s="80"/>
      <c r="J162" s="191" t="s">
        <v>177</v>
      </c>
      <c r="K162" s="191"/>
      <c r="L162" s="191"/>
      <c r="M162" s="191"/>
      <c r="N162" s="125" t="s">
        <v>200</v>
      </c>
      <c r="R162" s="25"/>
      <c r="T162" s="40"/>
    </row>
    <row r="163" spans="1:20" x14ac:dyDescent="0.3">
      <c r="B163" s="2" t="s">
        <v>552</v>
      </c>
      <c r="C163" s="2" t="s">
        <v>62</v>
      </c>
      <c r="D163" s="114"/>
      <c r="E163" s="191" t="s">
        <v>412</v>
      </c>
      <c r="F163" s="191"/>
      <c r="G163" s="191"/>
      <c r="H163" s="191"/>
      <c r="I163" s="191"/>
      <c r="J163" s="191"/>
      <c r="K163" s="191"/>
      <c r="L163" s="191"/>
      <c r="M163" s="191"/>
      <c r="N163" s="125" t="s">
        <v>200</v>
      </c>
      <c r="R163" s="25"/>
      <c r="T163" s="40"/>
    </row>
    <row r="164" spans="1:20" x14ac:dyDescent="0.3">
      <c r="B164" s="2" t="s">
        <v>552</v>
      </c>
      <c r="C164" s="2" t="s">
        <v>63</v>
      </c>
      <c r="D164" s="114"/>
      <c r="E164" s="191" t="s">
        <v>450</v>
      </c>
      <c r="F164" s="191"/>
      <c r="G164" s="191"/>
      <c r="H164" s="191"/>
      <c r="I164" s="191"/>
      <c r="J164" s="191"/>
      <c r="K164" s="191"/>
      <c r="L164" s="191"/>
      <c r="M164" s="191"/>
      <c r="N164" s="125" t="s">
        <v>200</v>
      </c>
      <c r="R164" s="25"/>
      <c r="T164" s="40"/>
    </row>
    <row r="165" spans="1:20" x14ac:dyDescent="0.3">
      <c r="B165" s="2" t="s">
        <v>552</v>
      </c>
      <c r="C165" s="2" t="s">
        <v>64</v>
      </c>
      <c r="D165" s="114"/>
      <c r="E165" s="191" t="s">
        <v>451</v>
      </c>
      <c r="F165" s="191"/>
      <c r="G165" s="191"/>
      <c r="H165" s="191"/>
      <c r="I165" s="191"/>
      <c r="J165" s="191"/>
      <c r="K165" s="191"/>
      <c r="L165" s="191"/>
      <c r="M165" s="191"/>
      <c r="N165" s="125" t="s">
        <v>200</v>
      </c>
      <c r="R165" s="25"/>
      <c r="T165" s="40"/>
    </row>
    <row r="166" spans="1:20" x14ac:dyDescent="0.3">
      <c r="B166" s="2" t="s">
        <v>552</v>
      </c>
      <c r="C166" s="2" t="s">
        <v>65</v>
      </c>
      <c r="D166" s="114"/>
      <c r="E166" s="191" t="s">
        <v>452</v>
      </c>
      <c r="F166" s="191"/>
      <c r="G166" s="191"/>
      <c r="H166" s="191"/>
      <c r="I166" s="191"/>
      <c r="J166" s="191"/>
      <c r="K166" s="191"/>
      <c r="L166" s="191"/>
      <c r="M166" s="191"/>
      <c r="N166" s="125" t="s">
        <v>200</v>
      </c>
      <c r="R166" s="25"/>
      <c r="T166" s="40"/>
    </row>
    <row r="167" spans="1:20" x14ac:dyDescent="0.3">
      <c r="B167" s="2" t="s">
        <v>552</v>
      </c>
      <c r="C167" s="2" t="s">
        <v>66</v>
      </c>
      <c r="D167" s="114"/>
      <c r="E167" s="193" t="s">
        <v>1065</v>
      </c>
      <c r="F167" s="193"/>
      <c r="G167" s="193"/>
      <c r="H167" s="193"/>
      <c r="I167" s="193"/>
      <c r="J167" s="193"/>
      <c r="K167" s="193"/>
      <c r="L167" s="193"/>
      <c r="M167" s="193"/>
      <c r="N167" s="125" t="s">
        <v>240</v>
      </c>
      <c r="R167" s="25"/>
      <c r="T167" s="40"/>
    </row>
    <row r="168" spans="1:20" x14ac:dyDescent="0.3">
      <c r="B168" s="2" t="s">
        <v>552</v>
      </c>
      <c r="C168" s="2" t="s">
        <v>67</v>
      </c>
      <c r="D168" s="114"/>
      <c r="E168" s="194" t="s">
        <v>1069</v>
      </c>
      <c r="F168" s="194"/>
      <c r="G168" s="194"/>
      <c r="H168" s="194"/>
      <c r="I168" s="194"/>
      <c r="J168" s="194"/>
      <c r="K168" s="194"/>
      <c r="L168" s="194"/>
      <c r="M168" s="194"/>
      <c r="N168" s="125" t="s">
        <v>234</v>
      </c>
      <c r="R168" s="25"/>
      <c r="T168" s="40"/>
    </row>
    <row r="169" spans="1:20" x14ac:dyDescent="0.3">
      <c r="A169" s="89">
        <v>1</v>
      </c>
      <c r="B169" s="2"/>
      <c r="C169" s="55" t="s">
        <v>89</v>
      </c>
      <c r="E169" s="134"/>
      <c r="F169" s="135"/>
      <c r="G169" s="135"/>
      <c r="H169" s="135"/>
      <c r="I169" s="135"/>
      <c r="J169" s="136"/>
      <c r="K169" s="136"/>
      <c r="L169" s="136"/>
      <c r="M169" s="137"/>
      <c r="N169" s="5"/>
      <c r="Q169" s="8">
        <f>+COUNTIF(E169:N169,"A")+COUNTIF(E169:N169,"C")</f>
        <v>0</v>
      </c>
      <c r="R169" s="25">
        <f t="shared" ref="R169:R190" si="8">SUM(O169:P169)</f>
        <v>0</v>
      </c>
      <c r="T169" s="40"/>
    </row>
    <row r="170" spans="1:20" x14ac:dyDescent="0.3">
      <c r="B170" s="2" t="s">
        <v>685</v>
      </c>
      <c r="C170" s="56" t="s">
        <v>69</v>
      </c>
      <c r="D170" s="118"/>
      <c r="E170" s="191" t="s">
        <v>178</v>
      </c>
      <c r="F170" s="191"/>
      <c r="G170" s="191"/>
      <c r="H170" s="191"/>
      <c r="I170" s="191"/>
      <c r="J170" s="191"/>
      <c r="K170" s="191"/>
      <c r="L170" s="191"/>
      <c r="M170" s="191"/>
      <c r="N170" s="104" t="s">
        <v>200</v>
      </c>
      <c r="O170" s="8">
        <v>1</v>
      </c>
      <c r="R170" s="25">
        <f t="shared" si="8"/>
        <v>1</v>
      </c>
      <c r="T170" s="40"/>
    </row>
    <row r="171" spans="1:20" x14ac:dyDescent="0.3">
      <c r="B171" s="2" t="s">
        <v>685</v>
      </c>
      <c r="C171" s="56" t="s">
        <v>36</v>
      </c>
      <c r="D171" s="118"/>
      <c r="E171" s="192" t="s">
        <v>179</v>
      </c>
      <c r="F171" s="192"/>
      <c r="G171" s="192"/>
      <c r="H171" s="192"/>
      <c r="I171" s="192"/>
      <c r="J171" s="192"/>
      <c r="K171" s="192"/>
      <c r="L171" s="192"/>
      <c r="M171" s="192"/>
      <c r="N171" s="104" t="s">
        <v>200</v>
      </c>
      <c r="O171" s="8">
        <v>1</v>
      </c>
      <c r="R171" s="25">
        <f t="shared" si="8"/>
        <v>1</v>
      </c>
      <c r="T171" s="40"/>
    </row>
    <row r="172" spans="1:20" x14ac:dyDescent="0.3">
      <c r="A172" s="89">
        <v>1</v>
      </c>
      <c r="B172" s="2" t="s">
        <v>685</v>
      </c>
      <c r="C172" s="56" t="s">
        <v>36</v>
      </c>
      <c r="D172" s="118"/>
      <c r="E172" s="191" t="s">
        <v>180</v>
      </c>
      <c r="F172" s="191"/>
      <c r="G172" s="191"/>
      <c r="H172" s="191"/>
      <c r="I172" s="191"/>
      <c r="J172" s="191"/>
      <c r="K172" s="191"/>
      <c r="L172" s="191"/>
      <c r="M172" s="191"/>
      <c r="N172" s="104" t="s">
        <v>200</v>
      </c>
      <c r="P172" s="8">
        <v>1</v>
      </c>
      <c r="Q172" s="8">
        <f>+COUNTIF(E172:N172,"A")+COUNTIF(E172:N172,"C")</f>
        <v>1</v>
      </c>
      <c r="R172" s="25">
        <f t="shared" si="8"/>
        <v>1</v>
      </c>
      <c r="T172" s="40"/>
    </row>
    <row r="173" spans="1:20" x14ac:dyDescent="0.3">
      <c r="B173" s="2" t="s">
        <v>685</v>
      </c>
      <c r="C173" s="56" t="s">
        <v>37</v>
      </c>
      <c r="D173" s="118"/>
      <c r="E173" s="192" t="s">
        <v>637</v>
      </c>
      <c r="F173" s="192"/>
      <c r="G173" s="192"/>
      <c r="H173" s="192"/>
      <c r="I173" s="192"/>
      <c r="J173" s="192"/>
      <c r="K173" s="192"/>
      <c r="L173" s="192"/>
      <c r="M173" s="192"/>
      <c r="N173" s="104" t="s">
        <v>200</v>
      </c>
      <c r="O173" s="8">
        <v>1</v>
      </c>
      <c r="R173" s="25">
        <f t="shared" si="8"/>
        <v>1</v>
      </c>
      <c r="T173" s="40"/>
    </row>
    <row r="174" spans="1:20" x14ac:dyDescent="0.3">
      <c r="B174" s="2" t="s">
        <v>685</v>
      </c>
      <c r="C174" s="56" t="s">
        <v>38</v>
      </c>
      <c r="D174" s="118"/>
      <c r="E174" s="193" t="s">
        <v>1069</v>
      </c>
      <c r="F174" s="193"/>
      <c r="G174" s="193"/>
      <c r="H174" s="193"/>
      <c r="I174" s="193"/>
      <c r="J174" s="193"/>
      <c r="K174" s="193"/>
      <c r="L174" s="193"/>
      <c r="M174" s="193"/>
      <c r="N174" s="104" t="s">
        <v>234</v>
      </c>
      <c r="O174" s="8">
        <v>1</v>
      </c>
      <c r="R174" s="25">
        <f t="shared" si="8"/>
        <v>1</v>
      </c>
      <c r="T174" s="40"/>
    </row>
    <row r="175" spans="1:20" x14ac:dyDescent="0.3">
      <c r="A175" s="89">
        <v>1</v>
      </c>
      <c r="B175" s="2" t="s">
        <v>685</v>
      </c>
      <c r="C175" s="56" t="s">
        <v>70</v>
      </c>
      <c r="D175" s="118"/>
      <c r="E175" s="191" t="s">
        <v>537</v>
      </c>
      <c r="F175" s="191"/>
      <c r="G175" s="191"/>
      <c r="H175" s="191"/>
      <c r="I175" s="191"/>
      <c r="J175" s="191"/>
      <c r="K175" s="191"/>
      <c r="L175" s="191"/>
      <c r="M175" s="191"/>
      <c r="N175" s="104" t="s">
        <v>200</v>
      </c>
      <c r="P175" s="8">
        <v>1</v>
      </c>
      <c r="Q175" s="8">
        <f>+COUNTIF(E175:N175,"A")+COUNTIF(E175:N175,"C")</f>
        <v>1</v>
      </c>
      <c r="R175" s="25">
        <f t="shared" si="8"/>
        <v>1</v>
      </c>
      <c r="T175" s="40"/>
    </row>
    <row r="176" spans="1:20" x14ac:dyDescent="0.3">
      <c r="A176" s="89">
        <v>1</v>
      </c>
      <c r="B176" s="2" t="s">
        <v>685</v>
      </c>
      <c r="C176" s="56" t="s">
        <v>39</v>
      </c>
      <c r="D176" s="118"/>
      <c r="E176" s="191" t="s">
        <v>519</v>
      </c>
      <c r="F176" s="191"/>
      <c r="G176" s="191"/>
      <c r="H176" s="191"/>
      <c r="I176" s="191"/>
      <c r="J176" s="191"/>
      <c r="K176" s="191"/>
      <c r="L176" s="191"/>
      <c r="M176" s="191"/>
      <c r="N176" s="104" t="s">
        <v>200</v>
      </c>
      <c r="O176" s="8">
        <v>1</v>
      </c>
      <c r="Q176" s="8">
        <f>+COUNTIF(E176:N176,"A")+COUNTIF(E176:N176,"C")</f>
        <v>1</v>
      </c>
      <c r="R176" s="25">
        <f t="shared" si="8"/>
        <v>1</v>
      </c>
      <c r="T176" s="40"/>
    </row>
    <row r="177" spans="1:20" x14ac:dyDescent="0.3">
      <c r="B177" s="2" t="s">
        <v>685</v>
      </c>
      <c r="C177" s="56" t="s">
        <v>174</v>
      </c>
      <c r="D177" s="118"/>
      <c r="E177" s="200" t="s">
        <v>521</v>
      </c>
      <c r="F177" s="200"/>
      <c r="G177" s="200"/>
      <c r="H177" s="140" t="s">
        <v>200</v>
      </c>
      <c r="I177" s="141"/>
      <c r="J177" s="200" t="s">
        <v>589</v>
      </c>
      <c r="K177" s="200"/>
      <c r="L177" s="200"/>
      <c r="M177" s="200"/>
      <c r="N177" s="104" t="s">
        <v>200</v>
      </c>
      <c r="P177" s="8">
        <v>1</v>
      </c>
      <c r="R177" s="25">
        <f t="shared" si="8"/>
        <v>1</v>
      </c>
      <c r="T177" s="40"/>
    </row>
    <row r="178" spans="1:20" x14ac:dyDescent="0.3">
      <c r="B178" s="2" t="s">
        <v>685</v>
      </c>
      <c r="C178" s="56" t="s">
        <v>43</v>
      </c>
      <c r="D178" s="118"/>
      <c r="E178" s="192" t="s">
        <v>182</v>
      </c>
      <c r="F178" s="192"/>
      <c r="G178" s="192"/>
      <c r="H178" s="192"/>
      <c r="I178" s="192"/>
      <c r="J178" s="192"/>
      <c r="K178" s="192"/>
      <c r="L178" s="192"/>
      <c r="M178" s="192"/>
      <c r="N178" s="104" t="s">
        <v>200</v>
      </c>
      <c r="O178" s="8">
        <v>1</v>
      </c>
      <c r="R178" s="25">
        <f t="shared" si="8"/>
        <v>1</v>
      </c>
      <c r="T178" s="40"/>
    </row>
    <row r="179" spans="1:20" x14ac:dyDescent="0.3">
      <c r="B179" s="2" t="s">
        <v>685</v>
      </c>
      <c r="C179" s="56" t="s">
        <v>40</v>
      </c>
      <c r="D179" s="118"/>
      <c r="E179" s="192" t="s">
        <v>183</v>
      </c>
      <c r="F179" s="192"/>
      <c r="G179" s="192"/>
      <c r="H179" s="192"/>
      <c r="I179" s="192"/>
      <c r="J179" s="192"/>
      <c r="K179" s="192"/>
      <c r="L179" s="192"/>
      <c r="M179" s="192"/>
      <c r="N179" s="104" t="s">
        <v>200</v>
      </c>
      <c r="O179" s="8">
        <v>1</v>
      </c>
      <c r="R179" s="25">
        <f t="shared" si="8"/>
        <v>1</v>
      </c>
      <c r="T179" s="40"/>
    </row>
    <row r="180" spans="1:20" x14ac:dyDescent="0.3">
      <c r="B180" s="2" t="s">
        <v>685</v>
      </c>
      <c r="C180" s="56" t="s">
        <v>42</v>
      </c>
      <c r="D180" s="118"/>
      <c r="E180" s="192" t="s">
        <v>184</v>
      </c>
      <c r="F180" s="192"/>
      <c r="G180" s="192"/>
      <c r="H180" s="192"/>
      <c r="I180" s="192"/>
      <c r="J180" s="192"/>
      <c r="K180" s="192"/>
      <c r="L180" s="192"/>
      <c r="M180" s="192"/>
      <c r="N180" s="104" t="s">
        <v>200</v>
      </c>
      <c r="O180" s="8">
        <v>1</v>
      </c>
      <c r="R180" s="25">
        <f t="shared" si="8"/>
        <v>1</v>
      </c>
      <c r="T180" s="40"/>
    </row>
    <row r="181" spans="1:20" x14ac:dyDescent="0.3">
      <c r="A181" s="89">
        <v>1</v>
      </c>
      <c r="B181" s="2" t="s">
        <v>685</v>
      </c>
      <c r="C181" s="56" t="s">
        <v>525</v>
      </c>
      <c r="D181" s="118"/>
      <c r="E181" s="191" t="s">
        <v>703</v>
      </c>
      <c r="F181" s="191"/>
      <c r="G181" s="191"/>
      <c r="H181" s="191"/>
      <c r="I181" s="191"/>
      <c r="J181" s="191"/>
      <c r="K181" s="191"/>
      <c r="L181" s="191"/>
      <c r="M181" s="191"/>
      <c r="N181" s="104" t="s">
        <v>200</v>
      </c>
      <c r="P181" s="8">
        <v>1</v>
      </c>
      <c r="Q181" s="8">
        <f>+COUNTIF(E181:N181,"A")+COUNTIF(E181:N181,"C")</f>
        <v>1</v>
      </c>
      <c r="R181" s="25">
        <f t="shared" si="8"/>
        <v>1</v>
      </c>
      <c r="T181" s="40"/>
    </row>
    <row r="182" spans="1:20" x14ac:dyDescent="0.3">
      <c r="A182" s="89">
        <v>1</v>
      </c>
      <c r="B182" s="2" t="s">
        <v>685</v>
      </c>
      <c r="C182" s="57" t="s">
        <v>185</v>
      </c>
      <c r="D182" s="113"/>
      <c r="E182" s="193" t="s">
        <v>1069</v>
      </c>
      <c r="F182" s="193"/>
      <c r="G182" s="193"/>
      <c r="H182" s="193"/>
      <c r="I182" s="193"/>
      <c r="J182" s="193"/>
      <c r="K182" s="193"/>
      <c r="L182" s="193"/>
      <c r="M182" s="193"/>
      <c r="N182" s="104" t="s">
        <v>234</v>
      </c>
      <c r="P182" s="8">
        <v>1</v>
      </c>
      <c r="Q182" s="8">
        <f>+COUNTIF(E182:N182,"A")+COUNTIF(E182:N182,"C")</f>
        <v>0</v>
      </c>
      <c r="R182" s="25">
        <f t="shared" si="8"/>
        <v>1</v>
      </c>
      <c r="T182" s="40"/>
    </row>
    <row r="183" spans="1:20" x14ac:dyDescent="0.3">
      <c r="B183" s="2" t="s">
        <v>685</v>
      </c>
      <c r="C183" s="57" t="s">
        <v>185</v>
      </c>
      <c r="D183" s="113"/>
      <c r="E183" s="200" t="s">
        <v>730</v>
      </c>
      <c r="F183" s="200"/>
      <c r="G183" s="200"/>
      <c r="H183" s="200"/>
      <c r="I183" s="200"/>
      <c r="J183" s="200"/>
      <c r="K183" s="200"/>
      <c r="L183" s="200"/>
      <c r="M183" s="200"/>
      <c r="N183" s="104" t="s">
        <v>200</v>
      </c>
      <c r="R183" s="25"/>
      <c r="T183" s="40"/>
    </row>
    <row r="184" spans="1:20" x14ac:dyDescent="0.3">
      <c r="A184" s="89">
        <v>1</v>
      </c>
      <c r="B184" s="2"/>
      <c r="C184" s="58" t="s">
        <v>90</v>
      </c>
      <c r="E184" s="142"/>
      <c r="F184" s="143"/>
      <c r="G184" s="143"/>
      <c r="H184" s="143"/>
      <c r="I184" s="143"/>
      <c r="J184" s="143"/>
      <c r="K184" s="143"/>
      <c r="L184" s="143"/>
      <c r="M184" s="144"/>
      <c r="N184" s="104"/>
      <c r="Q184" s="8">
        <f>+COUNTIF(E184:N184,"A")+COUNTIF(E184:N184,"C")</f>
        <v>0</v>
      </c>
      <c r="R184" s="25">
        <f t="shared" si="8"/>
        <v>0</v>
      </c>
      <c r="T184" s="40"/>
    </row>
    <row r="185" spans="1:20" ht="13.5" customHeight="1" x14ac:dyDescent="0.3">
      <c r="B185" s="2" t="s">
        <v>686</v>
      </c>
      <c r="C185" s="56" t="s">
        <v>45</v>
      </c>
      <c r="D185" s="118"/>
      <c r="E185" s="192" t="s">
        <v>187</v>
      </c>
      <c r="F185" s="192"/>
      <c r="G185" s="192"/>
      <c r="H185" s="192"/>
      <c r="I185" s="192"/>
      <c r="J185" s="192"/>
      <c r="K185" s="192"/>
      <c r="L185" s="192"/>
      <c r="M185" s="192"/>
      <c r="N185" s="104" t="s">
        <v>200</v>
      </c>
      <c r="O185" s="8">
        <v>1</v>
      </c>
      <c r="R185" s="25">
        <f t="shared" si="8"/>
        <v>1</v>
      </c>
      <c r="T185" s="40"/>
    </row>
    <row r="186" spans="1:20" x14ac:dyDescent="0.3">
      <c r="B186" s="2" t="s">
        <v>686</v>
      </c>
      <c r="C186" s="57" t="s">
        <v>46</v>
      </c>
      <c r="D186" s="113"/>
      <c r="E186" s="192" t="s">
        <v>689</v>
      </c>
      <c r="F186" s="192"/>
      <c r="G186" s="192"/>
      <c r="H186" s="192"/>
      <c r="I186" s="192"/>
      <c r="J186" s="192"/>
      <c r="K186" s="192"/>
      <c r="L186" s="192"/>
      <c r="M186" s="192"/>
      <c r="N186" s="104" t="s">
        <v>200</v>
      </c>
      <c r="O186" s="8">
        <v>1</v>
      </c>
      <c r="R186" s="25">
        <f t="shared" si="8"/>
        <v>1</v>
      </c>
      <c r="T186" s="40"/>
    </row>
    <row r="187" spans="1:20" x14ac:dyDescent="0.3">
      <c r="B187" s="2" t="s">
        <v>686</v>
      </c>
      <c r="C187" s="56" t="s">
        <v>46</v>
      </c>
      <c r="D187" s="118"/>
      <c r="E187" s="192" t="s">
        <v>191</v>
      </c>
      <c r="F187" s="192"/>
      <c r="G187" s="192"/>
      <c r="H187" s="192"/>
      <c r="I187" s="192"/>
      <c r="J187" s="192"/>
      <c r="K187" s="192"/>
      <c r="L187" s="192"/>
      <c r="M187" s="192"/>
      <c r="N187" s="104" t="s">
        <v>200</v>
      </c>
      <c r="O187" s="8">
        <v>1</v>
      </c>
      <c r="R187" s="25">
        <f t="shared" si="8"/>
        <v>1</v>
      </c>
      <c r="T187" s="40"/>
    </row>
    <row r="188" spans="1:20" x14ac:dyDescent="0.3">
      <c r="B188" s="2" t="s">
        <v>686</v>
      </c>
      <c r="C188" s="56" t="s">
        <v>32</v>
      </c>
      <c r="D188" s="118"/>
      <c r="E188" s="191" t="s">
        <v>192</v>
      </c>
      <c r="F188" s="191"/>
      <c r="G188" s="191"/>
      <c r="H188" s="191"/>
      <c r="I188" s="191"/>
      <c r="J188" s="191"/>
      <c r="K188" s="191"/>
      <c r="L188" s="191"/>
      <c r="M188" s="191"/>
      <c r="N188" s="104" t="s">
        <v>200</v>
      </c>
      <c r="O188" s="8">
        <v>1</v>
      </c>
      <c r="R188" s="25">
        <f t="shared" si="8"/>
        <v>1</v>
      </c>
      <c r="T188" s="40"/>
    </row>
    <row r="189" spans="1:20" x14ac:dyDescent="0.3">
      <c r="A189" s="89">
        <v>1</v>
      </c>
      <c r="B189" s="2" t="s">
        <v>686</v>
      </c>
      <c r="C189" s="56" t="s">
        <v>74</v>
      </c>
      <c r="D189" s="118"/>
      <c r="E189" s="191" t="s">
        <v>193</v>
      </c>
      <c r="F189" s="191"/>
      <c r="G189" s="191"/>
      <c r="H189" s="191"/>
      <c r="I189" s="191"/>
      <c r="J189" s="191"/>
      <c r="K189" s="191"/>
      <c r="L189" s="191"/>
      <c r="M189" s="191"/>
      <c r="N189" s="104" t="s">
        <v>200</v>
      </c>
      <c r="P189" s="8">
        <v>1</v>
      </c>
      <c r="Q189" s="8">
        <f>+COUNTIF(E189:N189,"A")+COUNTIF(E189:N189,"C")</f>
        <v>1</v>
      </c>
      <c r="R189" s="25">
        <f t="shared" si="8"/>
        <v>1</v>
      </c>
      <c r="T189" s="40"/>
    </row>
    <row r="190" spans="1:20" x14ac:dyDescent="0.3">
      <c r="A190" s="89">
        <v>1</v>
      </c>
      <c r="B190" s="2" t="s">
        <v>686</v>
      </c>
      <c r="C190" s="56" t="s">
        <v>75</v>
      </c>
      <c r="D190" s="118"/>
      <c r="E190" s="191" t="s">
        <v>601</v>
      </c>
      <c r="F190" s="191"/>
      <c r="G190" s="191"/>
      <c r="H190" s="191"/>
      <c r="I190" s="191"/>
      <c r="J190" s="191"/>
      <c r="K190" s="191"/>
      <c r="L190" s="191"/>
      <c r="M190" s="191"/>
      <c r="N190" s="104" t="s">
        <v>200</v>
      </c>
      <c r="P190" s="8">
        <v>1</v>
      </c>
      <c r="Q190" s="8">
        <f>+COUNTIF(E190:N190,"A")+COUNTIF(E190:N190,"C")</f>
        <v>1</v>
      </c>
      <c r="R190" s="25">
        <f t="shared" si="8"/>
        <v>1</v>
      </c>
      <c r="T190" s="40"/>
    </row>
    <row r="191" spans="1:20" x14ac:dyDescent="0.3">
      <c r="B191" s="2" t="s">
        <v>686</v>
      </c>
      <c r="C191" s="59" t="s">
        <v>545</v>
      </c>
      <c r="D191" s="117"/>
      <c r="E191" s="206" t="s">
        <v>681</v>
      </c>
      <c r="F191" s="206"/>
      <c r="G191" s="206"/>
      <c r="H191" s="206"/>
      <c r="I191" s="206"/>
      <c r="J191" s="206"/>
      <c r="K191" s="206"/>
      <c r="L191" s="206"/>
      <c r="M191" s="206"/>
      <c r="N191" s="104" t="s">
        <v>200</v>
      </c>
      <c r="R191" s="25"/>
      <c r="T191" s="40"/>
    </row>
    <row r="192" spans="1:20" x14ac:dyDescent="0.3">
      <c r="B192" s="2" t="s">
        <v>693</v>
      </c>
      <c r="C192" s="55" t="s">
        <v>91</v>
      </c>
      <c r="E192" s="145"/>
      <c r="F192" s="146"/>
      <c r="G192" s="146"/>
      <c r="H192" s="146"/>
      <c r="I192" s="146"/>
      <c r="J192" s="146"/>
      <c r="K192" s="146"/>
      <c r="L192" s="146"/>
      <c r="M192" s="147"/>
      <c r="N192" s="104"/>
      <c r="R192" s="25">
        <f t="shared" ref="R192:R203" si="9">SUM(O192:P192)</f>
        <v>0</v>
      </c>
      <c r="T192" s="40"/>
    </row>
    <row r="193" spans="1:20" x14ac:dyDescent="0.3">
      <c r="B193" s="2" t="s">
        <v>693</v>
      </c>
      <c r="C193" s="56" t="s">
        <v>44</v>
      </c>
      <c r="D193" s="118"/>
      <c r="E193" s="192" t="s">
        <v>449</v>
      </c>
      <c r="F193" s="192"/>
      <c r="G193" s="192"/>
      <c r="H193" s="192"/>
      <c r="I193" s="192"/>
      <c r="J193" s="192"/>
      <c r="K193" s="192"/>
      <c r="L193" s="192"/>
      <c r="M193" s="192"/>
      <c r="N193" s="104" t="s">
        <v>200</v>
      </c>
      <c r="O193" s="8">
        <v>1</v>
      </c>
      <c r="R193" s="25">
        <f t="shared" si="9"/>
        <v>1</v>
      </c>
      <c r="T193" s="40"/>
    </row>
    <row r="194" spans="1:20" x14ac:dyDescent="0.3">
      <c r="B194" s="2" t="s">
        <v>693</v>
      </c>
      <c r="C194" s="56" t="s">
        <v>47</v>
      </c>
      <c r="D194" s="118"/>
      <c r="E194" s="192" t="s">
        <v>188</v>
      </c>
      <c r="F194" s="192"/>
      <c r="G194" s="192"/>
      <c r="H194" s="192"/>
      <c r="I194" s="192"/>
      <c r="J194" s="192"/>
      <c r="K194" s="192"/>
      <c r="L194" s="192"/>
      <c r="M194" s="192"/>
      <c r="N194" s="104" t="s">
        <v>200</v>
      </c>
      <c r="O194" s="8">
        <v>1</v>
      </c>
      <c r="R194" s="25">
        <f t="shared" si="9"/>
        <v>1</v>
      </c>
      <c r="T194" s="40"/>
    </row>
    <row r="195" spans="1:20" x14ac:dyDescent="0.3">
      <c r="B195" s="2" t="s">
        <v>693</v>
      </c>
      <c r="C195" s="56" t="s">
        <v>47</v>
      </c>
      <c r="D195" s="118"/>
      <c r="E195" s="192" t="s">
        <v>189</v>
      </c>
      <c r="F195" s="192"/>
      <c r="G195" s="192"/>
      <c r="H195" s="192"/>
      <c r="I195" s="192"/>
      <c r="J195" s="192"/>
      <c r="K195" s="192"/>
      <c r="L195" s="192"/>
      <c r="M195" s="192"/>
      <c r="N195" s="104" t="s">
        <v>200</v>
      </c>
      <c r="O195" s="8">
        <v>1</v>
      </c>
      <c r="R195" s="25">
        <f t="shared" si="9"/>
        <v>1</v>
      </c>
      <c r="T195" s="40"/>
    </row>
    <row r="196" spans="1:20" x14ac:dyDescent="0.3">
      <c r="B196" s="2" t="s">
        <v>693</v>
      </c>
      <c r="C196" s="56" t="s">
        <v>47</v>
      </c>
      <c r="D196" s="118"/>
      <c r="E196" s="207" t="s">
        <v>1060</v>
      </c>
      <c r="F196" s="208"/>
      <c r="G196" s="208"/>
      <c r="H196" s="208"/>
      <c r="I196" s="208"/>
      <c r="J196" s="208"/>
      <c r="K196" s="208"/>
      <c r="L196" s="208"/>
      <c r="M196" s="208"/>
      <c r="N196" s="104"/>
      <c r="P196" s="8">
        <v>1</v>
      </c>
      <c r="Q196" s="8">
        <v>1</v>
      </c>
      <c r="R196" s="25">
        <f t="shared" si="9"/>
        <v>1</v>
      </c>
      <c r="T196" s="40"/>
    </row>
    <row r="197" spans="1:20" x14ac:dyDescent="0.3">
      <c r="B197" s="2" t="s">
        <v>693</v>
      </c>
      <c r="C197" s="56" t="s">
        <v>48</v>
      </c>
      <c r="D197" s="118"/>
      <c r="E197" s="192" t="s">
        <v>424</v>
      </c>
      <c r="F197" s="192"/>
      <c r="G197" s="192"/>
      <c r="H197" s="2" t="s">
        <v>200</v>
      </c>
      <c r="J197" s="169"/>
      <c r="K197" s="169"/>
      <c r="L197" s="169"/>
      <c r="M197" s="201"/>
      <c r="N197" s="104"/>
      <c r="O197" s="8">
        <v>1</v>
      </c>
      <c r="R197" s="25">
        <f t="shared" si="9"/>
        <v>1</v>
      </c>
      <c r="T197" s="40"/>
    </row>
    <row r="198" spans="1:20" x14ac:dyDescent="0.3">
      <c r="B198" s="2" t="s">
        <v>693</v>
      </c>
      <c r="C198" s="56" t="s">
        <v>49</v>
      </c>
      <c r="D198" s="118"/>
      <c r="E198" s="177" t="s">
        <v>638</v>
      </c>
      <c r="F198" s="178"/>
      <c r="G198" s="178"/>
      <c r="H198" s="178"/>
      <c r="I198" s="178"/>
      <c r="J198" s="178"/>
      <c r="K198" s="178"/>
      <c r="L198" s="178"/>
      <c r="M198" s="178"/>
      <c r="N198" s="138"/>
      <c r="O198" s="8">
        <v>1</v>
      </c>
      <c r="R198" s="25">
        <f t="shared" si="9"/>
        <v>1</v>
      </c>
      <c r="T198" s="40"/>
    </row>
    <row r="199" spans="1:20" x14ac:dyDescent="0.3">
      <c r="B199" s="2" t="s">
        <v>555</v>
      </c>
      <c r="C199" s="12" t="s">
        <v>87</v>
      </c>
      <c r="D199" s="119"/>
      <c r="E199" s="146"/>
      <c r="F199" s="146"/>
      <c r="G199" s="146"/>
      <c r="H199" s="146"/>
      <c r="I199" s="146"/>
      <c r="J199" s="146"/>
      <c r="K199" s="146"/>
      <c r="L199" s="146"/>
      <c r="M199" s="146"/>
      <c r="N199" s="104" t="s">
        <v>200</v>
      </c>
      <c r="R199" s="25">
        <f t="shared" si="9"/>
        <v>0</v>
      </c>
      <c r="T199" s="40"/>
    </row>
    <row r="200" spans="1:20" x14ac:dyDescent="0.3">
      <c r="B200" s="2" t="s">
        <v>555</v>
      </c>
      <c r="C200" s="56" t="s">
        <v>50</v>
      </c>
      <c r="D200" s="118"/>
      <c r="E200" s="183" t="s">
        <v>195</v>
      </c>
      <c r="F200" s="184"/>
      <c r="G200" s="184"/>
      <c r="H200" s="184"/>
      <c r="I200" s="184"/>
      <c r="J200" s="184"/>
      <c r="K200" s="184"/>
      <c r="L200" s="184"/>
      <c r="M200" s="184"/>
      <c r="N200" s="104"/>
      <c r="O200" s="8">
        <v>1</v>
      </c>
      <c r="R200" s="25">
        <f t="shared" si="9"/>
        <v>1</v>
      </c>
      <c r="T200" s="40"/>
    </row>
    <row r="201" spans="1:20" x14ac:dyDescent="0.3">
      <c r="A201" s="89">
        <v>1</v>
      </c>
      <c r="B201" s="2" t="s">
        <v>687</v>
      </c>
      <c r="C201" s="55" t="s">
        <v>88</v>
      </c>
      <c r="E201" s="146"/>
      <c r="F201" s="146"/>
      <c r="G201" s="146"/>
      <c r="H201" s="146"/>
      <c r="I201" s="146"/>
      <c r="J201" s="146"/>
      <c r="K201" s="146"/>
      <c r="L201" s="146"/>
      <c r="M201" s="146"/>
      <c r="N201" s="146"/>
      <c r="Q201" s="8">
        <f>+COUNTIF(E201:N201,"A")+COUNTIF(E201:N201,"C")</f>
        <v>0</v>
      </c>
      <c r="R201" s="25">
        <f t="shared" si="9"/>
        <v>0</v>
      </c>
      <c r="T201" s="40"/>
    </row>
    <row r="202" spans="1:20" x14ac:dyDescent="0.3">
      <c r="B202" s="2" t="s">
        <v>687</v>
      </c>
      <c r="C202" s="2" t="s">
        <v>41</v>
      </c>
      <c r="D202" s="114"/>
      <c r="E202" s="191" t="s">
        <v>197</v>
      </c>
      <c r="F202" s="191"/>
      <c r="G202" s="191"/>
      <c r="H202" s="191"/>
      <c r="I202" s="191"/>
      <c r="J202" s="191"/>
      <c r="K202" s="191"/>
      <c r="L202" s="191"/>
      <c r="M202" s="180"/>
      <c r="N202" s="104" t="s">
        <v>200</v>
      </c>
      <c r="O202" s="8">
        <v>1</v>
      </c>
      <c r="R202" s="25">
        <f t="shared" si="9"/>
        <v>1</v>
      </c>
      <c r="T202" s="40"/>
    </row>
    <row r="203" spans="1:20" x14ac:dyDescent="0.3">
      <c r="A203" s="89">
        <v>1</v>
      </c>
      <c r="B203" s="2" t="s">
        <v>687</v>
      </c>
      <c r="C203" s="2" t="s">
        <v>57</v>
      </c>
      <c r="D203" s="114"/>
      <c r="E203" s="193" t="s">
        <v>1069</v>
      </c>
      <c r="F203" s="193"/>
      <c r="G203" s="193"/>
      <c r="H203" s="193"/>
      <c r="I203" s="193"/>
      <c r="J203" s="193"/>
      <c r="K203" s="193"/>
      <c r="L203" s="193"/>
      <c r="M203" s="188"/>
      <c r="N203" s="104" t="s">
        <v>200</v>
      </c>
      <c r="P203" s="8">
        <v>1</v>
      </c>
      <c r="Q203" s="8">
        <f>+COUNTIF(E203:N203,"A")+COUNTIF(E203:N203,"C")</f>
        <v>1</v>
      </c>
      <c r="R203" s="25">
        <f t="shared" si="9"/>
        <v>1</v>
      </c>
      <c r="T203" s="40"/>
    </row>
    <row r="204" spans="1:20" s="1" customFormat="1" x14ac:dyDescent="0.3">
      <c r="A204" s="89">
        <v>1</v>
      </c>
      <c r="B204" s="2" t="s">
        <v>687</v>
      </c>
      <c r="C204" s="5" t="s">
        <v>198</v>
      </c>
      <c r="D204" s="104"/>
      <c r="E204" s="169" t="s">
        <v>199</v>
      </c>
      <c r="F204" s="169"/>
      <c r="G204" s="169"/>
      <c r="H204" s="169"/>
      <c r="I204" s="169"/>
      <c r="J204" s="169"/>
      <c r="K204" s="169"/>
      <c r="L204" s="169"/>
      <c r="M204" s="201"/>
      <c r="N204" s="104" t="s">
        <v>200</v>
      </c>
      <c r="O204" s="8"/>
      <c r="P204" s="8">
        <v>1</v>
      </c>
      <c r="Q204" s="8">
        <f>+COUNTIF(E204:N204,"A")+COUNTIF(E204:N204,"C")</f>
        <v>1</v>
      </c>
      <c r="R204" s="25">
        <f>SUM(O204:P204)</f>
        <v>1</v>
      </c>
      <c r="T204" s="40"/>
    </row>
    <row r="205" spans="1:20" s="1" customFormat="1" x14ac:dyDescent="0.3">
      <c r="A205" s="89"/>
      <c r="B205" s="2" t="s">
        <v>687</v>
      </c>
      <c r="C205" s="5" t="s">
        <v>137</v>
      </c>
      <c r="D205" s="104"/>
      <c r="E205" s="169" t="s">
        <v>479</v>
      </c>
      <c r="F205" s="169"/>
      <c r="G205" s="169"/>
      <c r="H205" s="169"/>
      <c r="I205" s="169"/>
      <c r="J205" s="169"/>
      <c r="K205" s="169"/>
      <c r="L205" s="169"/>
      <c r="M205" s="201"/>
      <c r="N205" s="104" t="s">
        <v>200</v>
      </c>
      <c r="O205" s="8"/>
      <c r="P205" s="8"/>
      <c r="Q205" s="8"/>
      <c r="R205" s="25"/>
      <c r="T205" s="40"/>
    </row>
    <row r="206" spans="1:20" s="1" customFormat="1" x14ac:dyDescent="0.3">
      <c r="A206" s="89"/>
      <c r="B206" s="2" t="s">
        <v>687</v>
      </c>
      <c r="C206" s="5" t="s">
        <v>19</v>
      </c>
      <c r="D206" s="104"/>
      <c r="E206" s="169" t="s">
        <v>731</v>
      </c>
      <c r="F206" s="169"/>
      <c r="G206" s="169"/>
      <c r="H206" s="169"/>
      <c r="I206" s="169"/>
      <c r="J206" s="169"/>
      <c r="K206" s="169"/>
      <c r="L206" s="169"/>
      <c r="M206" s="201"/>
      <c r="N206" s="104" t="s">
        <v>200</v>
      </c>
      <c r="O206" s="8"/>
      <c r="P206" s="8"/>
      <c r="Q206" s="8"/>
      <c r="R206" s="25"/>
      <c r="T206" s="40"/>
    </row>
    <row r="207" spans="1:20" x14ac:dyDescent="0.3">
      <c r="T207" s="40"/>
    </row>
    <row r="208" spans="1:20" x14ac:dyDescent="0.3">
      <c r="E208" s="13" t="s">
        <v>152</v>
      </c>
      <c r="F208" s="13">
        <f>COUNTIF(F164:F206,"A")</f>
        <v>0</v>
      </c>
      <c r="O208" s="9">
        <f>SUM(O4:O204)</f>
        <v>245</v>
      </c>
      <c r="P208" s="9">
        <f>SUM(P4:P204)-4</f>
        <v>148</v>
      </c>
      <c r="Q208" s="9">
        <f>SUM(Q4:Q204)</f>
        <v>138</v>
      </c>
      <c r="R208" s="8">
        <f>SUM(R3:R204)</f>
        <v>397</v>
      </c>
      <c r="T208" s="40"/>
    </row>
    <row r="209" spans="3:20" x14ac:dyDescent="0.3">
      <c r="E209" s="13" t="s">
        <v>695</v>
      </c>
      <c r="F209" s="13">
        <f>COUNTIF(F164:F205,"S")</f>
        <v>0</v>
      </c>
      <c r="O209" s="9"/>
      <c r="P209" s="9"/>
      <c r="Q209" s="9"/>
      <c r="T209" s="40"/>
    </row>
    <row r="210" spans="3:20" x14ac:dyDescent="0.3">
      <c r="E210" s="13" t="s">
        <v>153</v>
      </c>
      <c r="F210" s="13">
        <f>COUNTIF(F164:F205,"C")</f>
        <v>0</v>
      </c>
      <c r="P210" s="9">
        <f>SUM(P5:P168)-4</f>
        <v>138</v>
      </c>
      <c r="Q210" s="9">
        <f>SUM(Q5:Q116)</f>
        <v>129</v>
      </c>
      <c r="T210" s="40"/>
    </row>
    <row r="211" spans="3:20" x14ac:dyDescent="0.3">
      <c r="E211" s="13" t="s">
        <v>154</v>
      </c>
      <c r="F211" s="13">
        <f>COUNTIF(F164:F206,"P")</f>
        <v>0</v>
      </c>
      <c r="Q211" s="52">
        <f>+Q210/P210</f>
        <v>0.93478260869565222</v>
      </c>
      <c r="T211" s="40"/>
    </row>
    <row r="212" spans="3:20" x14ac:dyDescent="0.3">
      <c r="E212" s="13" t="s">
        <v>155</v>
      </c>
      <c r="F212" s="13">
        <f>COUNTIF(F164:F205,"V")</f>
        <v>0</v>
      </c>
      <c r="Q212" s="52">
        <f>+Q208/P208</f>
        <v>0.93243243243243246</v>
      </c>
      <c r="T212" s="40"/>
    </row>
    <row r="213" spans="3:20" x14ac:dyDescent="0.3">
      <c r="E213" s="13" t="s">
        <v>156</v>
      </c>
      <c r="F213" s="13"/>
      <c r="T213" s="40"/>
    </row>
    <row r="214" spans="3:20" x14ac:dyDescent="0.3">
      <c r="E214" s="13" t="s">
        <v>53</v>
      </c>
      <c r="T214" s="40"/>
    </row>
    <row r="215" spans="3:20" x14ac:dyDescent="0.3">
      <c r="T215" s="40"/>
    </row>
    <row r="216" spans="3:20" x14ac:dyDescent="0.3">
      <c r="T216" s="40"/>
    </row>
    <row r="217" spans="3:20" x14ac:dyDescent="0.3">
      <c r="T217" s="40"/>
    </row>
    <row r="218" spans="3:20" x14ac:dyDescent="0.3">
      <c r="T218" s="40"/>
    </row>
    <row r="219" spans="3:20" hidden="1" x14ac:dyDescent="0.3">
      <c r="C219" s="21" t="s">
        <v>425</v>
      </c>
      <c r="E219" s="22">
        <f>F124+F126</f>
        <v>87</v>
      </c>
      <c r="T219" s="40"/>
    </row>
    <row r="220" spans="3:20" hidden="1" x14ac:dyDescent="0.3">
      <c r="C220" s="21" t="s">
        <v>426</v>
      </c>
      <c r="E220" s="22">
        <f>H124+H126</f>
        <v>86</v>
      </c>
      <c r="T220" s="40"/>
    </row>
    <row r="221" spans="3:20" hidden="1" x14ac:dyDescent="0.3">
      <c r="C221" s="21" t="s">
        <v>427</v>
      </c>
      <c r="E221" s="22">
        <f>K124+K126</f>
        <v>86</v>
      </c>
      <c r="T221" s="40"/>
    </row>
    <row r="222" spans="3:20" hidden="1" x14ac:dyDescent="0.3">
      <c r="C222" s="21" t="s">
        <v>428</v>
      </c>
      <c r="E222" s="22">
        <f>N124+N126</f>
        <v>83</v>
      </c>
      <c r="T222" s="40"/>
    </row>
    <row r="223" spans="3:20" hidden="1" x14ac:dyDescent="0.3">
      <c r="C223" s="21" t="s">
        <v>429</v>
      </c>
      <c r="E223" s="22">
        <f>F208+F210</f>
        <v>0</v>
      </c>
      <c r="T223" s="40"/>
    </row>
    <row r="224" spans="3:20" hidden="1" x14ac:dyDescent="0.3">
      <c r="C224" s="21" t="s">
        <v>53</v>
      </c>
      <c r="E224">
        <f>SUM(E219:E223)</f>
        <v>342</v>
      </c>
      <c r="T224" s="40"/>
    </row>
    <row r="225" spans="3:20" hidden="1" x14ac:dyDescent="0.3">
      <c r="T225" s="40"/>
    </row>
    <row r="226" spans="3:20" hidden="1" x14ac:dyDescent="0.3">
      <c r="C226" s="21" t="s">
        <v>431</v>
      </c>
      <c r="E226">
        <f>E224+'[1]Sindicato y LM'!D17</f>
        <v>348</v>
      </c>
      <c r="T226" s="40"/>
    </row>
    <row r="227" spans="3:20" hidden="1" x14ac:dyDescent="0.3">
      <c r="T227" s="40"/>
    </row>
    <row r="228" spans="3:20" x14ac:dyDescent="0.3">
      <c r="T228" s="40"/>
    </row>
    <row r="229" spans="3:20" x14ac:dyDescent="0.3">
      <c r="T229" s="40"/>
    </row>
    <row r="230" spans="3:20" x14ac:dyDescent="0.3">
      <c r="T230" s="40"/>
    </row>
    <row r="231" spans="3:20" x14ac:dyDescent="0.3">
      <c r="T231" s="40"/>
    </row>
    <row r="232" spans="3:20" x14ac:dyDescent="0.3">
      <c r="E232" s="21" t="s">
        <v>732</v>
      </c>
      <c r="F232" s="82">
        <v>46034</v>
      </c>
      <c r="T232" s="40"/>
    </row>
    <row r="233" spans="3:20" x14ac:dyDescent="0.3">
      <c r="E233" s="83"/>
      <c r="F233" s="84">
        <v>46038</v>
      </c>
      <c r="T233" s="40"/>
    </row>
    <row r="234" spans="3:20" x14ac:dyDescent="0.3">
      <c r="E234" s="83"/>
      <c r="F234" s="85">
        <v>46041</v>
      </c>
      <c r="T234" s="40"/>
    </row>
    <row r="235" spans="3:20" x14ac:dyDescent="0.3">
      <c r="E235" s="83"/>
      <c r="F235" s="86">
        <v>46043</v>
      </c>
      <c r="T235" s="40"/>
    </row>
    <row r="236" spans="3:20" x14ac:dyDescent="0.3">
      <c r="T236" s="40"/>
    </row>
    <row r="244" spans="5:20" x14ac:dyDescent="0.3">
      <c r="E244" s="93"/>
    </row>
    <row r="246" spans="5:20" x14ac:dyDescent="0.3">
      <c r="F246" s="93"/>
      <c r="G246" s="93"/>
      <c r="J246" s="93"/>
      <c r="K246"/>
      <c r="L246"/>
      <c r="M246"/>
      <c r="N246"/>
      <c r="O246"/>
      <c r="P246"/>
      <c r="Q246"/>
      <c r="R246"/>
      <c r="T246" s="40"/>
    </row>
    <row r="247" spans="5:20" x14ac:dyDescent="0.3">
      <c r="J247" s="93"/>
      <c r="K247"/>
      <c r="L247"/>
      <c r="M247"/>
      <c r="N247"/>
      <c r="O247"/>
      <c r="P247"/>
      <c r="Q247"/>
      <c r="R247"/>
      <c r="T247" s="40"/>
    </row>
    <row r="248" spans="5:20" x14ac:dyDescent="0.3">
      <c r="J248" s="93"/>
      <c r="K248"/>
      <c r="L248"/>
      <c r="M248"/>
      <c r="N248"/>
      <c r="O248"/>
      <c r="P248"/>
      <c r="Q248"/>
      <c r="R248"/>
      <c r="T248" s="40"/>
    </row>
    <row r="249" spans="5:20" x14ac:dyDescent="0.3">
      <c r="J249" s="93"/>
      <c r="K249"/>
      <c r="L249"/>
      <c r="M249"/>
      <c r="N249"/>
      <c r="O249"/>
      <c r="P249"/>
      <c r="Q249"/>
      <c r="R249"/>
      <c r="T249" s="40"/>
    </row>
    <row r="250" spans="5:20" x14ac:dyDescent="0.3">
      <c r="J250" s="93"/>
      <c r="K250"/>
      <c r="L250"/>
      <c r="M250"/>
      <c r="N250"/>
      <c r="O250"/>
      <c r="P250"/>
      <c r="Q250"/>
      <c r="R250"/>
      <c r="T250" s="40"/>
    </row>
    <row r="251" spans="5:20" x14ac:dyDescent="0.3">
      <c r="J251" s="93"/>
      <c r="K251"/>
      <c r="L251"/>
      <c r="M251"/>
      <c r="N251"/>
      <c r="O251"/>
      <c r="P251"/>
      <c r="Q251"/>
      <c r="R251"/>
      <c r="T251" s="40"/>
    </row>
    <row r="252" spans="5:20" x14ac:dyDescent="0.3">
      <c r="J252" s="93"/>
      <c r="K252"/>
      <c r="L252"/>
      <c r="M252"/>
      <c r="N252"/>
      <c r="O252"/>
      <c r="P252"/>
      <c r="Q252"/>
      <c r="R252"/>
      <c r="T252" s="40"/>
    </row>
    <row r="253" spans="5:20" x14ac:dyDescent="0.3">
      <c r="J253" s="93"/>
      <c r="K253"/>
      <c r="L253"/>
      <c r="M253"/>
      <c r="N253"/>
      <c r="O253"/>
      <c r="P253"/>
      <c r="Q253"/>
      <c r="R253"/>
      <c r="T253" s="40"/>
    </row>
    <row r="254" spans="5:20" x14ac:dyDescent="0.3">
      <c r="J254" s="93"/>
      <c r="K254"/>
      <c r="L254"/>
      <c r="M254"/>
      <c r="N254"/>
      <c r="O254"/>
      <c r="P254"/>
      <c r="Q254"/>
      <c r="R254"/>
      <c r="T254" s="40"/>
    </row>
    <row r="255" spans="5:20" x14ac:dyDescent="0.3">
      <c r="J255" s="93"/>
      <c r="K255"/>
      <c r="L255"/>
      <c r="M255"/>
      <c r="N255"/>
      <c r="O255"/>
      <c r="P255"/>
      <c r="Q255"/>
      <c r="R255"/>
      <c r="T255" s="40"/>
    </row>
    <row r="256" spans="5:20" x14ac:dyDescent="0.3">
      <c r="J256" s="93"/>
      <c r="K256"/>
      <c r="L256"/>
      <c r="M256"/>
      <c r="N256"/>
      <c r="O256"/>
      <c r="P256"/>
      <c r="Q256"/>
      <c r="R256"/>
      <c r="T256" s="40"/>
    </row>
    <row r="257" spans="10:20" x14ac:dyDescent="0.3">
      <c r="J257" s="93"/>
      <c r="K257"/>
      <c r="L257"/>
      <c r="M257"/>
      <c r="N257"/>
      <c r="O257"/>
      <c r="P257"/>
      <c r="Q257"/>
      <c r="R257"/>
      <c r="T257" s="40"/>
    </row>
    <row r="258" spans="10:20" x14ac:dyDescent="0.3">
      <c r="J258" s="93"/>
      <c r="K258"/>
      <c r="L258"/>
      <c r="M258"/>
      <c r="N258"/>
      <c r="O258"/>
      <c r="P258"/>
      <c r="Q258"/>
      <c r="R258"/>
      <c r="T258" s="40"/>
    </row>
    <row r="259" spans="10:20" x14ac:dyDescent="0.3">
      <c r="J259" s="93"/>
      <c r="K259"/>
      <c r="L259"/>
      <c r="M259"/>
      <c r="N259"/>
      <c r="O259"/>
      <c r="P259"/>
      <c r="Q259"/>
      <c r="R259"/>
      <c r="T259" s="40"/>
    </row>
    <row r="260" spans="10:20" x14ac:dyDescent="0.3">
      <c r="J260" s="93"/>
      <c r="K260"/>
      <c r="L260"/>
      <c r="M260"/>
      <c r="N260"/>
      <c r="O260"/>
      <c r="P260"/>
      <c r="Q260"/>
      <c r="R260"/>
      <c r="T260" s="40"/>
    </row>
    <row r="261" spans="10:20" x14ac:dyDescent="0.3">
      <c r="J261" s="93"/>
      <c r="K261"/>
      <c r="L261"/>
      <c r="M261"/>
      <c r="N261"/>
      <c r="O261"/>
      <c r="P261"/>
      <c r="Q261"/>
      <c r="R261"/>
      <c r="T261" s="40"/>
    </row>
    <row r="262" spans="10:20" x14ac:dyDescent="0.3">
      <c r="J262" s="93"/>
      <c r="K262"/>
      <c r="L262"/>
      <c r="M262"/>
      <c r="N262"/>
      <c r="O262"/>
      <c r="P262"/>
      <c r="Q262"/>
      <c r="R262"/>
      <c r="T262" s="40"/>
    </row>
    <row r="263" spans="10:20" x14ac:dyDescent="0.3">
      <c r="J263" s="93"/>
      <c r="K263"/>
      <c r="L263"/>
      <c r="M263"/>
      <c r="N263"/>
      <c r="O263"/>
      <c r="P263"/>
      <c r="Q263"/>
      <c r="R263"/>
      <c r="T263" s="40"/>
    </row>
    <row r="264" spans="10:20" x14ac:dyDescent="0.3">
      <c r="J264" s="93"/>
      <c r="K264"/>
      <c r="L264"/>
      <c r="M264"/>
      <c r="N264"/>
      <c r="O264"/>
      <c r="P264"/>
      <c r="Q264"/>
      <c r="R264"/>
      <c r="T264" s="40"/>
    </row>
    <row r="265" spans="10:20" x14ac:dyDescent="0.3">
      <c r="J265" s="93"/>
      <c r="K265"/>
      <c r="L265"/>
      <c r="M265"/>
      <c r="N265"/>
      <c r="O265"/>
      <c r="P265"/>
      <c r="Q265"/>
      <c r="R265"/>
      <c r="T265" s="40"/>
    </row>
    <row r="266" spans="10:20" x14ac:dyDescent="0.3">
      <c r="J266" s="93"/>
      <c r="K266"/>
      <c r="L266"/>
      <c r="M266"/>
      <c r="N266"/>
      <c r="O266"/>
      <c r="P266"/>
      <c r="Q266"/>
      <c r="R266"/>
      <c r="T266" s="40"/>
    </row>
    <row r="267" spans="10:20" x14ac:dyDescent="0.3">
      <c r="J267" s="93"/>
      <c r="K267"/>
      <c r="L267"/>
      <c r="M267"/>
      <c r="N267"/>
      <c r="O267"/>
      <c r="P267"/>
      <c r="Q267"/>
      <c r="R267"/>
      <c r="T267" s="40"/>
    </row>
    <row r="268" spans="10:20" x14ac:dyDescent="0.3">
      <c r="J268" s="93"/>
      <c r="K268"/>
      <c r="L268"/>
      <c r="M268"/>
      <c r="N268"/>
      <c r="O268"/>
      <c r="P268"/>
      <c r="Q268"/>
      <c r="R268"/>
      <c r="T268" s="40"/>
    </row>
    <row r="269" spans="10:20" x14ac:dyDescent="0.3">
      <c r="J269" s="93"/>
      <c r="K269"/>
      <c r="L269"/>
      <c r="M269"/>
      <c r="N269"/>
      <c r="O269"/>
      <c r="P269"/>
      <c r="Q269"/>
      <c r="R269"/>
      <c r="T269" s="40"/>
    </row>
    <row r="270" spans="10:20" x14ac:dyDescent="0.3">
      <c r="J270" s="93"/>
      <c r="K270"/>
      <c r="L270"/>
      <c r="M270"/>
      <c r="N270"/>
      <c r="O270"/>
      <c r="P270"/>
      <c r="Q270"/>
      <c r="R270"/>
      <c r="T270" s="40"/>
    </row>
    <row r="271" spans="10:20" x14ac:dyDescent="0.3">
      <c r="J271" s="93"/>
      <c r="K271"/>
      <c r="L271"/>
      <c r="M271"/>
      <c r="N271"/>
      <c r="O271"/>
      <c r="P271"/>
      <c r="Q271"/>
      <c r="R271"/>
      <c r="T271" s="40"/>
    </row>
    <row r="272" spans="10:20" x14ac:dyDescent="0.3">
      <c r="J272" s="93"/>
      <c r="K272"/>
      <c r="L272"/>
      <c r="M272"/>
      <c r="N272"/>
      <c r="O272"/>
      <c r="P272"/>
      <c r="Q272"/>
      <c r="R272"/>
      <c r="T272" s="40"/>
    </row>
    <row r="273" spans="10:20" x14ac:dyDescent="0.3">
      <c r="J273" s="93"/>
      <c r="K273"/>
      <c r="L273"/>
      <c r="M273"/>
      <c r="N273"/>
      <c r="O273"/>
      <c r="P273"/>
      <c r="Q273"/>
      <c r="R273"/>
      <c r="T273" s="40"/>
    </row>
    <row r="274" spans="10:20" x14ac:dyDescent="0.3">
      <c r="J274" s="93"/>
      <c r="K274"/>
      <c r="L274"/>
      <c r="M274"/>
      <c r="N274"/>
      <c r="O274"/>
      <c r="P274"/>
      <c r="Q274"/>
      <c r="R274"/>
      <c r="T274" s="40"/>
    </row>
    <row r="275" spans="10:20" x14ac:dyDescent="0.3">
      <c r="J275" s="93"/>
      <c r="K275"/>
      <c r="L275"/>
      <c r="M275"/>
      <c r="N275"/>
      <c r="O275"/>
      <c r="P275"/>
      <c r="Q275"/>
      <c r="R275"/>
      <c r="T275" s="40"/>
    </row>
    <row r="276" spans="10:20" x14ac:dyDescent="0.3">
      <c r="J276" s="93"/>
      <c r="K276"/>
      <c r="L276"/>
      <c r="M276"/>
      <c r="N276"/>
      <c r="O276"/>
      <c r="P276"/>
      <c r="Q276"/>
      <c r="R276"/>
      <c r="T276" s="40"/>
    </row>
    <row r="277" spans="10:20" x14ac:dyDescent="0.3">
      <c r="J277" s="93"/>
      <c r="K277"/>
      <c r="L277"/>
      <c r="M277"/>
      <c r="N277"/>
      <c r="O277"/>
      <c r="P277"/>
      <c r="Q277"/>
      <c r="R277"/>
      <c r="T277" s="40"/>
    </row>
    <row r="278" spans="10:20" x14ac:dyDescent="0.3">
      <c r="J278" s="93"/>
      <c r="K278"/>
      <c r="L278"/>
      <c r="M278"/>
      <c r="N278"/>
      <c r="O278"/>
      <c r="P278"/>
      <c r="Q278"/>
      <c r="R278"/>
      <c r="T278" s="40"/>
    </row>
    <row r="279" spans="10:20" x14ac:dyDescent="0.3">
      <c r="J279" s="93"/>
      <c r="K279"/>
      <c r="L279"/>
      <c r="M279"/>
      <c r="N279"/>
      <c r="O279"/>
      <c r="P279"/>
      <c r="Q279"/>
      <c r="R279"/>
      <c r="T279" s="40"/>
    </row>
    <row r="280" spans="10:20" x14ac:dyDescent="0.3">
      <c r="J280" s="93"/>
      <c r="K280"/>
      <c r="L280"/>
      <c r="M280"/>
      <c r="N280"/>
      <c r="O280"/>
      <c r="P280"/>
      <c r="Q280"/>
      <c r="R280"/>
      <c r="T280" s="40"/>
    </row>
    <row r="281" spans="10:20" x14ac:dyDescent="0.3">
      <c r="J281" s="93"/>
      <c r="K281"/>
      <c r="L281"/>
      <c r="M281"/>
      <c r="N281"/>
      <c r="O281"/>
      <c r="P281"/>
      <c r="Q281"/>
      <c r="R281"/>
      <c r="T281" s="40"/>
    </row>
    <row r="282" spans="10:20" x14ac:dyDescent="0.3">
      <c r="J282" s="93"/>
      <c r="K282"/>
      <c r="L282"/>
      <c r="M282"/>
      <c r="N282"/>
      <c r="O282"/>
      <c r="P282"/>
      <c r="Q282"/>
      <c r="R282"/>
      <c r="T282" s="40"/>
    </row>
    <row r="283" spans="10:20" x14ac:dyDescent="0.3">
      <c r="J283" s="93"/>
      <c r="K283"/>
      <c r="L283"/>
      <c r="M283"/>
      <c r="N283"/>
      <c r="O283"/>
      <c r="P283"/>
      <c r="Q283"/>
      <c r="R283"/>
      <c r="T283" s="40"/>
    </row>
    <row r="284" spans="10:20" x14ac:dyDescent="0.3">
      <c r="J284" s="93"/>
      <c r="K284"/>
      <c r="L284"/>
      <c r="M284"/>
      <c r="N284"/>
      <c r="O284"/>
      <c r="P284"/>
      <c r="Q284"/>
      <c r="R284"/>
      <c r="T284" s="40"/>
    </row>
    <row r="285" spans="10:20" x14ac:dyDescent="0.3">
      <c r="J285" s="93"/>
      <c r="K285"/>
      <c r="L285"/>
      <c r="M285"/>
      <c r="N285"/>
      <c r="O285"/>
      <c r="P285"/>
      <c r="Q285"/>
      <c r="R285"/>
      <c r="T285" s="40"/>
    </row>
    <row r="286" spans="10:20" x14ac:dyDescent="0.3">
      <c r="J286" s="93"/>
      <c r="K286"/>
      <c r="L286"/>
      <c r="M286"/>
      <c r="N286"/>
      <c r="O286"/>
      <c r="P286"/>
      <c r="Q286"/>
      <c r="R286"/>
      <c r="T286" s="40"/>
    </row>
    <row r="287" spans="10:20" x14ac:dyDescent="0.3">
      <c r="J287" s="93"/>
      <c r="K287"/>
      <c r="L287"/>
      <c r="M287"/>
      <c r="N287"/>
      <c r="O287"/>
      <c r="P287"/>
      <c r="Q287"/>
      <c r="R287"/>
      <c r="T287" s="40"/>
    </row>
    <row r="288" spans="10:20" x14ac:dyDescent="0.3">
      <c r="J288" s="93"/>
      <c r="K288"/>
      <c r="L288"/>
      <c r="M288"/>
      <c r="N288"/>
      <c r="O288"/>
      <c r="P288"/>
      <c r="Q288"/>
      <c r="R288"/>
      <c r="T288" s="40"/>
    </row>
    <row r="289" spans="10:20" x14ac:dyDescent="0.3">
      <c r="J289" s="93"/>
      <c r="K289"/>
      <c r="L289"/>
      <c r="M289"/>
      <c r="N289"/>
      <c r="O289"/>
      <c r="P289"/>
      <c r="Q289"/>
      <c r="R289"/>
      <c r="T289" s="40"/>
    </row>
    <row r="290" spans="10:20" x14ac:dyDescent="0.3">
      <c r="J290" s="93"/>
      <c r="K290"/>
      <c r="L290"/>
      <c r="M290"/>
      <c r="N290"/>
      <c r="O290"/>
      <c r="P290"/>
      <c r="Q290"/>
      <c r="R290"/>
      <c r="T290" s="40"/>
    </row>
    <row r="291" spans="10:20" x14ac:dyDescent="0.3">
      <c r="J291" s="93"/>
      <c r="K291"/>
      <c r="L291"/>
      <c r="M291"/>
      <c r="N291"/>
      <c r="O291"/>
      <c r="P291"/>
      <c r="Q291"/>
      <c r="R291"/>
      <c r="T291" s="40"/>
    </row>
    <row r="292" spans="10:20" x14ac:dyDescent="0.3">
      <c r="J292" s="93"/>
      <c r="K292"/>
      <c r="L292"/>
      <c r="M292"/>
      <c r="N292"/>
      <c r="O292"/>
      <c r="P292"/>
      <c r="Q292"/>
      <c r="R292"/>
      <c r="T292" s="40"/>
    </row>
    <row r="293" spans="10:20" x14ac:dyDescent="0.3">
      <c r="J293" s="93"/>
      <c r="K293"/>
      <c r="L293"/>
      <c r="M293"/>
      <c r="N293"/>
      <c r="O293"/>
      <c r="P293"/>
      <c r="Q293"/>
      <c r="R293"/>
      <c r="T293" s="40"/>
    </row>
    <row r="294" spans="10:20" x14ac:dyDescent="0.3">
      <c r="J294" s="93"/>
      <c r="K294"/>
      <c r="L294"/>
      <c r="M294"/>
      <c r="N294"/>
      <c r="O294"/>
      <c r="P294"/>
      <c r="Q294"/>
      <c r="R294"/>
      <c r="T294" s="40"/>
    </row>
    <row r="295" spans="10:20" x14ac:dyDescent="0.3">
      <c r="J295" s="93"/>
      <c r="K295"/>
      <c r="L295"/>
      <c r="M295"/>
      <c r="N295"/>
      <c r="O295"/>
      <c r="P295"/>
      <c r="Q295"/>
      <c r="R295"/>
      <c r="T295" s="40"/>
    </row>
    <row r="296" spans="10:20" x14ac:dyDescent="0.3">
      <c r="J296" s="93"/>
      <c r="K296"/>
      <c r="L296"/>
      <c r="M296"/>
      <c r="N296"/>
      <c r="O296"/>
      <c r="P296"/>
      <c r="Q296"/>
      <c r="R296"/>
      <c r="T296" s="40"/>
    </row>
    <row r="297" spans="10:20" x14ac:dyDescent="0.3">
      <c r="J297" s="93"/>
      <c r="K297"/>
      <c r="L297"/>
      <c r="M297"/>
      <c r="N297"/>
      <c r="O297"/>
      <c r="P297"/>
      <c r="Q297"/>
      <c r="R297"/>
      <c r="T297" s="40"/>
    </row>
    <row r="298" spans="10:20" x14ac:dyDescent="0.3">
      <c r="J298" s="93"/>
      <c r="K298"/>
      <c r="L298"/>
      <c r="M298"/>
      <c r="N298"/>
      <c r="O298"/>
      <c r="P298"/>
      <c r="Q298"/>
      <c r="R298"/>
      <c r="T298" s="40"/>
    </row>
    <row r="299" spans="10:20" x14ac:dyDescent="0.3">
      <c r="J299" s="93"/>
      <c r="K299"/>
      <c r="L299"/>
      <c r="M299"/>
      <c r="N299"/>
      <c r="O299"/>
      <c r="P299"/>
      <c r="Q299"/>
      <c r="R299"/>
      <c r="T299" s="40"/>
    </row>
    <row r="300" spans="10:20" x14ac:dyDescent="0.3">
      <c r="J300" s="93"/>
      <c r="K300"/>
      <c r="L300"/>
      <c r="M300"/>
      <c r="N300"/>
      <c r="O300"/>
      <c r="P300"/>
      <c r="Q300"/>
      <c r="R300"/>
      <c r="T300" s="40"/>
    </row>
    <row r="301" spans="10:20" x14ac:dyDescent="0.3">
      <c r="J301" s="93"/>
      <c r="K301"/>
      <c r="L301"/>
      <c r="M301"/>
      <c r="N301"/>
      <c r="O301"/>
      <c r="P301"/>
      <c r="Q301"/>
      <c r="R301"/>
      <c r="T301" s="40"/>
    </row>
    <row r="302" spans="10:20" x14ac:dyDescent="0.3">
      <c r="J302" s="93"/>
      <c r="K302"/>
      <c r="L302"/>
      <c r="M302"/>
      <c r="N302"/>
      <c r="O302"/>
      <c r="P302"/>
      <c r="Q302"/>
      <c r="R302"/>
      <c r="T302" s="40"/>
    </row>
    <row r="303" spans="10:20" x14ac:dyDescent="0.3">
      <c r="J303" s="93"/>
      <c r="K303"/>
      <c r="L303"/>
      <c r="M303"/>
      <c r="N303"/>
      <c r="O303"/>
      <c r="P303"/>
      <c r="Q303"/>
      <c r="R303"/>
      <c r="T303" s="40"/>
    </row>
    <row r="304" spans="10:20" x14ac:dyDescent="0.3">
      <c r="J304" s="93"/>
      <c r="K304"/>
      <c r="L304"/>
      <c r="M304"/>
      <c r="N304"/>
      <c r="O304"/>
      <c r="P304"/>
      <c r="Q304"/>
      <c r="R304"/>
      <c r="T304" s="40"/>
    </row>
    <row r="305" spans="10:20" x14ac:dyDescent="0.3">
      <c r="J305" s="93"/>
      <c r="K305"/>
      <c r="L305"/>
      <c r="M305"/>
      <c r="N305"/>
      <c r="O305"/>
      <c r="P305"/>
      <c r="Q305"/>
      <c r="R305"/>
      <c r="T305" s="40"/>
    </row>
    <row r="306" spans="10:20" x14ac:dyDescent="0.3">
      <c r="J306" s="93"/>
      <c r="K306"/>
      <c r="L306"/>
      <c r="M306"/>
      <c r="N306"/>
      <c r="O306"/>
      <c r="P306"/>
      <c r="Q306"/>
      <c r="R306"/>
      <c r="T306" s="40"/>
    </row>
    <row r="307" spans="10:20" x14ac:dyDescent="0.3">
      <c r="J307" s="93"/>
      <c r="K307"/>
      <c r="L307"/>
      <c r="M307"/>
      <c r="N307"/>
      <c r="O307"/>
      <c r="P307"/>
      <c r="Q307"/>
      <c r="R307"/>
      <c r="T307" s="40"/>
    </row>
    <row r="308" spans="10:20" x14ac:dyDescent="0.3">
      <c r="J308" s="93"/>
      <c r="K308"/>
      <c r="L308"/>
      <c r="M308"/>
      <c r="N308"/>
      <c r="O308"/>
      <c r="P308"/>
      <c r="Q308"/>
      <c r="R308"/>
      <c r="T308" s="40"/>
    </row>
    <row r="309" spans="10:20" x14ac:dyDescent="0.3">
      <c r="J309" s="93"/>
      <c r="K309"/>
      <c r="L309"/>
      <c r="M309"/>
      <c r="N309"/>
      <c r="O309"/>
      <c r="P309"/>
      <c r="Q309"/>
      <c r="R309"/>
      <c r="T309" s="40"/>
    </row>
    <row r="310" spans="10:20" x14ac:dyDescent="0.3">
      <c r="J310" s="93"/>
      <c r="K310"/>
      <c r="L310"/>
      <c r="M310"/>
      <c r="N310"/>
      <c r="O310"/>
      <c r="P310"/>
      <c r="Q310"/>
      <c r="R310"/>
      <c r="T310" s="40"/>
    </row>
    <row r="311" spans="10:20" x14ac:dyDescent="0.3">
      <c r="J311" s="93"/>
      <c r="K311"/>
      <c r="L311"/>
      <c r="M311"/>
      <c r="N311"/>
      <c r="O311"/>
      <c r="P311"/>
      <c r="Q311"/>
      <c r="R311"/>
      <c r="T311" s="40"/>
    </row>
    <row r="312" spans="10:20" x14ac:dyDescent="0.3">
      <c r="J312" s="93"/>
      <c r="K312"/>
      <c r="L312"/>
      <c r="M312"/>
      <c r="N312"/>
      <c r="O312"/>
      <c r="P312"/>
      <c r="Q312"/>
      <c r="R312"/>
      <c r="T312" s="40"/>
    </row>
    <row r="313" spans="10:20" x14ac:dyDescent="0.3">
      <c r="J313" s="93"/>
      <c r="K313"/>
      <c r="L313"/>
      <c r="M313"/>
      <c r="N313"/>
      <c r="O313"/>
      <c r="P313"/>
      <c r="Q313"/>
      <c r="R313"/>
      <c r="T313" s="40"/>
    </row>
    <row r="314" spans="10:20" x14ac:dyDescent="0.3">
      <c r="J314" s="93"/>
      <c r="K314"/>
      <c r="L314"/>
      <c r="M314"/>
      <c r="N314"/>
      <c r="O314"/>
      <c r="P314"/>
      <c r="Q314"/>
      <c r="R314"/>
      <c r="T314" s="40"/>
    </row>
    <row r="315" spans="10:20" x14ac:dyDescent="0.3">
      <c r="J315" s="93"/>
      <c r="K315"/>
      <c r="L315"/>
      <c r="M315"/>
      <c r="N315"/>
      <c r="O315"/>
      <c r="P315"/>
      <c r="Q315"/>
      <c r="R315"/>
      <c r="T315" s="40"/>
    </row>
  </sheetData>
  <autoFilter ref="B3:N121" xr:uid="{1D24B178-7AE1-4879-915E-BF21BA337688}"/>
  <mergeCells count="79">
    <mergeCell ref="E197:G197"/>
    <mergeCell ref="J197:M197"/>
    <mergeCell ref="E185:M185"/>
    <mergeCell ref="E186:M186"/>
    <mergeCell ref="E187:M187"/>
    <mergeCell ref="E188:M188"/>
    <mergeCell ref="E189:M189"/>
    <mergeCell ref="E190:M190"/>
    <mergeCell ref="E205:M205"/>
    <mergeCell ref="E206:M206"/>
    <mergeCell ref="E198:M198"/>
    <mergeCell ref="E200:M200"/>
    <mergeCell ref="E202:M202"/>
    <mergeCell ref="E203:M203"/>
    <mergeCell ref="E204:M204"/>
    <mergeCell ref="E191:M191"/>
    <mergeCell ref="E193:M193"/>
    <mergeCell ref="E194:M194"/>
    <mergeCell ref="E195:M195"/>
    <mergeCell ref="E196:M196"/>
    <mergeCell ref="E183:M183"/>
    <mergeCell ref="E174:M174"/>
    <mergeCell ref="E177:G177"/>
    <mergeCell ref="J177:M177"/>
    <mergeCell ref="E175:M175"/>
    <mergeCell ref="E176:M176"/>
    <mergeCell ref="E178:M178"/>
    <mergeCell ref="E179:M179"/>
    <mergeCell ref="E180:M180"/>
    <mergeCell ref="E181:M181"/>
    <mergeCell ref="E182:M182"/>
    <mergeCell ref="E2:M2"/>
    <mergeCell ref="E170:M170"/>
    <mergeCell ref="E171:M171"/>
    <mergeCell ref="E172:M172"/>
    <mergeCell ref="E151:M151"/>
    <mergeCell ref="E161:M161"/>
    <mergeCell ref="E162:G162"/>
    <mergeCell ref="J162:M162"/>
    <mergeCell ref="E158:G158"/>
    <mergeCell ref="E159:G159"/>
    <mergeCell ref="J159:M159"/>
    <mergeCell ref="J158:M158"/>
    <mergeCell ref="E119:G119"/>
    <mergeCell ref="J119:M119"/>
    <mergeCell ref="E152:G152"/>
    <mergeCell ref="J152:M152"/>
    <mergeCell ref="E173:M173"/>
    <mergeCell ref="E163:M163"/>
    <mergeCell ref="E164:M164"/>
    <mergeCell ref="E165:M165"/>
    <mergeCell ref="E166:M166"/>
    <mergeCell ref="E167:M167"/>
    <mergeCell ref="E168:M168"/>
    <mergeCell ref="J157:M157"/>
    <mergeCell ref="E153:M153"/>
    <mergeCell ref="J155:M155"/>
    <mergeCell ref="J156:M156"/>
    <mergeCell ref="E155:G155"/>
    <mergeCell ref="E156:G156"/>
    <mergeCell ref="J148:M148"/>
    <mergeCell ref="E149:M149"/>
    <mergeCell ref="E150:M150"/>
    <mergeCell ref="E120:G120"/>
    <mergeCell ref="J120:M120"/>
    <mergeCell ref="E121:G121"/>
    <mergeCell ref="J121:M121"/>
    <mergeCell ref="E148:G148"/>
    <mergeCell ref="E117:M117"/>
    <mergeCell ref="J118:M118"/>
    <mergeCell ref="E147:G147"/>
    <mergeCell ref="J147:M147"/>
    <mergeCell ref="E144:G144"/>
    <mergeCell ref="J144:M144"/>
    <mergeCell ref="E145:G145"/>
    <mergeCell ref="J145:M145"/>
    <mergeCell ref="E146:G146"/>
    <mergeCell ref="J146:M146"/>
    <mergeCell ref="E118:G118"/>
  </mergeCells>
  <phoneticPr fontId="7" type="noConversion"/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53AFF-E2EE-4960-970D-0DC5D8660CC2}">
  <sheetPr codeName="Hoja3">
    <pageSetUpPr fitToPage="1"/>
  </sheetPr>
  <dimension ref="B2:N30"/>
  <sheetViews>
    <sheetView showGridLines="0" zoomScale="64" zoomScaleNormal="100" workbookViewId="0">
      <selection activeCell="K40" sqref="K40"/>
    </sheetView>
  </sheetViews>
  <sheetFormatPr baseColWidth="10" defaultRowHeight="14.4" x14ac:dyDescent="0.3"/>
  <cols>
    <col min="2" max="2" width="2.5546875" customWidth="1"/>
    <col min="3" max="3" width="4.109375" customWidth="1"/>
    <col min="4" max="4" width="37" bestFit="1" customWidth="1"/>
    <col min="9" max="9" width="18.33203125" bestFit="1" customWidth="1"/>
    <col min="11" max="11" width="11.44140625" style="3"/>
    <col min="13" max="13" width="4.44140625" customWidth="1"/>
    <col min="14" max="15" width="3.88671875" customWidth="1"/>
  </cols>
  <sheetData>
    <row r="2" spans="2:14" ht="12" customHeight="1" x14ac:dyDescent="0.3">
      <c r="B2" s="60"/>
      <c r="C2" s="61"/>
      <c r="D2" s="61"/>
      <c r="E2" s="61"/>
      <c r="F2" s="61"/>
      <c r="G2" s="61"/>
      <c r="H2" s="61"/>
      <c r="I2" s="61"/>
      <c r="J2" s="61"/>
      <c r="K2" s="62"/>
      <c r="L2" s="61"/>
      <c r="M2" s="61"/>
      <c r="N2" s="63"/>
    </row>
    <row r="3" spans="2:14" x14ac:dyDescent="0.3">
      <c r="B3" s="64"/>
      <c r="C3" s="60"/>
      <c r="D3" s="61"/>
      <c r="E3" s="61"/>
      <c r="F3" s="61"/>
      <c r="G3" s="61"/>
      <c r="H3" s="61"/>
      <c r="I3" s="61"/>
      <c r="J3" s="61"/>
      <c r="K3" s="62"/>
      <c r="L3" s="61"/>
      <c r="M3" s="63"/>
      <c r="N3" s="14"/>
    </row>
    <row r="4" spans="2:14" x14ac:dyDescent="0.3">
      <c r="B4" s="64"/>
      <c r="C4" s="64"/>
      <c r="M4" s="14"/>
      <c r="N4" s="14"/>
    </row>
    <row r="5" spans="2:14" x14ac:dyDescent="0.3">
      <c r="B5" s="64"/>
      <c r="C5" s="64"/>
      <c r="M5" s="14"/>
      <c r="N5" s="14"/>
    </row>
    <row r="6" spans="2:14" x14ac:dyDescent="0.3">
      <c r="B6" s="64"/>
      <c r="C6" s="64"/>
      <c r="M6" s="14"/>
      <c r="N6" s="14"/>
    </row>
    <row r="7" spans="2:14" x14ac:dyDescent="0.3">
      <c r="B7" s="64"/>
      <c r="C7" s="64"/>
      <c r="M7" s="14"/>
      <c r="N7" s="14"/>
    </row>
    <row r="8" spans="2:14" x14ac:dyDescent="0.3">
      <c r="B8" s="64"/>
      <c r="C8" s="64"/>
      <c r="M8" s="14"/>
      <c r="N8" s="14"/>
    </row>
    <row r="9" spans="2:14" x14ac:dyDescent="0.3">
      <c r="B9" s="64"/>
      <c r="C9" s="64"/>
      <c r="M9" s="14"/>
      <c r="N9" s="14"/>
    </row>
    <row r="10" spans="2:14" x14ac:dyDescent="0.3">
      <c r="B10" s="64"/>
      <c r="C10" s="64"/>
      <c r="M10" s="14"/>
      <c r="N10" s="14"/>
    </row>
    <row r="11" spans="2:14" x14ac:dyDescent="0.3">
      <c r="B11" s="64"/>
      <c r="C11" s="64"/>
      <c r="M11" s="14"/>
      <c r="N11" s="14"/>
    </row>
    <row r="12" spans="2:14" ht="15.6" x14ac:dyDescent="0.3">
      <c r="B12" s="64"/>
      <c r="C12" s="64"/>
      <c r="D12" s="69" t="s">
        <v>491</v>
      </c>
      <c r="E12" s="69" t="s">
        <v>425</v>
      </c>
      <c r="F12" s="69" t="s">
        <v>426</v>
      </c>
      <c r="G12" s="69" t="s">
        <v>427</v>
      </c>
      <c r="H12" s="69" t="s">
        <v>428</v>
      </c>
      <c r="I12" s="70" t="s">
        <v>490</v>
      </c>
      <c r="J12" s="69" t="s">
        <v>494</v>
      </c>
      <c r="K12" s="69" t="s">
        <v>53</v>
      </c>
      <c r="L12" s="71"/>
      <c r="M12" s="14"/>
      <c r="N12" s="14"/>
    </row>
    <row r="13" spans="2:14" ht="15.6" x14ac:dyDescent="0.3">
      <c r="B13" s="64"/>
      <c r="C13" s="64"/>
      <c r="D13" s="72" t="s">
        <v>152</v>
      </c>
      <c r="E13" s="72" t="e">
        <f>#REF!</f>
        <v>#REF!</v>
      </c>
      <c r="F13" s="72" t="e">
        <f>#REF!</f>
        <v>#REF!</v>
      </c>
      <c r="G13" s="72" t="e">
        <f>#REF!</f>
        <v>#REF!</v>
      </c>
      <c r="H13" s="72" t="e">
        <f>#REF!</f>
        <v>#REF!</v>
      </c>
      <c r="I13" s="72" t="e">
        <f>#REF!</f>
        <v>#REF!</v>
      </c>
      <c r="J13" s="72"/>
      <c r="K13" s="87" t="e">
        <f>SUM(E13:J13)</f>
        <v>#REF!</v>
      </c>
      <c r="L13" s="71"/>
      <c r="M13" s="14"/>
      <c r="N13" s="14"/>
    </row>
    <row r="14" spans="2:14" ht="15.6" x14ac:dyDescent="0.3">
      <c r="B14" s="64"/>
      <c r="C14" s="64"/>
      <c r="D14" s="72" t="s">
        <v>696</v>
      </c>
      <c r="E14" s="72" t="e">
        <f>#REF!</f>
        <v>#REF!</v>
      </c>
      <c r="F14" s="72" t="e">
        <f>#REF!</f>
        <v>#REF!</v>
      </c>
      <c r="G14" s="72" t="e">
        <f>#REF!</f>
        <v>#REF!</v>
      </c>
      <c r="H14" s="72" t="e">
        <f>#REF!</f>
        <v>#REF!</v>
      </c>
      <c r="I14" s="72" t="e">
        <f>#REF!</f>
        <v>#REF!</v>
      </c>
      <c r="J14" s="72"/>
      <c r="K14" s="87" t="e">
        <f>SUM(E14:J14)</f>
        <v>#REF!</v>
      </c>
      <c r="L14" s="71"/>
      <c r="M14" s="14"/>
      <c r="N14" s="14"/>
    </row>
    <row r="15" spans="2:14" ht="14.25" customHeight="1" x14ac:dyDescent="0.3">
      <c r="B15" s="64"/>
      <c r="C15" s="64"/>
      <c r="D15" s="72" t="s">
        <v>153</v>
      </c>
      <c r="E15" s="72" t="e">
        <f>#REF!</f>
        <v>#REF!</v>
      </c>
      <c r="F15" s="72" t="e">
        <f>#REF!</f>
        <v>#REF!</v>
      </c>
      <c r="G15" s="72" t="e">
        <f>#REF!</f>
        <v>#REF!</v>
      </c>
      <c r="H15" s="72" t="e">
        <f>#REF!</f>
        <v>#REF!</v>
      </c>
      <c r="I15" s="72" t="e">
        <f>#REF!</f>
        <v>#REF!</v>
      </c>
      <c r="J15" s="72"/>
      <c r="K15" s="87" t="e">
        <f t="shared" ref="K15:K17" si="0">SUM(E15:J15)</f>
        <v>#REF!</v>
      </c>
      <c r="L15" s="71"/>
      <c r="M15" s="14"/>
      <c r="N15" s="14"/>
    </row>
    <row r="16" spans="2:14" ht="15.6" x14ac:dyDescent="0.3">
      <c r="B16" s="64"/>
      <c r="C16" s="64"/>
      <c r="D16" s="72" t="s">
        <v>154</v>
      </c>
      <c r="E16" s="72" t="e">
        <f>#REF!</f>
        <v>#REF!</v>
      </c>
      <c r="F16" s="72" t="e">
        <f>#REF!</f>
        <v>#REF!</v>
      </c>
      <c r="G16" s="72" t="e">
        <f>#REF!</f>
        <v>#REF!</v>
      </c>
      <c r="H16" s="72" t="e">
        <f>#REF!</f>
        <v>#REF!</v>
      </c>
      <c r="I16" s="72" t="e">
        <f>#REF!</f>
        <v>#REF!</v>
      </c>
      <c r="J16" s="72"/>
      <c r="K16" s="87" t="e">
        <f>SUM(E16:J16)</f>
        <v>#REF!</v>
      </c>
      <c r="L16" s="71"/>
      <c r="M16" s="14"/>
      <c r="N16" s="14"/>
    </row>
    <row r="17" spans="2:14" ht="15.6" x14ac:dyDescent="0.3">
      <c r="B17" s="64"/>
      <c r="C17" s="64"/>
      <c r="D17" s="72" t="s">
        <v>155</v>
      </c>
      <c r="E17" s="72" t="e">
        <f>#REF!</f>
        <v>#REF!</v>
      </c>
      <c r="F17" s="72" t="e">
        <f>#REF!</f>
        <v>#REF!</v>
      </c>
      <c r="G17" s="72" t="e">
        <f>#REF!</f>
        <v>#REF!</v>
      </c>
      <c r="H17" s="72" t="e">
        <f>#REF!</f>
        <v>#REF!</v>
      </c>
      <c r="I17" s="72" t="e">
        <f>#REF!</f>
        <v>#REF!</v>
      </c>
      <c r="J17" s="72"/>
      <c r="K17" s="87" t="e">
        <f t="shared" si="0"/>
        <v>#REF!</v>
      </c>
      <c r="L17" s="71"/>
      <c r="M17" s="14"/>
      <c r="N17" s="14"/>
    </row>
    <row r="18" spans="2:14" ht="15.6" x14ac:dyDescent="0.3">
      <c r="B18" s="64"/>
      <c r="C18" s="64"/>
      <c r="D18" s="72" t="s">
        <v>493</v>
      </c>
      <c r="E18" s="72"/>
      <c r="F18" s="72"/>
      <c r="G18" s="72"/>
      <c r="H18" s="72"/>
      <c r="I18" s="72"/>
      <c r="J18" s="72">
        <f>'Sindicato y LM'!D16</f>
        <v>10</v>
      </c>
      <c r="K18" s="87">
        <f>SUM(E18:J18)</f>
        <v>10</v>
      </c>
      <c r="L18" s="71"/>
      <c r="M18" s="14"/>
      <c r="N18" s="14"/>
    </row>
    <row r="19" spans="2:14" ht="15.6" x14ac:dyDescent="0.3">
      <c r="B19" s="64"/>
      <c r="C19" s="64"/>
      <c r="D19" s="71"/>
      <c r="E19" s="71"/>
      <c r="F19" s="71"/>
      <c r="G19" s="71"/>
      <c r="H19" s="71"/>
      <c r="I19" s="71"/>
      <c r="J19" s="71"/>
      <c r="K19" s="88"/>
      <c r="L19" s="71"/>
      <c r="M19" s="14"/>
      <c r="N19" s="14"/>
    </row>
    <row r="20" spans="2:14" ht="15.6" x14ac:dyDescent="0.3">
      <c r="B20" s="64"/>
      <c r="C20" s="64"/>
      <c r="D20" s="72" t="s">
        <v>691</v>
      </c>
      <c r="E20" s="72" t="e">
        <f>+SUM(E13:E18)</f>
        <v>#REF!</v>
      </c>
      <c r="F20" s="72" t="e">
        <f t="shared" ref="F20:J20" si="1">+SUM(F13:F18)</f>
        <v>#REF!</v>
      </c>
      <c r="G20" s="72" t="e">
        <f t="shared" si="1"/>
        <v>#REF!</v>
      </c>
      <c r="H20" s="72" t="e">
        <f t="shared" si="1"/>
        <v>#REF!</v>
      </c>
      <c r="I20" s="72" t="e">
        <f t="shared" si="1"/>
        <v>#REF!</v>
      </c>
      <c r="J20" s="72">
        <f t="shared" si="1"/>
        <v>10</v>
      </c>
      <c r="K20" s="87" t="e">
        <f>SUM(K13:K18)</f>
        <v>#REF!</v>
      </c>
      <c r="L20" s="71"/>
      <c r="M20" s="14"/>
      <c r="N20" s="14"/>
    </row>
    <row r="21" spans="2:14" ht="15.6" x14ac:dyDescent="0.3">
      <c r="B21" s="64"/>
      <c r="C21" s="64"/>
      <c r="D21" s="72" t="s">
        <v>690</v>
      </c>
      <c r="E21" s="74" t="e">
        <f>+(E13+E14+E15)/E20</f>
        <v>#REF!</v>
      </c>
      <c r="F21" s="74" t="e">
        <f t="shared" ref="F21:I21" si="2">+(F13+F14+F15)/F20</f>
        <v>#REF!</v>
      </c>
      <c r="G21" s="74" t="e">
        <f t="shared" si="2"/>
        <v>#REF!</v>
      </c>
      <c r="H21" s="74" t="e">
        <f t="shared" si="2"/>
        <v>#REF!</v>
      </c>
      <c r="I21" s="74" t="e">
        <f t="shared" si="2"/>
        <v>#REF!</v>
      </c>
      <c r="J21" s="71"/>
      <c r="K21" s="75"/>
      <c r="L21" s="71"/>
      <c r="M21" s="14"/>
      <c r="N21" s="14"/>
    </row>
    <row r="22" spans="2:14" ht="15.6" x14ac:dyDescent="0.3">
      <c r="B22" s="64"/>
      <c r="C22" s="64"/>
      <c r="D22" s="71"/>
      <c r="E22" s="76"/>
      <c r="F22" s="76"/>
      <c r="G22" s="76"/>
      <c r="H22" s="76"/>
      <c r="I22" s="76"/>
      <c r="J22" s="71"/>
      <c r="K22" s="75"/>
      <c r="L22" s="71"/>
      <c r="M22" s="14"/>
      <c r="N22" s="14"/>
    </row>
    <row r="23" spans="2:14" ht="15.6" x14ac:dyDescent="0.3">
      <c r="B23" s="64"/>
      <c r="C23" s="64"/>
      <c r="D23" s="72" t="s">
        <v>697</v>
      </c>
      <c r="E23" s="77">
        <v>13</v>
      </c>
      <c r="F23" s="77">
        <v>13</v>
      </c>
      <c r="G23" s="77">
        <v>13</v>
      </c>
      <c r="H23" s="77">
        <v>13</v>
      </c>
      <c r="I23" s="78"/>
      <c r="J23" s="71"/>
      <c r="K23" s="75"/>
      <c r="L23" s="71"/>
      <c r="M23" s="14"/>
      <c r="N23" s="14"/>
    </row>
    <row r="24" spans="2:14" ht="15.6" x14ac:dyDescent="0.3">
      <c r="B24" s="64"/>
      <c r="C24" s="64"/>
      <c r="D24" s="71"/>
      <c r="E24" s="71"/>
      <c r="F24" s="71"/>
      <c r="G24" s="71"/>
      <c r="H24" s="71"/>
      <c r="I24" s="71"/>
      <c r="J24" s="71"/>
      <c r="K24" s="75"/>
      <c r="L24" s="71"/>
      <c r="M24" s="14"/>
      <c r="N24" s="14"/>
    </row>
    <row r="25" spans="2:14" ht="15.6" x14ac:dyDescent="0.3">
      <c r="B25" s="64"/>
      <c r="C25" s="64"/>
      <c r="D25" s="73" t="s">
        <v>793</v>
      </c>
      <c r="E25" s="73" t="e">
        <f>K13+K14+K15+K18</f>
        <v>#REF!</v>
      </c>
      <c r="F25" s="71"/>
      <c r="G25" s="71"/>
      <c r="H25" s="71"/>
      <c r="I25" s="71"/>
      <c r="J25" s="71"/>
      <c r="K25" s="75"/>
      <c r="L25" s="71"/>
      <c r="M25" s="14"/>
      <c r="N25" s="14"/>
    </row>
    <row r="26" spans="2:14" ht="15.6" x14ac:dyDescent="0.3">
      <c r="B26" s="64"/>
      <c r="C26" s="64"/>
      <c r="D26" s="73" t="s">
        <v>692</v>
      </c>
      <c r="E26" s="79" t="e">
        <f>+E25/K20</f>
        <v>#REF!</v>
      </c>
      <c r="F26" s="71"/>
      <c r="G26" s="71"/>
      <c r="H26" s="71"/>
      <c r="I26" s="71"/>
      <c r="J26" s="71"/>
      <c r="K26" s="75"/>
      <c r="L26" s="71"/>
      <c r="M26" s="14"/>
      <c r="N26" s="14"/>
    </row>
    <row r="27" spans="2:14" x14ac:dyDescent="0.3">
      <c r="B27" s="64"/>
      <c r="C27" s="64"/>
      <c r="D27" s="3"/>
      <c r="E27" s="68"/>
      <c r="M27" s="14"/>
      <c r="N27" s="14"/>
    </row>
    <row r="28" spans="2:14" x14ac:dyDescent="0.3">
      <c r="B28" s="64"/>
      <c r="C28" s="64"/>
      <c r="D28" s="3"/>
      <c r="E28" s="68"/>
      <c r="M28" s="14"/>
      <c r="N28" s="14"/>
    </row>
    <row r="29" spans="2:14" x14ac:dyDescent="0.3">
      <c r="B29" s="64"/>
      <c r="C29" s="65"/>
      <c r="D29" s="66"/>
      <c r="E29" s="66"/>
      <c r="F29" s="66"/>
      <c r="G29" s="66"/>
      <c r="H29" s="66"/>
      <c r="I29" s="66"/>
      <c r="J29" s="66"/>
      <c r="K29" s="58"/>
      <c r="L29" s="66"/>
      <c r="M29" s="67"/>
      <c r="N29" s="14"/>
    </row>
    <row r="30" spans="2:14" x14ac:dyDescent="0.3">
      <c r="B30" s="65"/>
      <c r="C30" s="66"/>
      <c r="D30" s="66"/>
      <c r="E30" s="66"/>
      <c r="F30" s="66"/>
      <c r="G30" s="66"/>
      <c r="H30" s="66"/>
      <c r="I30" s="66"/>
      <c r="J30" s="66"/>
      <c r="K30" s="58"/>
      <c r="L30" s="66"/>
      <c r="M30" s="66"/>
      <c r="N30" s="67"/>
    </row>
  </sheetData>
  <pageMargins left="0.7" right="0.7" top="0.75" bottom="0.75" header="0.3" footer="0.3"/>
  <pageSetup paperSize="9" scale="50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C20DB2-21B6-4C87-84AD-B04AF0B01F01}">
  <sheetPr codeName="Hoja5"/>
  <dimension ref="A3:H449"/>
  <sheetViews>
    <sheetView topLeftCell="A25" workbookViewId="0">
      <selection activeCell="E451" sqref="E451"/>
    </sheetView>
  </sheetViews>
  <sheetFormatPr baseColWidth="10" defaultRowHeight="14.4" x14ac:dyDescent="0.3"/>
  <cols>
    <col min="1" max="1" width="54" bestFit="1" customWidth="1"/>
    <col min="2" max="2" width="18.88671875" bestFit="1" customWidth="1"/>
  </cols>
  <sheetData>
    <row r="3" spans="1:4" x14ac:dyDescent="0.3">
      <c r="A3" s="32" t="s">
        <v>566</v>
      </c>
      <c r="B3" t="s">
        <v>796</v>
      </c>
    </row>
    <row r="4" spans="1:4" x14ac:dyDescent="0.3">
      <c r="A4" s="22" t="s">
        <v>268</v>
      </c>
      <c r="B4">
        <v>1</v>
      </c>
      <c r="D4" t="s">
        <v>797</v>
      </c>
    </row>
    <row r="5" spans="1:4" x14ac:dyDescent="0.3">
      <c r="A5" s="22" t="s">
        <v>238</v>
      </c>
      <c r="B5">
        <v>1</v>
      </c>
      <c r="D5" t="s">
        <v>797</v>
      </c>
    </row>
    <row r="6" spans="1:4" x14ac:dyDescent="0.3">
      <c r="A6" s="22" t="s">
        <v>546</v>
      </c>
      <c r="B6">
        <v>1</v>
      </c>
      <c r="D6" t="s">
        <v>797</v>
      </c>
    </row>
    <row r="7" spans="1:4" x14ac:dyDescent="0.3">
      <c r="A7" s="22" t="s">
        <v>292</v>
      </c>
      <c r="B7">
        <v>1</v>
      </c>
      <c r="D7" t="s">
        <v>797</v>
      </c>
    </row>
    <row r="8" spans="1:4" x14ac:dyDescent="0.3">
      <c r="A8" s="22" t="s">
        <v>521</v>
      </c>
      <c r="B8">
        <v>1</v>
      </c>
      <c r="D8" t="s">
        <v>798</v>
      </c>
    </row>
    <row r="9" spans="1:4" x14ac:dyDescent="0.3">
      <c r="A9" s="22" t="s">
        <v>773</v>
      </c>
      <c r="B9">
        <v>1</v>
      </c>
    </row>
    <row r="10" spans="1:4" x14ac:dyDescent="0.3">
      <c r="A10" s="22" t="s">
        <v>251</v>
      </c>
      <c r="B10">
        <v>1</v>
      </c>
      <c r="D10" t="s">
        <v>799</v>
      </c>
    </row>
    <row r="11" spans="1:4" x14ac:dyDescent="0.3">
      <c r="A11" s="22" t="s">
        <v>524</v>
      </c>
      <c r="B11">
        <v>1</v>
      </c>
      <c r="D11" t="s">
        <v>800</v>
      </c>
    </row>
    <row r="12" spans="1:4" x14ac:dyDescent="0.3">
      <c r="A12" s="22" t="s">
        <v>584</v>
      </c>
      <c r="B12">
        <v>1</v>
      </c>
      <c r="D12" t="s">
        <v>801</v>
      </c>
    </row>
    <row r="13" spans="1:4" x14ac:dyDescent="0.3">
      <c r="A13" s="22" t="s">
        <v>350</v>
      </c>
      <c r="B13">
        <v>1</v>
      </c>
      <c r="D13" t="s">
        <v>802</v>
      </c>
    </row>
    <row r="14" spans="1:4" x14ac:dyDescent="0.3">
      <c r="A14" s="22" t="s">
        <v>432</v>
      </c>
      <c r="B14">
        <v>1</v>
      </c>
      <c r="D14" t="s">
        <v>803</v>
      </c>
    </row>
    <row r="15" spans="1:4" x14ac:dyDescent="0.3">
      <c r="A15" s="22" t="s">
        <v>444</v>
      </c>
      <c r="B15">
        <v>1</v>
      </c>
      <c r="D15" t="s">
        <v>803</v>
      </c>
    </row>
    <row r="16" spans="1:4" x14ac:dyDescent="0.3">
      <c r="A16" s="22" t="s">
        <v>767</v>
      </c>
      <c r="B16">
        <v>1</v>
      </c>
      <c r="D16" t="s">
        <v>804</v>
      </c>
    </row>
    <row r="17" spans="1:4" x14ac:dyDescent="0.3">
      <c r="A17" s="22" t="s">
        <v>339</v>
      </c>
      <c r="B17">
        <v>1</v>
      </c>
      <c r="D17" t="s">
        <v>805</v>
      </c>
    </row>
    <row r="18" spans="1:4" x14ac:dyDescent="0.3">
      <c r="A18" s="22" t="s">
        <v>623</v>
      </c>
      <c r="B18">
        <v>1</v>
      </c>
      <c r="D18" t="s">
        <v>806</v>
      </c>
    </row>
    <row r="19" spans="1:4" x14ac:dyDescent="0.3">
      <c r="A19" s="22" t="s">
        <v>346</v>
      </c>
      <c r="B19">
        <v>1</v>
      </c>
      <c r="D19" t="s">
        <v>807</v>
      </c>
    </row>
    <row r="20" spans="1:4" x14ac:dyDescent="0.3">
      <c r="A20" s="22" t="s">
        <v>189</v>
      </c>
      <c r="B20">
        <v>1</v>
      </c>
      <c r="D20" t="s">
        <v>808</v>
      </c>
    </row>
    <row r="21" spans="1:4" x14ac:dyDescent="0.3">
      <c r="A21" s="22" t="s">
        <v>479</v>
      </c>
      <c r="B21">
        <v>1</v>
      </c>
      <c r="D21" t="s">
        <v>808</v>
      </c>
    </row>
    <row r="22" spans="1:4" x14ac:dyDescent="0.3">
      <c r="A22" s="22" t="s">
        <v>424</v>
      </c>
      <c r="B22">
        <v>1</v>
      </c>
      <c r="D22" t="s">
        <v>809</v>
      </c>
    </row>
    <row r="23" spans="1:4" x14ac:dyDescent="0.3">
      <c r="A23" s="22" t="s">
        <v>669</v>
      </c>
      <c r="B23">
        <v>1</v>
      </c>
      <c r="D23" t="s">
        <v>810</v>
      </c>
    </row>
    <row r="24" spans="1:4" x14ac:dyDescent="0.3">
      <c r="A24" s="22" t="s">
        <v>629</v>
      </c>
      <c r="B24">
        <v>1</v>
      </c>
      <c r="D24" t="s">
        <v>811</v>
      </c>
    </row>
    <row r="25" spans="1:4" x14ac:dyDescent="0.3">
      <c r="A25" s="22" t="s">
        <v>275</v>
      </c>
      <c r="B25">
        <v>1</v>
      </c>
      <c r="D25" t="s">
        <v>812</v>
      </c>
    </row>
    <row r="26" spans="1:4" x14ac:dyDescent="0.3">
      <c r="A26" s="22" t="s">
        <v>647</v>
      </c>
      <c r="B26">
        <v>1</v>
      </c>
      <c r="D26" t="s">
        <v>812</v>
      </c>
    </row>
    <row r="27" spans="1:4" x14ac:dyDescent="0.3">
      <c r="A27" s="22" t="s">
        <v>374</v>
      </c>
      <c r="B27">
        <v>1</v>
      </c>
      <c r="D27" t="s">
        <v>813</v>
      </c>
    </row>
    <row r="28" spans="1:4" x14ac:dyDescent="0.3">
      <c r="A28" s="22" t="s">
        <v>373</v>
      </c>
      <c r="B28">
        <v>1</v>
      </c>
      <c r="D28" t="s">
        <v>814</v>
      </c>
    </row>
    <row r="29" spans="1:4" x14ac:dyDescent="0.3">
      <c r="A29" s="22" t="s">
        <v>181</v>
      </c>
      <c r="B29">
        <v>1</v>
      </c>
      <c r="D29" t="s">
        <v>815</v>
      </c>
    </row>
    <row r="30" spans="1:4" x14ac:dyDescent="0.3">
      <c r="A30" s="22" t="s">
        <v>717</v>
      </c>
      <c r="B30">
        <v>1</v>
      </c>
    </row>
    <row r="31" spans="1:4" x14ac:dyDescent="0.3">
      <c r="A31" s="22" t="s">
        <v>469</v>
      </c>
      <c r="B31">
        <v>1</v>
      </c>
      <c r="D31" t="s">
        <v>816</v>
      </c>
    </row>
    <row r="32" spans="1:4" x14ac:dyDescent="0.3">
      <c r="A32" s="22" t="s">
        <v>399</v>
      </c>
      <c r="B32">
        <v>1</v>
      </c>
      <c r="D32" t="s">
        <v>816</v>
      </c>
    </row>
    <row r="33" spans="1:4" x14ac:dyDescent="0.3">
      <c r="A33" s="22" t="s">
        <v>529</v>
      </c>
      <c r="B33">
        <v>1</v>
      </c>
      <c r="D33" t="s">
        <v>817</v>
      </c>
    </row>
    <row r="34" spans="1:4" x14ac:dyDescent="0.3">
      <c r="A34" s="22" t="s">
        <v>318</v>
      </c>
      <c r="B34">
        <v>1</v>
      </c>
      <c r="D34" t="s">
        <v>817</v>
      </c>
    </row>
    <row r="35" spans="1:4" x14ac:dyDescent="0.3">
      <c r="A35" s="22" t="s">
        <v>219</v>
      </c>
      <c r="B35">
        <v>1</v>
      </c>
      <c r="D35" t="s">
        <v>818</v>
      </c>
    </row>
    <row r="36" spans="1:4" x14ac:dyDescent="0.3">
      <c r="A36" s="22" t="s">
        <v>306</v>
      </c>
      <c r="B36">
        <v>1</v>
      </c>
      <c r="D36" t="s">
        <v>819</v>
      </c>
    </row>
    <row r="37" spans="1:4" x14ac:dyDescent="0.3">
      <c r="A37" s="22" t="s">
        <v>503</v>
      </c>
      <c r="B37">
        <v>1</v>
      </c>
      <c r="D37" t="s">
        <v>820</v>
      </c>
    </row>
    <row r="38" spans="1:4" x14ac:dyDescent="0.3">
      <c r="A38" s="22" t="s">
        <v>187</v>
      </c>
      <c r="B38">
        <v>1</v>
      </c>
      <c r="D38" t="s">
        <v>821</v>
      </c>
    </row>
    <row r="39" spans="1:4" x14ac:dyDescent="0.3">
      <c r="A39" s="22" t="s">
        <v>229</v>
      </c>
      <c r="B39">
        <v>1</v>
      </c>
      <c r="D39" t="s">
        <v>822</v>
      </c>
    </row>
    <row r="40" spans="1:4" x14ac:dyDescent="0.3">
      <c r="A40" s="22" t="s">
        <v>379</v>
      </c>
      <c r="B40">
        <v>1</v>
      </c>
      <c r="D40" t="s">
        <v>823</v>
      </c>
    </row>
    <row r="41" spans="1:4" x14ac:dyDescent="0.3">
      <c r="A41" s="22" t="s">
        <v>630</v>
      </c>
      <c r="B41">
        <v>1</v>
      </c>
      <c r="D41" t="s">
        <v>824</v>
      </c>
    </row>
    <row r="42" spans="1:4" x14ac:dyDescent="0.3">
      <c r="A42" s="22" t="s">
        <v>265</v>
      </c>
      <c r="B42">
        <v>1</v>
      </c>
      <c r="D42" t="s">
        <v>825</v>
      </c>
    </row>
    <row r="43" spans="1:4" x14ac:dyDescent="0.3">
      <c r="A43" s="22" t="s">
        <v>488</v>
      </c>
      <c r="B43">
        <v>1</v>
      </c>
      <c r="D43" t="s">
        <v>826</v>
      </c>
    </row>
    <row r="44" spans="1:4" x14ac:dyDescent="0.3">
      <c r="A44" s="22" t="s">
        <v>714</v>
      </c>
      <c r="B44">
        <v>1</v>
      </c>
    </row>
    <row r="45" spans="1:4" x14ac:dyDescent="0.3">
      <c r="A45" s="22" t="s">
        <v>335</v>
      </c>
      <c r="B45">
        <v>1</v>
      </c>
      <c r="D45" t="s">
        <v>827</v>
      </c>
    </row>
    <row r="46" spans="1:4" x14ac:dyDescent="0.3">
      <c r="A46" s="22" t="s">
        <v>489</v>
      </c>
      <c r="B46">
        <v>1</v>
      </c>
      <c r="D46" t="s">
        <v>828</v>
      </c>
    </row>
    <row r="47" spans="1:4" x14ac:dyDescent="0.3">
      <c r="A47" s="22" t="s">
        <v>278</v>
      </c>
      <c r="B47">
        <v>1</v>
      </c>
      <c r="D47" t="s">
        <v>829</v>
      </c>
    </row>
    <row r="48" spans="1:4" x14ac:dyDescent="0.3">
      <c r="A48" s="22" t="s">
        <v>338</v>
      </c>
      <c r="B48">
        <v>1</v>
      </c>
      <c r="D48" t="s">
        <v>830</v>
      </c>
    </row>
    <row r="49" spans="1:4" x14ac:dyDescent="0.3">
      <c r="A49" s="22" t="s">
        <v>495</v>
      </c>
      <c r="B49">
        <v>1</v>
      </c>
      <c r="D49" t="s">
        <v>831</v>
      </c>
    </row>
    <row r="50" spans="1:4" x14ac:dyDescent="0.3">
      <c r="A50" s="22" t="s">
        <v>385</v>
      </c>
      <c r="B50">
        <v>1</v>
      </c>
      <c r="D50" t="s">
        <v>832</v>
      </c>
    </row>
    <row r="51" spans="1:4" x14ac:dyDescent="0.3">
      <c r="A51" s="22" t="s">
        <v>751</v>
      </c>
      <c r="B51">
        <v>1</v>
      </c>
      <c r="D51" t="s">
        <v>833</v>
      </c>
    </row>
    <row r="52" spans="1:4" x14ac:dyDescent="0.3">
      <c r="A52" s="22" t="s">
        <v>738</v>
      </c>
      <c r="B52">
        <v>1</v>
      </c>
      <c r="D52" t="s">
        <v>834</v>
      </c>
    </row>
    <row r="53" spans="1:4" x14ac:dyDescent="0.3">
      <c r="A53" s="22" t="s">
        <v>314</v>
      </c>
      <c r="B53">
        <v>1</v>
      </c>
      <c r="D53" t="s">
        <v>835</v>
      </c>
    </row>
    <row r="54" spans="1:4" x14ac:dyDescent="0.3">
      <c r="A54" s="22" t="s">
        <v>484</v>
      </c>
      <c r="B54">
        <v>1</v>
      </c>
      <c r="D54" t="s">
        <v>836</v>
      </c>
    </row>
    <row r="55" spans="1:4" x14ac:dyDescent="0.3">
      <c r="A55" s="22" t="s">
        <v>672</v>
      </c>
      <c r="B55">
        <v>1</v>
      </c>
      <c r="D55" t="s">
        <v>836</v>
      </c>
    </row>
    <row r="56" spans="1:4" x14ac:dyDescent="0.3">
      <c r="A56" s="22" t="s">
        <v>398</v>
      </c>
      <c r="B56">
        <v>1</v>
      </c>
      <c r="D56" t="s">
        <v>837</v>
      </c>
    </row>
    <row r="57" spans="1:4" x14ac:dyDescent="0.3">
      <c r="A57" s="22" t="s">
        <v>760</v>
      </c>
      <c r="B57">
        <v>1</v>
      </c>
    </row>
    <row r="58" spans="1:4" x14ac:dyDescent="0.3">
      <c r="A58" s="22" t="s">
        <v>533</v>
      </c>
      <c r="B58">
        <v>1</v>
      </c>
      <c r="D58" t="s">
        <v>837</v>
      </c>
    </row>
    <row r="59" spans="1:4" x14ac:dyDescent="0.3">
      <c r="A59" s="22" t="s">
        <v>361</v>
      </c>
      <c r="B59">
        <v>1</v>
      </c>
      <c r="D59" t="s">
        <v>837</v>
      </c>
    </row>
    <row r="60" spans="1:4" x14ac:dyDescent="0.3">
      <c r="A60" s="22" t="s">
        <v>548</v>
      </c>
      <c r="B60">
        <v>1</v>
      </c>
      <c r="D60" t="s">
        <v>837</v>
      </c>
    </row>
    <row r="61" spans="1:4" x14ac:dyDescent="0.3">
      <c r="A61" s="22" t="s">
        <v>735</v>
      </c>
      <c r="B61">
        <v>1</v>
      </c>
      <c r="D61" t="s">
        <v>837</v>
      </c>
    </row>
    <row r="62" spans="1:4" x14ac:dyDescent="0.3">
      <c r="A62" s="22" t="s">
        <v>364</v>
      </c>
      <c r="B62">
        <v>1</v>
      </c>
      <c r="D62" t="s">
        <v>838</v>
      </c>
    </row>
    <row r="63" spans="1:4" x14ac:dyDescent="0.3">
      <c r="A63" s="22" t="s">
        <v>218</v>
      </c>
      <c r="B63">
        <v>1</v>
      </c>
      <c r="D63" t="s">
        <v>839</v>
      </c>
    </row>
    <row r="64" spans="1:4" x14ac:dyDescent="0.3">
      <c r="A64" s="22" t="s">
        <v>369</v>
      </c>
      <c r="B64">
        <v>1</v>
      </c>
      <c r="D64" t="s">
        <v>840</v>
      </c>
    </row>
    <row r="65" spans="1:4" x14ac:dyDescent="0.3">
      <c r="A65" s="22" t="s">
        <v>512</v>
      </c>
      <c r="B65">
        <v>1</v>
      </c>
      <c r="D65" t="s">
        <v>840</v>
      </c>
    </row>
    <row r="66" spans="1:4" x14ac:dyDescent="0.3">
      <c r="A66" s="22" t="s">
        <v>371</v>
      </c>
      <c r="B66">
        <v>1</v>
      </c>
      <c r="D66" t="s">
        <v>841</v>
      </c>
    </row>
    <row r="67" spans="1:4" x14ac:dyDescent="0.3">
      <c r="A67" s="22" t="s">
        <v>328</v>
      </c>
      <c r="B67">
        <v>1</v>
      </c>
      <c r="D67" t="s">
        <v>842</v>
      </c>
    </row>
    <row r="68" spans="1:4" x14ac:dyDescent="0.3">
      <c r="A68" s="22" t="s">
        <v>743</v>
      </c>
      <c r="B68">
        <v>1</v>
      </c>
      <c r="D68" t="s">
        <v>842</v>
      </c>
    </row>
    <row r="69" spans="1:4" x14ac:dyDescent="0.3">
      <c r="A69" s="22" t="s">
        <v>754</v>
      </c>
      <c r="B69">
        <v>1</v>
      </c>
    </row>
    <row r="70" spans="1:4" x14ac:dyDescent="0.3">
      <c r="A70" s="22" t="s">
        <v>541</v>
      </c>
      <c r="B70">
        <v>1</v>
      </c>
      <c r="D70" t="s">
        <v>843</v>
      </c>
    </row>
    <row r="71" spans="1:4" x14ac:dyDescent="0.3">
      <c r="A71" s="22" t="s">
        <v>492</v>
      </c>
      <c r="B71">
        <v>1</v>
      </c>
      <c r="D71" t="s">
        <v>844</v>
      </c>
    </row>
    <row r="72" spans="1:4" x14ac:dyDescent="0.3">
      <c r="A72" s="22" t="s">
        <v>232</v>
      </c>
      <c r="B72">
        <v>1</v>
      </c>
      <c r="D72" t="s">
        <v>844</v>
      </c>
    </row>
    <row r="73" spans="1:4" x14ac:dyDescent="0.3">
      <c r="A73" s="22" t="s">
        <v>756</v>
      </c>
      <c r="B73">
        <v>1</v>
      </c>
    </row>
    <row r="74" spans="1:4" x14ac:dyDescent="0.3">
      <c r="A74" s="22" t="s">
        <v>619</v>
      </c>
      <c r="B74">
        <v>1</v>
      </c>
      <c r="D74" t="s">
        <v>845</v>
      </c>
    </row>
    <row r="75" spans="1:4" x14ac:dyDescent="0.3">
      <c r="A75" s="22" t="s">
        <v>433</v>
      </c>
      <c r="B75">
        <v>1</v>
      </c>
      <c r="D75" t="s">
        <v>846</v>
      </c>
    </row>
    <row r="76" spans="1:4" x14ac:dyDescent="0.3">
      <c r="A76" s="22" t="s">
        <v>544</v>
      </c>
      <c r="B76">
        <v>1</v>
      </c>
      <c r="D76" t="s">
        <v>847</v>
      </c>
    </row>
    <row r="77" spans="1:4" x14ac:dyDescent="0.3">
      <c r="A77" s="22" t="s">
        <v>701</v>
      </c>
      <c r="B77">
        <v>1</v>
      </c>
      <c r="D77" t="s">
        <v>847</v>
      </c>
    </row>
    <row r="78" spans="1:4" x14ac:dyDescent="0.3">
      <c r="A78" s="22" t="s">
        <v>197</v>
      </c>
      <c r="B78">
        <v>1</v>
      </c>
      <c r="D78" t="s">
        <v>847</v>
      </c>
    </row>
    <row r="79" spans="1:4" x14ac:dyDescent="0.3">
      <c r="A79" s="22" t="s">
        <v>283</v>
      </c>
      <c r="B79">
        <v>1</v>
      </c>
      <c r="D79" t="s">
        <v>847</v>
      </c>
    </row>
    <row r="80" spans="1:4" x14ac:dyDescent="0.3">
      <c r="A80" s="22" t="s">
        <v>388</v>
      </c>
      <c r="B80">
        <v>1</v>
      </c>
      <c r="D80" t="s">
        <v>847</v>
      </c>
    </row>
    <row r="81" spans="1:4" x14ac:dyDescent="0.3">
      <c r="A81" s="22" t="s">
        <v>334</v>
      </c>
      <c r="B81">
        <v>1</v>
      </c>
      <c r="D81" t="s">
        <v>848</v>
      </c>
    </row>
    <row r="82" spans="1:4" x14ac:dyDescent="0.3">
      <c r="A82" s="22" t="s">
        <v>257</v>
      </c>
      <c r="B82">
        <v>1</v>
      </c>
      <c r="D82" t="s">
        <v>849</v>
      </c>
    </row>
    <row r="83" spans="1:4" x14ac:dyDescent="0.3">
      <c r="A83" s="22" t="s">
        <v>514</v>
      </c>
      <c r="B83">
        <v>1</v>
      </c>
      <c r="D83" t="s">
        <v>850</v>
      </c>
    </row>
    <row r="84" spans="1:4" x14ac:dyDescent="0.3">
      <c r="A84" s="22" t="s">
        <v>707</v>
      </c>
      <c r="B84">
        <v>1</v>
      </c>
      <c r="D84" t="s">
        <v>851</v>
      </c>
    </row>
    <row r="85" spans="1:4" x14ac:dyDescent="0.3">
      <c r="A85" s="22" t="s">
        <v>549</v>
      </c>
      <c r="B85">
        <v>1</v>
      </c>
      <c r="D85" t="s">
        <v>852</v>
      </c>
    </row>
    <row r="86" spans="1:4" x14ac:dyDescent="0.3">
      <c r="A86" s="22" t="s">
        <v>199</v>
      </c>
      <c r="B86">
        <v>1</v>
      </c>
      <c r="D86" t="s">
        <v>853</v>
      </c>
    </row>
    <row r="87" spans="1:4" ht="13.5" customHeight="1" x14ac:dyDescent="0.3">
      <c r="A87" s="91" t="s">
        <v>785</v>
      </c>
      <c r="B87">
        <v>1</v>
      </c>
    </row>
    <row r="88" spans="1:4" x14ac:dyDescent="0.3">
      <c r="A88" s="22" t="s">
        <v>643</v>
      </c>
      <c r="B88">
        <v>1</v>
      </c>
      <c r="D88" t="s">
        <v>854</v>
      </c>
    </row>
    <row r="89" spans="1:4" x14ac:dyDescent="0.3">
      <c r="A89" s="22" t="s">
        <v>787</v>
      </c>
      <c r="B89">
        <v>1</v>
      </c>
      <c r="D89" t="s">
        <v>855</v>
      </c>
    </row>
    <row r="90" spans="1:4" x14ac:dyDescent="0.3">
      <c r="A90" s="22" t="s">
        <v>652</v>
      </c>
      <c r="B90">
        <v>1</v>
      </c>
      <c r="D90" t="s">
        <v>856</v>
      </c>
    </row>
    <row r="91" spans="1:4" x14ac:dyDescent="0.3">
      <c r="A91" s="22" t="s">
        <v>272</v>
      </c>
      <c r="B91">
        <v>1</v>
      </c>
      <c r="D91" t="s">
        <v>857</v>
      </c>
    </row>
    <row r="92" spans="1:4" x14ac:dyDescent="0.3">
      <c r="A92" s="22" t="s">
        <v>344</v>
      </c>
      <c r="B92">
        <v>1</v>
      </c>
      <c r="D92" t="s">
        <v>858</v>
      </c>
    </row>
    <row r="93" spans="1:4" x14ac:dyDescent="0.3">
      <c r="A93" s="22" t="s">
        <v>220</v>
      </c>
      <c r="B93">
        <v>1</v>
      </c>
      <c r="D93" t="s">
        <v>859</v>
      </c>
    </row>
    <row r="94" spans="1:4" x14ac:dyDescent="0.3">
      <c r="A94" s="22" t="s">
        <v>740</v>
      </c>
      <c r="B94">
        <v>1</v>
      </c>
      <c r="D94" t="s">
        <v>860</v>
      </c>
    </row>
    <row r="95" spans="1:4" x14ac:dyDescent="0.3">
      <c r="A95" s="22" t="s">
        <v>475</v>
      </c>
      <c r="B95">
        <v>1</v>
      </c>
      <c r="D95" t="s">
        <v>861</v>
      </c>
    </row>
    <row r="96" spans="1:4" x14ac:dyDescent="0.3">
      <c r="A96" s="22" t="s">
        <v>430</v>
      </c>
      <c r="B96">
        <v>1</v>
      </c>
      <c r="D96" t="s">
        <v>861</v>
      </c>
    </row>
    <row r="97" spans="1:4" x14ac:dyDescent="0.3">
      <c r="A97" s="22" t="s">
        <v>538</v>
      </c>
      <c r="B97">
        <v>1</v>
      </c>
      <c r="D97" t="s">
        <v>861</v>
      </c>
    </row>
    <row r="98" spans="1:4" x14ac:dyDescent="0.3">
      <c r="A98" s="22" t="s">
        <v>390</v>
      </c>
      <c r="B98">
        <v>1</v>
      </c>
      <c r="D98" t="s">
        <v>862</v>
      </c>
    </row>
    <row r="99" spans="1:4" x14ac:dyDescent="0.3">
      <c r="A99" s="22" t="s">
        <v>737</v>
      </c>
      <c r="B99">
        <v>1</v>
      </c>
      <c r="D99" t="s">
        <v>863</v>
      </c>
    </row>
    <row r="100" spans="1:4" x14ac:dyDescent="0.3">
      <c r="A100" s="22" t="s">
        <v>304</v>
      </c>
      <c r="B100">
        <v>1</v>
      </c>
      <c r="D100" t="s">
        <v>863</v>
      </c>
    </row>
    <row r="101" spans="1:4" x14ac:dyDescent="0.3">
      <c r="A101" s="22" t="s">
        <v>639</v>
      </c>
      <c r="B101">
        <v>1</v>
      </c>
      <c r="D101" t="s">
        <v>864</v>
      </c>
    </row>
    <row r="102" spans="1:4" x14ac:dyDescent="0.3">
      <c r="A102" s="22" t="s">
        <v>776</v>
      </c>
      <c r="B102">
        <v>1</v>
      </c>
      <c r="D102" t="s">
        <v>864</v>
      </c>
    </row>
    <row r="103" spans="1:4" x14ac:dyDescent="0.3">
      <c r="A103" s="22" t="s">
        <v>537</v>
      </c>
      <c r="B103">
        <v>1</v>
      </c>
    </row>
    <row r="104" spans="1:4" x14ac:dyDescent="0.3">
      <c r="A104" s="22" t="s">
        <v>580</v>
      </c>
      <c r="B104">
        <v>1</v>
      </c>
      <c r="D104" t="s">
        <v>865</v>
      </c>
    </row>
    <row r="105" spans="1:4" x14ac:dyDescent="0.3">
      <c r="A105" s="22" t="s">
        <v>596</v>
      </c>
      <c r="B105">
        <v>1</v>
      </c>
      <c r="D105" t="s">
        <v>866</v>
      </c>
    </row>
    <row r="106" spans="1:4" x14ac:dyDescent="0.3">
      <c r="A106" s="91" t="s">
        <v>418</v>
      </c>
      <c r="B106">
        <v>1</v>
      </c>
    </row>
    <row r="107" spans="1:4" x14ac:dyDescent="0.3">
      <c r="A107" s="22" t="s">
        <v>592</v>
      </c>
      <c r="B107">
        <v>1</v>
      </c>
      <c r="D107" t="s">
        <v>867</v>
      </c>
    </row>
    <row r="108" spans="1:4" x14ac:dyDescent="0.3">
      <c r="A108" s="22" t="s">
        <v>620</v>
      </c>
      <c r="B108">
        <v>1</v>
      </c>
      <c r="D108" t="s">
        <v>868</v>
      </c>
    </row>
    <row r="109" spans="1:4" x14ac:dyDescent="0.3">
      <c r="A109" s="22" t="s">
        <v>401</v>
      </c>
      <c r="B109">
        <v>1</v>
      </c>
      <c r="D109" t="s">
        <v>869</v>
      </c>
    </row>
    <row r="110" spans="1:4" x14ac:dyDescent="0.3">
      <c r="A110" s="22" t="s">
        <v>716</v>
      </c>
      <c r="B110">
        <v>1</v>
      </c>
    </row>
    <row r="111" spans="1:4" s="4" customFormat="1" x14ac:dyDescent="0.3">
      <c r="A111" s="92" t="s">
        <v>327</v>
      </c>
      <c r="B111" s="4">
        <v>1</v>
      </c>
      <c r="D111" s="4" t="s">
        <v>870</v>
      </c>
    </row>
    <row r="112" spans="1:4" s="4" customFormat="1" x14ac:dyDescent="0.3">
      <c r="A112" s="92" t="s">
        <v>744</v>
      </c>
      <c r="B112" s="4">
        <v>1</v>
      </c>
      <c r="D112" s="4" t="s">
        <v>870</v>
      </c>
    </row>
    <row r="113" spans="1:8" s="4" customFormat="1" x14ac:dyDescent="0.3">
      <c r="A113" s="92" t="s">
        <v>513</v>
      </c>
      <c r="B113" s="4">
        <v>1</v>
      </c>
      <c r="D113" s="4" t="s">
        <v>870</v>
      </c>
    </row>
    <row r="114" spans="1:8" s="4" customFormat="1" x14ac:dyDescent="0.3">
      <c r="A114" s="92" t="s">
        <v>589</v>
      </c>
      <c r="B114" s="4">
        <v>1</v>
      </c>
      <c r="D114" t="s">
        <v>870</v>
      </c>
      <c r="G114" s="4" t="s">
        <v>870</v>
      </c>
      <c r="H114" s="4" t="s">
        <v>1059</v>
      </c>
    </row>
    <row r="115" spans="1:8" x14ac:dyDescent="0.3">
      <c r="A115" s="22" t="s">
        <v>323</v>
      </c>
      <c r="B115">
        <v>1</v>
      </c>
      <c r="D115" t="s">
        <v>871</v>
      </c>
    </row>
    <row r="116" spans="1:8" x14ac:dyDescent="0.3">
      <c r="A116" s="22" t="s">
        <v>264</v>
      </c>
      <c r="B116">
        <v>1</v>
      </c>
      <c r="D116" t="s">
        <v>871</v>
      </c>
    </row>
    <row r="117" spans="1:8" x14ac:dyDescent="0.3">
      <c r="A117" s="22" t="s">
        <v>279</v>
      </c>
      <c r="B117">
        <v>1</v>
      </c>
      <c r="D117" t="s">
        <v>871</v>
      </c>
    </row>
    <row r="118" spans="1:8" x14ac:dyDescent="0.3">
      <c r="A118" s="22" t="s">
        <v>543</v>
      </c>
      <c r="B118">
        <v>1</v>
      </c>
      <c r="D118" t="s">
        <v>871</v>
      </c>
    </row>
    <row r="119" spans="1:8" x14ac:dyDescent="0.3">
      <c r="A119" s="22" t="s">
        <v>610</v>
      </c>
      <c r="B119">
        <v>1</v>
      </c>
      <c r="D119" t="s">
        <v>871</v>
      </c>
    </row>
    <row r="120" spans="1:8" x14ac:dyDescent="0.3">
      <c r="A120" s="22" t="s">
        <v>624</v>
      </c>
      <c r="B120">
        <v>1</v>
      </c>
      <c r="D120" t="s">
        <v>872</v>
      </c>
    </row>
    <row r="121" spans="1:8" x14ac:dyDescent="0.3">
      <c r="A121" s="22" t="s">
        <v>177</v>
      </c>
      <c r="B121">
        <v>1</v>
      </c>
      <c r="D121" t="s">
        <v>872</v>
      </c>
    </row>
    <row r="122" spans="1:8" x14ac:dyDescent="0.3">
      <c r="A122" s="22" t="s">
        <v>631</v>
      </c>
      <c r="B122">
        <v>1</v>
      </c>
      <c r="D122" t="s">
        <v>873</v>
      </c>
    </row>
    <row r="123" spans="1:8" x14ac:dyDescent="0.3">
      <c r="A123" s="22" t="s">
        <v>301</v>
      </c>
      <c r="B123">
        <v>1</v>
      </c>
      <c r="D123" t="s">
        <v>873</v>
      </c>
      <c r="F123" t="s">
        <v>874</v>
      </c>
    </row>
    <row r="124" spans="1:8" x14ac:dyDescent="0.3">
      <c r="A124" s="22" t="s">
        <v>295</v>
      </c>
      <c r="B124">
        <v>1</v>
      </c>
      <c r="D124" t="s">
        <v>875</v>
      </c>
    </row>
    <row r="125" spans="1:8" x14ac:dyDescent="0.3">
      <c r="A125" s="22" t="s">
        <v>281</v>
      </c>
      <c r="B125">
        <v>1</v>
      </c>
      <c r="D125" t="s">
        <v>876</v>
      </c>
    </row>
    <row r="126" spans="1:8" x14ac:dyDescent="0.3">
      <c r="A126" s="22" t="s">
        <v>728</v>
      </c>
      <c r="B126">
        <v>1</v>
      </c>
      <c r="D126" t="s">
        <v>876</v>
      </c>
    </row>
    <row r="127" spans="1:8" x14ac:dyDescent="0.3">
      <c r="A127" s="22" t="s">
        <v>331</v>
      </c>
      <c r="B127">
        <v>1</v>
      </c>
    </row>
    <row r="128" spans="1:8" x14ac:dyDescent="0.3">
      <c r="A128" s="22" t="s">
        <v>445</v>
      </c>
      <c r="B128">
        <v>1</v>
      </c>
      <c r="D128" t="s">
        <v>877</v>
      </c>
    </row>
    <row r="129" spans="1:4" x14ac:dyDescent="0.3">
      <c r="A129" s="22" t="s">
        <v>730</v>
      </c>
      <c r="B129">
        <v>1</v>
      </c>
      <c r="D129" t="s">
        <v>878</v>
      </c>
    </row>
    <row r="130" spans="1:4" x14ac:dyDescent="0.3">
      <c r="A130" s="22" t="s">
        <v>241</v>
      </c>
      <c r="B130">
        <v>1</v>
      </c>
      <c r="D130" t="s">
        <v>879</v>
      </c>
    </row>
    <row r="131" spans="1:4" x14ac:dyDescent="0.3">
      <c r="A131" s="22" t="s">
        <v>332</v>
      </c>
      <c r="B131">
        <v>1</v>
      </c>
      <c r="D131" t="s">
        <v>880</v>
      </c>
    </row>
    <row r="132" spans="1:4" x14ac:dyDescent="0.3">
      <c r="A132" s="22" t="s">
        <v>393</v>
      </c>
      <c r="B132">
        <v>1</v>
      </c>
      <c r="D132" t="s">
        <v>880</v>
      </c>
    </row>
    <row r="133" spans="1:4" x14ac:dyDescent="0.3">
      <c r="A133" s="22" t="s">
        <v>384</v>
      </c>
      <c r="B133">
        <v>1</v>
      </c>
      <c r="D133" t="s">
        <v>881</v>
      </c>
    </row>
    <row r="134" spans="1:4" x14ac:dyDescent="0.3">
      <c r="A134" s="22" t="s">
        <v>298</v>
      </c>
      <c r="B134">
        <v>1</v>
      </c>
      <c r="D134" t="s">
        <v>882</v>
      </c>
    </row>
    <row r="135" spans="1:4" x14ac:dyDescent="0.3">
      <c r="A135" s="22" t="s">
        <v>342</v>
      </c>
      <c r="B135">
        <v>1</v>
      </c>
      <c r="D135" t="s">
        <v>883</v>
      </c>
    </row>
    <row r="136" spans="1:4" x14ac:dyDescent="0.3">
      <c r="A136" s="22" t="s">
        <v>790</v>
      </c>
      <c r="B136">
        <v>1</v>
      </c>
      <c r="D136" t="s">
        <v>883</v>
      </c>
    </row>
    <row r="137" spans="1:4" x14ac:dyDescent="0.3">
      <c r="A137" s="22" t="s">
        <v>382</v>
      </c>
      <c r="B137">
        <v>1</v>
      </c>
    </row>
    <row r="138" spans="1:4" x14ac:dyDescent="0.3">
      <c r="A138" s="22" t="s">
        <v>259</v>
      </c>
      <c r="B138">
        <v>1</v>
      </c>
      <c r="D138" t="s">
        <v>884</v>
      </c>
    </row>
    <row r="139" spans="1:4" x14ac:dyDescent="0.3">
      <c r="A139" s="22" t="s">
        <v>351</v>
      </c>
      <c r="B139">
        <v>1</v>
      </c>
      <c r="D139" t="s">
        <v>884</v>
      </c>
    </row>
    <row r="140" spans="1:4" x14ac:dyDescent="0.3">
      <c r="A140" s="22" t="s">
        <v>407</v>
      </c>
      <c r="B140">
        <v>1</v>
      </c>
      <c r="D140" t="s">
        <v>884</v>
      </c>
    </row>
    <row r="141" spans="1:4" x14ac:dyDescent="0.3">
      <c r="A141" s="22" t="s">
        <v>496</v>
      </c>
      <c r="B141">
        <v>1</v>
      </c>
      <c r="D141" t="s">
        <v>885</v>
      </c>
    </row>
    <row r="142" spans="1:4" x14ac:dyDescent="0.3">
      <c r="A142" s="22" t="s">
        <v>225</v>
      </c>
      <c r="B142">
        <v>1</v>
      </c>
      <c r="D142" t="s">
        <v>886</v>
      </c>
    </row>
    <row r="143" spans="1:4" x14ac:dyDescent="0.3">
      <c r="A143" s="22" t="s">
        <v>186</v>
      </c>
      <c r="B143">
        <v>1</v>
      </c>
      <c r="D143" t="s">
        <v>887</v>
      </c>
    </row>
    <row r="144" spans="1:4" ht="15.75" customHeight="1" x14ac:dyDescent="0.3">
      <c r="A144" s="22" t="s">
        <v>267</v>
      </c>
      <c r="B144">
        <v>1</v>
      </c>
      <c r="D144" t="s">
        <v>888</v>
      </c>
    </row>
    <row r="145" spans="1:5" x14ac:dyDescent="0.3">
      <c r="A145" s="22" t="s">
        <v>794</v>
      </c>
      <c r="B145">
        <v>1</v>
      </c>
    </row>
    <row r="146" spans="1:5" x14ac:dyDescent="0.3">
      <c r="A146" s="22" t="s">
        <v>677</v>
      </c>
      <c r="B146">
        <v>1</v>
      </c>
      <c r="D146" t="s">
        <v>889</v>
      </c>
    </row>
    <row r="147" spans="1:5" x14ac:dyDescent="0.3">
      <c r="A147" s="22" t="s">
        <v>246</v>
      </c>
      <c r="B147">
        <v>1</v>
      </c>
      <c r="D147" t="s">
        <v>890</v>
      </c>
    </row>
    <row r="148" spans="1:5" x14ac:dyDescent="0.3">
      <c r="A148" s="22" t="s">
        <v>772</v>
      </c>
      <c r="B148">
        <v>1</v>
      </c>
      <c r="D148" t="s">
        <v>891</v>
      </c>
    </row>
    <row r="149" spans="1:5" x14ac:dyDescent="0.3">
      <c r="A149" s="22" t="s">
        <v>449</v>
      </c>
      <c r="B149">
        <v>1</v>
      </c>
      <c r="E149" t="s">
        <v>892</v>
      </c>
    </row>
    <row r="150" spans="1:5" x14ac:dyDescent="0.3">
      <c r="A150" s="22" t="s">
        <v>352</v>
      </c>
      <c r="B150">
        <v>1</v>
      </c>
      <c r="D150" t="s">
        <v>893</v>
      </c>
    </row>
    <row r="151" spans="1:5" x14ac:dyDescent="0.3">
      <c r="A151" s="22" t="s">
        <v>434</v>
      </c>
      <c r="B151">
        <v>1</v>
      </c>
      <c r="D151" t="s">
        <v>894</v>
      </c>
    </row>
    <row r="152" spans="1:5" x14ac:dyDescent="0.3">
      <c r="A152" s="22" t="s">
        <v>725</v>
      </c>
      <c r="B152">
        <v>1</v>
      </c>
      <c r="D152" t="s">
        <v>895</v>
      </c>
    </row>
    <row r="153" spans="1:5" x14ac:dyDescent="0.3">
      <c r="A153" s="22" t="s">
        <v>391</v>
      </c>
      <c r="B153">
        <v>1</v>
      </c>
      <c r="D153" t="s">
        <v>896</v>
      </c>
    </row>
    <row r="154" spans="1:5" x14ac:dyDescent="0.3">
      <c r="A154" s="22" t="s">
        <v>579</v>
      </c>
      <c r="B154">
        <v>1</v>
      </c>
      <c r="D154" t="s">
        <v>897</v>
      </c>
    </row>
    <row r="155" spans="1:5" x14ac:dyDescent="0.3">
      <c r="A155" s="22" t="s">
        <v>356</v>
      </c>
      <c r="B155">
        <v>1</v>
      </c>
      <c r="D155" t="s">
        <v>897</v>
      </c>
    </row>
    <row r="156" spans="1:5" x14ac:dyDescent="0.3">
      <c r="A156" s="22" t="s">
        <v>345</v>
      </c>
      <c r="B156">
        <v>1</v>
      </c>
      <c r="D156" t="s">
        <v>897</v>
      </c>
    </row>
    <row r="157" spans="1:5" x14ac:dyDescent="0.3">
      <c r="A157" s="22" t="s">
        <v>637</v>
      </c>
      <c r="B157">
        <v>1</v>
      </c>
      <c r="D157" t="s">
        <v>898</v>
      </c>
    </row>
    <row r="158" spans="1:5" x14ac:dyDescent="0.3">
      <c r="A158" s="22" t="s">
        <v>641</v>
      </c>
      <c r="B158">
        <v>1</v>
      </c>
      <c r="D158" t="s">
        <v>899</v>
      </c>
    </row>
    <row r="159" spans="1:5" x14ac:dyDescent="0.3">
      <c r="A159" s="22" t="s">
        <v>467</v>
      </c>
      <c r="B159">
        <v>1</v>
      </c>
      <c r="D159" t="s">
        <v>899</v>
      </c>
    </row>
    <row r="160" spans="1:5" x14ac:dyDescent="0.3">
      <c r="A160" s="22" t="s">
        <v>681</v>
      </c>
      <c r="B160">
        <v>1</v>
      </c>
      <c r="D160" t="s">
        <v>899</v>
      </c>
    </row>
    <row r="161" spans="1:4" x14ac:dyDescent="0.3">
      <c r="A161" s="22" t="s">
        <v>478</v>
      </c>
      <c r="B161">
        <v>1</v>
      </c>
      <c r="D161" t="s">
        <v>900</v>
      </c>
    </row>
    <row r="162" spans="1:4" x14ac:dyDescent="0.3">
      <c r="A162" s="22" t="s">
        <v>586</v>
      </c>
      <c r="B162">
        <v>1</v>
      </c>
      <c r="D162" t="s">
        <v>900</v>
      </c>
    </row>
    <row r="163" spans="1:4" x14ac:dyDescent="0.3">
      <c r="A163" s="22" t="s">
        <v>591</v>
      </c>
      <c r="B163">
        <v>1</v>
      </c>
      <c r="D163" t="s">
        <v>900</v>
      </c>
    </row>
    <row r="164" spans="1:4" x14ac:dyDescent="0.3">
      <c r="A164" s="22" t="s">
        <v>313</v>
      </c>
      <c r="B164">
        <v>1</v>
      </c>
      <c r="D164" t="s">
        <v>900</v>
      </c>
    </row>
    <row r="165" spans="1:4" x14ac:dyDescent="0.3">
      <c r="A165" s="22" t="s">
        <v>311</v>
      </c>
      <c r="B165">
        <v>1</v>
      </c>
      <c r="D165" t="s">
        <v>900</v>
      </c>
    </row>
    <row r="166" spans="1:4" x14ac:dyDescent="0.3">
      <c r="A166" s="22" t="s">
        <v>536</v>
      </c>
      <c r="B166">
        <v>1</v>
      </c>
      <c r="D166" t="s">
        <v>900</v>
      </c>
    </row>
    <row r="167" spans="1:4" x14ac:dyDescent="0.3">
      <c r="A167" s="22" t="s">
        <v>296</v>
      </c>
      <c r="B167">
        <v>1</v>
      </c>
      <c r="D167" t="s">
        <v>900</v>
      </c>
    </row>
    <row r="168" spans="1:4" x14ac:dyDescent="0.3">
      <c r="A168" s="22" t="s">
        <v>252</v>
      </c>
      <c r="B168">
        <v>1</v>
      </c>
      <c r="D168" t="s">
        <v>900</v>
      </c>
    </row>
    <row r="169" spans="1:4" x14ac:dyDescent="0.3">
      <c r="A169" s="22" t="s">
        <v>792</v>
      </c>
      <c r="B169">
        <v>1</v>
      </c>
      <c r="D169" t="s">
        <v>900</v>
      </c>
    </row>
    <row r="170" spans="1:4" x14ac:dyDescent="0.3">
      <c r="A170" s="22" t="s">
        <v>255</v>
      </c>
      <c r="B170">
        <v>1</v>
      </c>
      <c r="D170" t="s">
        <v>901</v>
      </c>
    </row>
    <row r="171" spans="1:4" x14ac:dyDescent="0.3">
      <c r="A171" s="22" t="s">
        <v>471</v>
      </c>
      <c r="B171">
        <v>1</v>
      </c>
      <c r="D171" t="s">
        <v>901</v>
      </c>
    </row>
    <row r="172" spans="1:4" x14ac:dyDescent="0.3">
      <c r="A172" s="22" t="s">
        <v>337</v>
      </c>
      <c r="B172">
        <v>1</v>
      </c>
    </row>
    <row r="173" spans="1:4" ht="14.25" customHeight="1" x14ac:dyDescent="0.3">
      <c r="A173" s="22" t="s">
        <v>244</v>
      </c>
      <c r="B173">
        <v>1</v>
      </c>
      <c r="D173" t="s">
        <v>902</v>
      </c>
    </row>
    <row r="174" spans="1:4" x14ac:dyDescent="0.3">
      <c r="A174" s="22" t="s">
        <v>720</v>
      </c>
      <c r="B174">
        <v>1</v>
      </c>
      <c r="D174" t="s">
        <v>903</v>
      </c>
    </row>
    <row r="175" spans="1:4" x14ac:dyDescent="0.3">
      <c r="A175" s="22" t="s">
        <v>372</v>
      </c>
      <c r="B175">
        <v>1</v>
      </c>
      <c r="D175" t="s">
        <v>903</v>
      </c>
    </row>
    <row r="176" spans="1:4" x14ac:dyDescent="0.3">
      <c r="A176" s="22" t="s">
        <v>452</v>
      </c>
      <c r="B176">
        <v>1</v>
      </c>
      <c r="D176" t="s">
        <v>903</v>
      </c>
    </row>
    <row r="177" spans="1:4" x14ac:dyDescent="0.3">
      <c r="A177" s="22" t="s">
        <v>247</v>
      </c>
      <c r="B177">
        <v>1</v>
      </c>
      <c r="D177" t="s">
        <v>903</v>
      </c>
    </row>
    <row r="178" spans="1:4" x14ac:dyDescent="0.3">
      <c r="A178" s="22" t="s">
        <v>378</v>
      </c>
      <c r="B178">
        <v>1</v>
      </c>
      <c r="D178" t="s">
        <v>904</v>
      </c>
    </row>
    <row r="179" spans="1:4" ht="14.25" customHeight="1" x14ac:dyDescent="0.3">
      <c r="A179" s="22" t="s">
        <v>226</v>
      </c>
      <c r="B179">
        <v>1</v>
      </c>
    </row>
    <row r="180" spans="1:4" x14ac:dyDescent="0.3">
      <c r="A180" s="22" t="s">
        <v>353</v>
      </c>
      <c r="B180">
        <v>1</v>
      </c>
      <c r="D180" t="s">
        <v>905</v>
      </c>
    </row>
    <row r="181" spans="1:4" x14ac:dyDescent="0.3">
      <c r="A181" s="22" t="s">
        <v>664</v>
      </c>
      <c r="B181">
        <v>1</v>
      </c>
      <c r="D181" t="s">
        <v>905</v>
      </c>
    </row>
    <row r="182" spans="1:4" x14ac:dyDescent="0.3">
      <c r="A182" s="22" t="s">
        <v>523</v>
      </c>
      <c r="B182">
        <v>1</v>
      </c>
      <c r="D182" t="s">
        <v>905</v>
      </c>
    </row>
    <row r="183" spans="1:4" x14ac:dyDescent="0.3">
      <c r="A183" s="22" t="s">
        <v>221</v>
      </c>
      <c r="B183">
        <v>1</v>
      </c>
      <c r="D183" t="s">
        <v>906</v>
      </c>
    </row>
    <row r="184" spans="1:4" x14ac:dyDescent="0.3">
      <c r="A184" s="22" t="s">
        <v>349</v>
      </c>
      <c r="B184">
        <v>1</v>
      </c>
      <c r="D184" t="s">
        <v>907</v>
      </c>
    </row>
    <row r="185" spans="1:4" x14ac:dyDescent="0.3">
      <c r="A185" s="22" t="s">
        <v>254</v>
      </c>
      <c r="B185">
        <v>1</v>
      </c>
      <c r="D185" t="s">
        <v>907</v>
      </c>
    </row>
    <row r="186" spans="1:4" x14ac:dyDescent="0.3">
      <c r="A186" s="22" t="s">
        <v>403</v>
      </c>
      <c r="B186">
        <v>1</v>
      </c>
      <c r="D186" t="s">
        <v>908</v>
      </c>
    </row>
    <row r="187" spans="1:4" x14ac:dyDescent="0.3">
      <c r="A187" s="22" t="s">
        <v>502</v>
      </c>
      <c r="B187">
        <v>1</v>
      </c>
      <c r="D187" t="s">
        <v>908</v>
      </c>
    </row>
    <row r="188" spans="1:4" ht="14.25" customHeight="1" x14ac:dyDescent="0.3">
      <c r="A188" s="22" t="s">
        <v>359</v>
      </c>
      <c r="B188">
        <v>1</v>
      </c>
      <c r="D188" t="s">
        <v>908</v>
      </c>
    </row>
    <row r="189" spans="1:4" x14ac:dyDescent="0.3">
      <c r="A189" s="22" t="s">
        <v>710</v>
      </c>
      <c r="B189">
        <v>1</v>
      </c>
    </row>
    <row r="190" spans="1:4" x14ac:dyDescent="0.3">
      <c r="A190" s="22" t="s">
        <v>196</v>
      </c>
      <c r="B190">
        <v>1</v>
      </c>
      <c r="D190" t="s">
        <v>909</v>
      </c>
    </row>
    <row r="191" spans="1:4" x14ac:dyDescent="0.3">
      <c r="A191" s="22" t="s">
        <v>515</v>
      </c>
      <c r="B191">
        <v>1</v>
      </c>
      <c r="D191" t="s">
        <v>910</v>
      </c>
    </row>
    <row r="192" spans="1:4" x14ac:dyDescent="0.3">
      <c r="A192" s="22" t="s">
        <v>706</v>
      </c>
      <c r="B192">
        <v>1</v>
      </c>
      <c r="D192" t="s">
        <v>911</v>
      </c>
    </row>
    <row r="193" spans="1:4" x14ac:dyDescent="0.3">
      <c r="A193" s="22" t="s">
        <v>215</v>
      </c>
      <c r="B193">
        <v>1</v>
      </c>
      <c r="D193" t="s">
        <v>911</v>
      </c>
    </row>
    <row r="194" spans="1:4" x14ac:dyDescent="0.3">
      <c r="A194" s="22" t="s">
        <v>182</v>
      </c>
      <c r="B194">
        <v>1</v>
      </c>
      <c r="D194" t="s">
        <v>912</v>
      </c>
    </row>
    <row r="195" spans="1:4" x14ac:dyDescent="0.3">
      <c r="A195" s="22" t="s">
        <v>626</v>
      </c>
      <c r="B195">
        <v>1</v>
      </c>
      <c r="D195" t="s">
        <v>913</v>
      </c>
    </row>
    <row r="196" spans="1:4" ht="14.25" customHeight="1" x14ac:dyDescent="0.3">
      <c r="A196" s="22" t="s">
        <v>472</v>
      </c>
      <c r="B196">
        <v>1</v>
      </c>
      <c r="D196" t="s">
        <v>914</v>
      </c>
    </row>
    <row r="197" spans="1:4" x14ac:dyDescent="0.3">
      <c r="A197" s="22" t="s">
        <v>273</v>
      </c>
      <c r="B197">
        <v>1</v>
      </c>
      <c r="D197" t="s">
        <v>915</v>
      </c>
    </row>
    <row r="198" spans="1:4" x14ac:dyDescent="0.3">
      <c r="A198" s="22" t="s">
        <v>633</v>
      </c>
      <c r="B198">
        <v>1</v>
      </c>
      <c r="D198" t="s">
        <v>916</v>
      </c>
    </row>
    <row r="199" spans="1:4" x14ac:dyDescent="0.3">
      <c r="A199" s="22" t="s">
        <v>622</v>
      </c>
      <c r="B199">
        <v>1</v>
      </c>
      <c r="D199" t="s">
        <v>917</v>
      </c>
    </row>
    <row r="200" spans="1:4" x14ac:dyDescent="0.3">
      <c r="A200" s="22" t="s">
        <v>395</v>
      </c>
      <c r="B200">
        <v>1</v>
      </c>
      <c r="D200" t="s">
        <v>918</v>
      </c>
    </row>
    <row r="201" spans="1:4" ht="14.25" customHeight="1" x14ac:dyDescent="0.3">
      <c r="A201" s="22" t="s">
        <v>375</v>
      </c>
      <c r="B201">
        <v>1</v>
      </c>
      <c r="D201" t="s">
        <v>919</v>
      </c>
    </row>
    <row r="202" spans="1:4" x14ac:dyDescent="0.3">
      <c r="A202" s="22" t="s">
        <v>504</v>
      </c>
      <c r="B202">
        <v>1</v>
      </c>
      <c r="D202" t="s">
        <v>920</v>
      </c>
    </row>
    <row r="203" spans="1:4" x14ac:dyDescent="0.3">
      <c r="A203" s="22" t="s">
        <v>627</v>
      </c>
      <c r="B203">
        <v>1</v>
      </c>
      <c r="D203" t="s">
        <v>921</v>
      </c>
    </row>
    <row r="204" spans="1:4" x14ac:dyDescent="0.3">
      <c r="A204" s="22" t="s">
        <v>606</v>
      </c>
      <c r="B204">
        <v>1</v>
      </c>
      <c r="D204" t="s">
        <v>922</v>
      </c>
    </row>
    <row r="205" spans="1:4" x14ac:dyDescent="0.3">
      <c r="A205" s="22" t="s">
        <v>698</v>
      </c>
      <c r="B205">
        <v>1</v>
      </c>
      <c r="D205" t="s">
        <v>923</v>
      </c>
    </row>
    <row r="206" spans="1:4" x14ac:dyDescent="0.3">
      <c r="A206" s="22" t="s">
        <v>726</v>
      </c>
      <c r="B206">
        <v>1</v>
      </c>
      <c r="D206" t="s">
        <v>923</v>
      </c>
    </row>
    <row r="207" spans="1:4" x14ac:dyDescent="0.3">
      <c r="A207" s="22" t="s">
        <v>721</v>
      </c>
      <c r="B207">
        <v>1</v>
      </c>
    </row>
    <row r="208" spans="1:4" x14ac:dyDescent="0.3">
      <c r="A208" s="22" t="s">
        <v>734</v>
      </c>
      <c r="B208">
        <v>1</v>
      </c>
    </row>
    <row r="209" spans="1:4" x14ac:dyDescent="0.3">
      <c r="A209" s="22" t="s">
        <v>689</v>
      </c>
      <c r="B209">
        <v>1</v>
      </c>
      <c r="D209" t="s">
        <v>924</v>
      </c>
    </row>
    <row r="210" spans="1:4" x14ac:dyDescent="0.3">
      <c r="A210" s="22" t="s">
        <v>451</v>
      </c>
      <c r="B210">
        <v>1</v>
      </c>
      <c r="D210" t="s">
        <v>925</v>
      </c>
    </row>
    <row r="211" spans="1:4" x14ac:dyDescent="0.3">
      <c r="A211" s="22" t="s">
        <v>340</v>
      </c>
      <c r="B211">
        <v>1</v>
      </c>
      <c r="D211" t="s">
        <v>926</v>
      </c>
    </row>
    <row r="212" spans="1:4" x14ac:dyDescent="0.3">
      <c r="A212" s="22" t="s">
        <v>326</v>
      </c>
      <c r="B212">
        <v>1</v>
      </c>
      <c r="D212" t="s">
        <v>927</v>
      </c>
    </row>
    <row r="213" spans="1:4" x14ac:dyDescent="0.3">
      <c r="A213" s="22" t="s">
        <v>303</v>
      </c>
      <c r="B213">
        <v>1</v>
      </c>
      <c r="D213" t="s">
        <v>927</v>
      </c>
    </row>
    <row r="214" spans="1:4" x14ac:dyDescent="0.3">
      <c r="A214" s="22" t="s">
        <v>501</v>
      </c>
      <c r="B214">
        <v>1</v>
      </c>
      <c r="D214" t="s">
        <v>927</v>
      </c>
    </row>
    <row r="215" spans="1:4" x14ac:dyDescent="0.3">
      <c r="A215" s="22" t="s">
        <v>363</v>
      </c>
      <c r="B215">
        <v>1</v>
      </c>
      <c r="D215" t="s">
        <v>927</v>
      </c>
    </row>
    <row r="216" spans="1:4" x14ac:dyDescent="0.3">
      <c r="A216" s="22" t="s">
        <v>179</v>
      </c>
      <c r="B216">
        <v>1</v>
      </c>
      <c r="D216" t="s">
        <v>928</v>
      </c>
    </row>
    <row r="217" spans="1:4" x14ac:dyDescent="0.3">
      <c r="A217" s="22" t="s">
        <v>650</v>
      </c>
      <c r="B217">
        <v>1</v>
      </c>
      <c r="D217" t="s">
        <v>929</v>
      </c>
    </row>
    <row r="218" spans="1:4" ht="14.25" customHeight="1" x14ac:dyDescent="0.3">
      <c r="A218" s="22" t="s">
        <v>789</v>
      </c>
      <c r="B218">
        <v>1</v>
      </c>
    </row>
    <row r="219" spans="1:4" x14ac:dyDescent="0.3">
      <c r="A219" s="22" t="s">
        <v>286</v>
      </c>
      <c r="B219">
        <v>1</v>
      </c>
      <c r="D219" t="s">
        <v>930</v>
      </c>
    </row>
    <row r="220" spans="1:4" x14ac:dyDescent="0.3">
      <c r="A220" s="22" t="s">
        <v>508</v>
      </c>
      <c r="B220">
        <v>1</v>
      </c>
      <c r="D220" t="s">
        <v>931</v>
      </c>
    </row>
    <row r="221" spans="1:4" x14ac:dyDescent="0.3">
      <c r="A221" s="22" t="s">
        <v>440</v>
      </c>
      <c r="B221">
        <v>1</v>
      </c>
      <c r="D221" t="s">
        <v>932</v>
      </c>
    </row>
    <row r="222" spans="1:4" x14ac:dyDescent="0.3">
      <c r="A222" s="22" t="s">
        <v>231</v>
      </c>
      <c r="B222">
        <v>1</v>
      </c>
      <c r="D222" t="s">
        <v>933</v>
      </c>
    </row>
    <row r="223" spans="1:4" x14ac:dyDescent="0.3">
      <c r="A223" s="22" t="s">
        <v>640</v>
      </c>
      <c r="B223">
        <v>1</v>
      </c>
      <c r="D223" t="s">
        <v>933</v>
      </c>
    </row>
    <row r="224" spans="1:4" x14ac:dyDescent="0.3">
      <c r="A224" s="22" t="s">
        <v>271</v>
      </c>
      <c r="B224">
        <v>1</v>
      </c>
      <c r="D224" t="s">
        <v>933</v>
      </c>
    </row>
    <row r="225" spans="1:4" x14ac:dyDescent="0.3">
      <c r="A225" s="22" t="s">
        <v>343</v>
      </c>
      <c r="B225">
        <v>1</v>
      </c>
      <c r="D225" t="s">
        <v>933</v>
      </c>
    </row>
    <row r="226" spans="1:4" x14ac:dyDescent="0.3">
      <c r="A226" s="22" t="s">
        <v>293</v>
      </c>
      <c r="B226">
        <v>1</v>
      </c>
      <c r="D226" t="s">
        <v>933</v>
      </c>
    </row>
    <row r="227" spans="1:4" x14ac:dyDescent="0.3">
      <c r="A227" s="22" t="s">
        <v>321</v>
      </c>
      <c r="B227">
        <v>1</v>
      </c>
      <c r="D227" t="s">
        <v>933</v>
      </c>
    </row>
    <row r="228" spans="1:4" x14ac:dyDescent="0.3">
      <c r="A228" s="22" t="s">
        <v>302</v>
      </c>
      <c r="B228">
        <v>1</v>
      </c>
      <c r="D228" t="s">
        <v>933</v>
      </c>
    </row>
    <row r="229" spans="1:4" ht="14.25" customHeight="1" x14ac:dyDescent="0.3">
      <c r="A229" s="22" t="s">
        <v>380</v>
      </c>
      <c r="B229">
        <v>1</v>
      </c>
      <c r="D229" t="s">
        <v>934</v>
      </c>
    </row>
    <row r="230" spans="1:4" x14ac:dyDescent="0.3">
      <c r="A230" s="22" t="s">
        <v>752</v>
      </c>
      <c r="B230">
        <v>1</v>
      </c>
    </row>
    <row r="231" spans="1:4" x14ac:dyDescent="0.3">
      <c r="A231" s="22" t="s">
        <v>736</v>
      </c>
      <c r="B231">
        <v>1</v>
      </c>
    </row>
    <row r="232" spans="1:4" x14ac:dyDescent="0.3">
      <c r="A232" s="22" t="s">
        <v>621</v>
      </c>
      <c r="B232">
        <v>1</v>
      </c>
      <c r="D232" t="s">
        <v>935</v>
      </c>
    </row>
    <row r="233" spans="1:4" x14ac:dyDescent="0.3">
      <c r="A233" s="22" t="s">
        <v>446</v>
      </c>
      <c r="B233">
        <v>1</v>
      </c>
      <c r="D233" t="s">
        <v>936</v>
      </c>
    </row>
    <row r="234" spans="1:4" x14ac:dyDescent="0.3">
      <c r="A234" s="22" t="s">
        <v>284</v>
      </c>
      <c r="B234">
        <v>1</v>
      </c>
      <c r="D234" t="s">
        <v>937</v>
      </c>
    </row>
    <row r="235" spans="1:4" x14ac:dyDescent="0.3">
      <c r="A235" s="22" t="s">
        <v>176</v>
      </c>
      <c r="B235">
        <v>1</v>
      </c>
      <c r="D235" t="s">
        <v>938</v>
      </c>
    </row>
    <row r="236" spans="1:4" x14ac:dyDescent="0.3">
      <c r="A236" s="22" t="s">
        <v>439</v>
      </c>
      <c r="B236">
        <v>1</v>
      </c>
      <c r="D236" t="s">
        <v>939</v>
      </c>
    </row>
    <row r="237" spans="1:4" x14ac:dyDescent="0.3">
      <c r="A237" s="22" t="s">
        <v>757</v>
      </c>
      <c r="B237">
        <v>1</v>
      </c>
    </row>
    <row r="238" spans="1:4" x14ac:dyDescent="0.3">
      <c r="A238" s="22" t="s">
        <v>453</v>
      </c>
      <c r="B238">
        <v>1</v>
      </c>
      <c r="D238" t="s">
        <v>940</v>
      </c>
    </row>
    <row r="239" spans="1:4" x14ac:dyDescent="0.3">
      <c r="A239" s="22" t="s">
        <v>644</v>
      </c>
      <c r="B239">
        <v>1</v>
      </c>
      <c r="D239" t="s">
        <v>941</v>
      </c>
    </row>
    <row r="240" spans="1:4" x14ac:dyDescent="0.3">
      <c r="A240" s="22" t="s">
        <v>300</v>
      </c>
      <c r="B240">
        <v>1</v>
      </c>
      <c r="D240" t="s">
        <v>942</v>
      </c>
    </row>
    <row r="241" spans="1:7" x14ac:dyDescent="0.3">
      <c r="A241" s="22" t="s">
        <v>365</v>
      </c>
      <c r="B241">
        <v>1</v>
      </c>
      <c r="D241" t="s">
        <v>943</v>
      </c>
    </row>
    <row r="242" spans="1:7" x14ac:dyDescent="0.3">
      <c r="A242" s="22" t="s">
        <v>477</v>
      </c>
      <c r="B242">
        <v>1</v>
      </c>
      <c r="D242" t="s">
        <v>943</v>
      </c>
    </row>
    <row r="243" spans="1:7" x14ac:dyDescent="0.3">
      <c r="A243" s="22" t="s">
        <v>699</v>
      </c>
      <c r="B243">
        <v>1</v>
      </c>
      <c r="D243" t="s">
        <v>943</v>
      </c>
    </row>
    <row r="244" spans="1:7" x14ac:dyDescent="0.3">
      <c r="A244" s="22" t="s">
        <v>517</v>
      </c>
      <c r="B244">
        <v>1</v>
      </c>
    </row>
    <row r="245" spans="1:7" x14ac:dyDescent="0.3">
      <c r="A245" s="22" t="s">
        <v>389</v>
      </c>
      <c r="B245">
        <v>1</v>
      </c>
      <c r="D245" t="s">
        <v>944</v>
      </c>
    </row>
    <row r="246" spans="1:7" x14ac:dyDescent="0.3">
      <c r="A246" s="22" t="s">
        <v>766</v>
      </c>
      <c r="B246">
        <v>1</v>
      </c>
      <c r="D246" t="s">
        <v>945</v>
      </c>
    </row>
    <row r="247" spans="1:7" x14ac:dyDescent="0.3">
      <c r="A247" s="22" t="s">
        <v>193</v>
      </c>
      <c r="B247">
        <v>1</v>
      </c>
      <c r="D247" t="s">
        <v>945</v>
      </c>
    </row>
    <row r="248" spans="1:7" x14ac:dyDescent="0.3">
      <c r="A248" s="22" t="s">
        <v>651</v>
      </c>
      <c r="B248">
        <v>1</v>
      </c>
      <c r="D248" t="s">
        <v>945</v>
      </c>
    </row>
    <row r="249" spans="1:7" x14ac:dyDescent="0.3">
      <c r="A249" s="22" t="s">
        <v>702</v>
      </c>
      <c r="B249">
        <v>1</v>
      </c>
      <c r="D249" t="s">
        <v>946</v>
      </c>
    </row>
    <row r="250" spans="1:7" ht="14.25" customHeight="1" x14ac:dyDescent="0.3">
      <c r="A250" s="22" t="s">
        <v>386</v>
      </c>
      <c r="B250">
        <v>1</v>
      </c>
      <c r="D250" t="s">
        <v>947</v>
      </c>
    </row>
    <row r="251" spans="1:7" x14ac:dyDescent="0.3">
      <c r="A251" s="22" t="s">
        <v>746</v>
      </c>
      <c r="B251">
        <v>1</v>
      </c>
      <c r="D251" t="s">
        <v>948</v>
      </c>
      <c r="G251" t="s">
        <v>1062</v>
      </c>
    </row>
    <row r="252" spans="1:7" x14ac:dyDescent="0.3">
      <c r="A252" s="22" t="s">
        <v>178</v>
      </c>
      <c r="B252">
        <v>1</v>
      </c>
      <c r="D252" t="s">
        <v>948</v>
      </c>
    </row>
    <row r="253" spans="1:7" x14ac:dyDescent="0.3">
      <c r="A253" s="22" t="s">
        <v>657</v>
      </c>
      <c r="B253">
        <v>1</v>
      </c>
      <c r="D253" t="s">
        <v>948</v>
      </c>
    </row>
    <row r="254" spans="1:7" x14ac:dyDescent="0.3">
      <c r="A254" s="22" t="s">
        <v>682</v>
      </c>
      <c r="B254">
        <v>1</v>
      </c>
    </row>
    <row r="255" spans="1:7" x14ac:dyDescent="0.3">
      <c r="A255" s="22" t="s">
        <v>377</v>
      </c>
      <c r="B255">
        <v>1</v>
      </c>
      <c r="D255" t="s">
        <v>949</v>
      </c>
    </row>
    <row r="256" spans="1:7" x14ac:dyDescent="0.3">
      <c r="A256" s="22" t="s">
        <v>192</v>
      </c>
      <c r="B256">
        <v>1</v>
      </c>
      <c r="D256" t="s">
        <v>949</v>
      </c>
    </row>
    <row r="257" spans="1:4" x14ac:dyDescent="0.3">
      <c r="A257" s="22" t="s">
        <v>795</v>
      </c>
      <c r="B257">
        <v>1</v>
      </c>
    </row>
    <row r="258" spans="1:4" x14ac:dyDescent="0.3">
      <c r="A258" s="22" t="s">
        <v>745</v>
      </c>
      <c r="B258">
        <v>1</v>
      </c>
      <c r="D258" t="s">
        <v>950</v>
      </c>
    </row>
    <row r="259" spans="1:4" x14ac:dyDescent="0.3">
      <c r="A259" s="22" t="s">
        <v>603</v>
      </c>
      <c r="B259">
        <v>1</v>
      </c>
      <c r="D259" t="s">
        <v>951</v>
      </c>
    </row>
    <row r="260" spans="1:4" x14ac:dyDescent="0.3">
      <c r="A260" s="22" t="s">
        <v>582</v>
      </c>
      <c r="B260">
        <v>1</v>
      </c>
      <c r="D260" t="s">
        <v>952</v>
      </c>
    </row>
    <row r="261" spans="1:4" x14ac:dyDescent="0.3">
      <c r="A261" s="22" t="s">
        <v>527</v>
      </c>
      <c r="B261">
        <v>1</v>
      </c>
      <c r="D261" t="s">
        <v>952</v>
      </c>
    </row>
    <row r="262" spans="1:4" x14ac:dyDescent="0.3">
      <c r="A262" s="22" t="s">
        <v>243</v>
      </c>
      <c r="B262">
        <v>1</v>
      </c>
      <c r="D262" t="s">
        <v>952</v>
      </c>
    </row>
    <row r="263" spans="1:4" x14ac:dyDescent="0.3">
      <c r="A263" s="22" t="s">
        <v>788</v>
      </c>
      <c r="B263">
        <v>1</v>
      </c>
      <c r="D263" t="s">
        <v>953</v>
      </c>
    </row>
    <row r="264" spans="1:4" x14ac:dyDescent="0.3">
      <c r="A264" s="22" t="s">
        <v>483</v>
      </c>
      <c r="B264">
        <v>1</v>
      </c>
      <c r="D264" t="s">
        <v>954</v>
      </c>
    </row>
    <row r="265" spans="1:4" x14ac:dyDescent="0.3">
      <c r="A265" s="22" t="s">
        <v>535</v>
      </c>
      <c r="B265">
        <v>1</v>
      </c>
      <c r="D265" t="s">
        <v>954</v>
      </c>
    </row>
    <row r="266" spans="1:4" x14ac:dyDescent="0.3">
      <c r="A266" s="22" t="s">
        <v>703</v>
      </c>
      <c r="B266">
        <v>1</v>
      </c>
      <c r="D266" t="s">
        <v>954</v>
      </c>
    </row>
    <row r="267" spans="1:4" x14ac:dyDescent="0.3">
      <c r="A267" s="22" t="s">
        <v>263</v>
      </c>
      <c r="B267">
        <v>1</v>
      </c>
      <c r="D267" t="s">
        <v>954</v>
      </c>
    </row>
    <row r="268" spans="1:4" x14ac:dyDescent="0.3">
      <c r="A268" s="22" t="s">
        <v>585</v>
      </c>
      <c r="B268">
        <v>1</v>
      </c>
      <c r="D268" t="s">
        <v>954</v>
      </c>
    </row>
    <row r="269" spans="1:4" x14ac:dyDescent="0.3">
      <c r="A269" s="22" t="s">
        <v>256</v>
      </c>
      <c r="B269">
        <v>1</v>
      </c>
      <c r="D269" t="s">
        <v>955</v>
      </c>
    </row>
    <row r="270" spans="1:4" x14ac:dyDescent="0.3">
      <c r="A270" s="22" t="s">
        <v>248</v>
      </c>
      <c r="B270">
        <v>1</v>
      </c>
      <c r="D270" t="s">
        <v>955</v>
      </c>
    </row>
    <row r="271" spans="1:4" x14ac:dyDescent="0.3">
      <c r="A271" s="22" t="s">
        <v>656</v>
      </c>
      <c r="B271">
        <v>1</v>
      </c>
      <c r="D271" t="s">
        <v>956</v>
      </c>
    </row>
    <row r="272" spans="1:4" x14ac:dyDescent="0.3">
      <c r="A272" s="22" t="s">
        <v>355</v>
      </c>
      <c r="B272">
        <v>1</v>
      </c>
      <c r="D272" t="s">
        <v>956</v>
      </c>
    </row>
    <row r="273" spans="1:4" x14ac:dyDescent="0.3">
      <c r="A273" s="22" t="s">
        <v>262</v>
      </c>
      <c r="B273">
        <v>1</v>
      </c>
      <c r="D273" t="s">
        <v>957</v>
      </c>
    </row>
    <row r="274" spans="1:4" x14ac:dyDescent="0.3">
      <c r="A274" s="22" t="s">
        <v>319</v>
      </c>
      <c r="B274">
        <v>1</v>
      </c>
      <c r="D274" t="s">
        <v>957</v>
      </c>
    </row>
    <row r="275" spans="1:4" x14ac:dyDescent="0.3">
      <c r="A275" s="22" t="s">
        <v>450</v>
      </c>
      <c r="B275">
        <v>1</v>
      </c>
      <c r="D275" t="s">
        <v>957</v>
      </c>
    </row>
    <row r="276" spans="1:4" x14ac:dyDescent="0.3">
      <c r="A276" s="22" t="s">
        <v>542</v>
      </c>
      <c r="B276">
        <v>1</v>
      </c>
      <c r="D276" t="s">
        <v>957</v>
      </c>
    </row>
    <row r="277" spans="1:4" x14ac:dyDescent="0.3">
      <c r="A277" s="22" t="s">
        <v>731</v>
      </c>
      <c r="B277">
        <v>1</v>
      </c>
      <c r="D277" t="s">
        <v>957</v>
      </c>
    </row>
    <row r="278" spans="1:4" x14ac:dyDescent="0.3">
      <c r="A278" s="22" t="s">
        <v>519</v>
      </c>
      <c r="B278">
        <v>1</v>
      </c>
      <c r="D278" t="s">
        <v>957</v>
      </c>
    </row>
    <row r="279" spans="1:4" x14ac:dyDescent="0.3">
      <c r="A279" s="22" t="s">
        <v>674</v>
      </c>
      <c r="B279">
        <v>1</v>
      </c>
      <c r="D279" t="s">
        <v>957</v>
      </c>
    </row>
    <row r="280" spans="1:4" x14ac:dyDescent="0.3">
      <c r="A280" s="22" t="s">
        <v>312</v>
      </c>
      <c r="B280">
        <v>1</v>
      </c>
      <c r="D280" t="s">
        <v>957</v>
      </c>
    </row>
    <row r="281" spans="1:4" x14ac:dyDescent="0.3">
      <c r="A281" s="22" t="s">
        <v>497</v>
      </c>
      <c r="B281">
        <v>1</v>
      </c>
      <c r="D281" t="s">
        <v>958</v>
      </c>
    </row>
    <row r="282" spans="1:4" x14ac:dyDescent="0.3">
      <c r="A282" s="22" t="s">
        <v>628</v>
      </c>
      <c r="B282">
        <v>1</v>
      </c>
      <c r="D282" t="s">
        <v>959</v>
      </c>
    </row>
    <row r="283" spans="1:4" x14ac:dyDescent="0.3">
      <c r="A283" s="22" t="s">
        <v>405</v>
      </c>
      <c r="B283">
        <v>1</v>
      </c>
      <c r="D283" t="s">
        <v>960</v>
      </c>
    </row>
    <row r="284" spans="1:4" ht="14.25" customHeight="1" x14ac:dyDescent="0.3">
      <c r="A284" s="22" t="s">
        <v>299</v>
      </c>
      <c r="B284">
        <v>1</v>
      </c>
      <c r="D284" t="s">
        <v>961</v>
      </c>
    </row>
    <row r="285" spans="1:4" x14ac:dyDescent="0.3">
      <c r="A285" s="22" t="s">
        <v>771</v>
      </c>
      <c r="B285">
        <v>1</v>
      </c>
    </row>
    <row r="286" spans="1:4" x14ac:dyDescent="0.3">
      <c r="A286" s="22" t="s">
        <v>195</v>
      </c>
      <c r="B286">
        <v>1</v>
      </c>
      <c r="D286" t="s">
        <v>962</v>
      </c>
    </row>
    <row r="287" spans="1:4" x14ac:dyDescent="0.3">
      <c r="A287" s="22" t="s">
        <v>715</v>
      </c>
      <c r="B287">
        <v>1</v>
      </c>
      <c r="D287" t="s">
        <v>963</v>
      </c>
    </row>
    <row r="288" spans="1:4" x14ac:dyDescent="0.3">
      <c r="A288" s="22" t="s">
        <v>534</v>
      </c>
      <c r="B288">
        <v>1</v>
      </c>
      <c r="D288" t="s">
        <v>964</v>
      </c>
    </row>
    <row r="289" spans="1:5" x14ac:dyDescent="0.3">
      <c r="A289" s="22" t="s">
        <v>598</v>
      </c>
      <c r="B289">
        <v>1</v>
      </c>
      <c r="D289" t="s">
        <v>964</v>
      </c>
    </row>
    <row r="290" spans="1:5" x14ac:dyDescent="0.3">
      <c r="A290" s="22" t="s">
        <v>387</v>
      </c>
      <c r="B290">
        <v>1</v>
      </c>
      <c r="D290" t="s">
        <v>965</v>
      </c>
    </row>
    <row r="291" spans="1:5" x14ac:dyDescent="0.3">
      <c r="A291" s="22" t="s">
        <v>481</v>
      </c>
      <c r="B291">
        <v>1</v>
      </c>
      <c r="D291" t="s">
        <v>965</v>
      </c>
    </row>
    <row r="292" spans="1:5" x14ac:dyDescent="0.3">
      <c r="A292" s="22" t="s">
        <v>305</v>
      </c>
      <c r="B292">
        <v>1</v>
      </c>
      <c r="D292" t="s">
        <v>965</v>
      </c>
    </row>
    <row r="293" spans="1:5" x14ac:dyDescent="0.3">
      <c r="A293" s="22" t="s">
        <v>236</v>
      </c>
      <c r="B293">
        <v>1</v>
      </c>
      <c r="D293" t="s">
        <v>966</v>
      </c>
    </row>
    <row r="294" spans="1:5" x14ac:dyDescent="0.3">
      <c r="A294" s="22" t="s">
        <v>520</v>
      </c>
      <c r="B294">
        <v>1</v>
      </c>
      <c r="D294" t="s">
        <v>967</v>
      </c>
    </row>
    <row r="295" spans="1:5" x14ac:dyDescent="0.3">
      <c r="A295" s="22" t="s">
        <v>188</v>
      </c>
      <c r="B295">
        <v>1</v>
      </c>
      <c r="D295" t="s">
        <v>968</v>
      </c>
    </row>
    <row r="296" spans="1:5" x14ac:dyDescent="0.3">
      <c r="A296" s="22" t="s">
        <v>354</v>
      </c>
      <c r="B296">
        <v>1</v>
      </c>
      <c r="D296" t="s">
        <v>969</v>
      </c>
    </row>
    <row r="297" spans="1:5" x14ac:dyDescent="0.3">
      <c r="A297" s="22" t="s">
        <v>217</v>
      </c>
      <c r="B297">
        <v>1</v>
      </c>
      <c r="D297" t="s">
        <v>970</v>
      </c>
      <c r="E297" t="s">
        <v>970</v>
      </c>
    </row>
    <row r="298" spans="1:5" x14ac:dyDescent="0.3">
      <c r="A298" s="22" t="s">
        <v>602</v>
      </c>
      <c r="B298">
        <v>1</v>
      </c>
      <c r="D298" t="s">
        <v>971</v>
      </c>
    </row>
    <row r="299" spans="1:5" x14ac:dyDescent="0.3">
      <c r="A299" s="22" t="s">
        <v>661</v>
      </c>
      <c r="B299">
        <v>1</v>
      </c>
      <c r="D299" t="s">
        <v>972</v>
      </c>
    </row>
    <row r="300" spans="1:5" x14ac:dyDescent="0.3">
      <c r="A300" s="22" t="s">
        <v>487</v>
      </c>
      <c r="B300">
        <v>1</v>
      </c>
      <c r="D300" t="s">
        <v>972</v>
      </c>
    </row>
    <row r="301" spans="1:5" x14ac:dyDescent="0.3">
      <c r="A301" s="22" t="s">
        <v>194</v>
      </c>
      <c r="B301">
        <v>1</v>
      </c>
      <c r="D301" t="s">
        <v>972</v>
      </c>
    </row>
    <row r="302" spans="1:5" x14ac:dyDescent="0.3">
      <c r="A302" s="22" t="s">
        <v>673</v>
      </c>
      <c r="B302">
        <v>1</v>
      </c>
      <c r="D302" t="s">
        <v>973</v>
      </c>
    </row>
    <row r="303" spans="1:5" x14ac:dyDescent="0.3">
      <c r="A303" s="22" t="s">
        <v>618</v>
      </c>
      <c r="B303">
        <v>1</v>
      </c>
      <c r="D303" t="s">
        <v>974</v>
      </c>
    </row>
    <row r="304" spans="1:5" x14ac:dyDescent="0.3">
      <c r="A304" s="22" t="s">
        <v>329</v>
      </c>
      <c r="B304">
        <v>1</v>
      </c>
      <c r="D304" t="s">
        <v>975</v>
      </c>
    </row>
    <row r="305" spans="1:4" x14ac:dyDescent="0.3">
      <c r="A305" s="22" t="s">
        <v>786</v>
      </c>
      <c r="B305">
        <v>1</v>
      </c>
      <c r="D305" t="s">
        <v>976</v>
      </c>
    </row>
    <row r="306" spans="1:4" x14ac:dyDescent="0.3">
      <c r="A306" s="22" t="s">
        <v>473</v>
      </c>
      <c r="B306">
        <v>1</v>
      </c>
      <c r="D306" t="s">
        <v>977</v>
      </c>
    </row>
    <row r="307" spans="1:4" x14ac:dyDescent="0.3">
      <c r="A307" s="22" t="s">
        <v>348</v>
      </c>
      <c r="B307">
        <v>1</v>
      </c>
      <c r="D307" t="s">
        <v>978</v>
      </c>
    </row>
    <row r="308" spans="1:4" x14ac:dyDescent="0.3">
      <c r="A308" s="22" t="s">
        <v>442</v>
      </c>
      <c r="B308">
        <v>1</v>
      </c>
      <c r="D308" t="s">
        <v>979</v>
      </c>
    </row>
    <row r="309" spans="1:4" ht="14.25" customHeight="1" x14ac:dyDescent="0.3">
      <c r="A309" s="22" t="s">
        <v>638</v>
      </c>
      <c r="B309">
        <v>1</v>
      </c>
      <c r="D309" t="s">
        <v>980</v>
      </c>
    </row>
    <row r="310" spans="1:4" x14ac:dyDescent="0.3">
      <c r="A310" s="22" t="s">
        <v>604</v>
      </c>
      <c r="B310">
        <v>1</v>
      </c>
      <c r="D310" t="s">
        <v>981</v>
      </c>
    </row>
    <row r="311" spans="1:4" x14ac:dyDescent="0.3">
      <c r="A311" s="22" t="s">
        <v>763</v>
      </c>
      <c r="B311">
        <v>1</v>
      </c>
      <c r="D311" t="s">
        <v>982</v>
      </c>
    </row>
    <row r="312" spans="1:4" x14ac:dyDescent="0.3">
      <c r="A312" s="22" t="s">
        <v>476</v>
      </c>
      <c r="B312">
        <v>1</v>
      </c>
      <c r="D312" t="s">
        <v>983</v>
      </c>
    </row>
    <row r="313" spans="1:4" ht="14.25" customHeight="1" x14ac:dyDescent="0.3">
      <c r="A313" s="22" t="s">
        <v>347</v>
      </c>
      <c r="B313">
        <v>1</v>
      </c>
      <c r="D313" t="s">
        <v>984</v>
      </c>
    </row>
    <row r="314" spans="1:4" ht="14.25" customHeight="1" x14ac:dyDescent="0.3">
      <c r="A314" s="22" t="s">
        <v>713</v>
      </c>
      <c r="B314">
        <v>1</v>
      </c>
      <c r="D314" t="s">
        <v>985</v>
      </c>
    </row>
    <row r="315" spans="1:4" x14ac:dyDescent="0.3">
      <c r="A315" s="22" t="s">
        <v>289</v>
      </c>
      <c r="B315">
        <v>1</v>
      </c>
      <c r="D315" t="s">
        <v>986</v>
      </c>
    </row>
    <row r="316" spans="1:4" x14ac:dyDescent="0.3">
      <c r="A316" s="22" t="s">
        <v>228</v>
      </c>
      <c r="B316">
        <v>1</v>
      </c>
      <c r="D316" t="s">
        <v>986</v>
      </c>
    </row>
    <row r="317" spans="1:4" x14ac:dyDescent="0.3">
      <c r="A317" s="22" t="s">
        <v>599</v>
      </c>
      <c r="B317">
        <v>1</v>
      </c>
      <c r="D317" t="s">
        <v>986</v>
      </c>
    </row>
    <row r="318" spans="1:4" x14ac:dyDescent="0.3">
      <c r="A318" s="22" t="s">
        <v>249</v>
      </c>
      <c r="B318">
        <v>1</v>
      </c>
      <c r="D318" t="s">
        <v>986</v>
      </c>
    </row>
    <row r="319" spans="1:4" x14ac:dyDescent="0.3">
      <c r="A319" s="22" t="s">
        <v>454</v>
      </c>
      <c r="B319">
        <v>1</v>
      </c>
      <c r="D319" t="s">
        <v>987</v>
      </c>
    </row>
    <row r="320" spans="1:4" x14ac:dyDescent="0.3">
      <c r="A320" s="22" t="s">
        <v>400</v>
      </c>
      <c r="B320">
        <v>1</v>
      </c>
      <c r="D320" t="s">
        <v>988</v>
      </c>
    </row>
    <row r="321" spans="1:4" x14ac:dyDescent="0.3">
      <c r="A321" s="22" t="s">
        <v>646</v>
      </c>
      <c r="B321">
        <v>1</v>
      </c>
      <c r="D321" t="s">
        <v>989</v>
      </c>
    </row>
    <row r="322" spans="1:4" x14ac:dyDescent="0.3">
      <c r="A322" s="22" t="s">
        <v>597</v>
      </c>
      <c r="B322">
        <v>1</v>
      </c>
      <c r="D322" t="s">
        <v>990</v>
      </c>
    </row>
    <row r="323" spans="1:4" x14ac:dyDescent="0.3">
      <c r="A323" s="22" t="s">
        <v>412</v>
      </c>
      <c r="B323">
        <v>1</v>
      </c>
      <c r="D323" t="s">
        <v>990</v>
      </c>
    </row>
    <row r="324" spans="1:4" x14ac:dyDescent="0.3">
      <c r="A324" s="22" t="s">
        <v>463</v>
      </c>
      <c r="B324">
        <v>1</v>
      </c>
      <c r="D324" t="s">
        <v>990</v>
      </c>
    </row>
    <row r="325" spans="1:4" x14ac:dyDescent="0.3">
      <c r="A325" s="22" t="s">
        <v>183</v>
      </c>
      <c r="B325">
        <v>1</v>
      </c>
      <c r="D325" t="s">
        <v>990</v>
      </c>
    </row>
    <row r="326" spans="1:4" x14ac:dyDescent="0.3">
      <c r="A326" s="22" t="s">
        <v>486</v>
      </c>
      <c r="B326">
        <v>1</v>
      </c>
      <c r="D326" t="s">
        <v>991</v>
      </c>
    </row>
    <row r="327" spans="1:4" x14ac:dyDescent="0.3">
      <c r="A327" s="22" t="s">
        <v>362</v>
      </c>
      <c r="B327">
        <v>1</v>
      </c>
      <c r="D327" t="s">
        <v>992</v>
      </c>
    </row>
    <row r="328" spans="1:4" x14ac:dyDescent="0.3">
      <c r="A328" s="22" t="s">
        <v>723</v>
      </c>
      <c r="B328">
        <v>1</v>
      </c>
      <c r="D328" t="s">
        <v>993</v>
      </c>
    </row>
    <row r="329" spans="1:4" x14ac:dyDescent="0.3">
      <c r="A329" s="22" t="s">
        <v>474</v>
      </c>
      <c r="B329">
        <v>1</v>
      </c>
      <c r="D329" t="s">
        <v>994</v>
      </c>
    </row>
    <row r="330" spans="1:4" x14ac:dyDescent="0.3">
      <c r="A330" s="22" t="s">
        <v>366</v>
      </c>
      <c r="B330">
        <v>1</v>
      </c>
      <c r="D330" t="s">
        <v>995</v>
      </c>
    </row>
    <row r="331" spans="1:4" x14ac:dyDescent="0.3">
      <c r="A331" s="22" t="s">
        <v>733</v>
      </c>
      <c r="B331">
        <v>1</v>
      </c>
      <c r="D331" t="s">
        <v>996</v>
      </c>
    </row>
    <row r="332" spans="1:4" x14ac:dyDescent="0.3">
      <c r="A332" s="22" t="s">
        <v>593</v>
      </c>
      <c r="B332">
        <v>1</v>
      </c>
      <c r="D332" t="s">
        <v>996</v>
      </c>
    </row>
    <row r="333" spans="1:4" x14ac:dyDescent="0.3">
      <c r="A333" s="22" t="s">
        <v>285</v>
      </c>
      <c r="B333">
        <v>1</v>
      </c>
    </row>
    <row r="334" spans="1:4" x14ac:dyDescent="0.3">
      <c r="A334" s="22" t="s">
        <v>510</v>
      </c>
      <c r="B334">
        <v>1</v>
      </c>
      <c r="D334" t="s">
        <v>997</v>
      </c>
    </row>
    <row r="335" spans="1:4" x14ac:dyDescent="0.3">
      <c r="A335" s="22" t="s">
        <v>274</v>
      </c>
      <c r="B335">
        <v>1</v>
      </c>
      <c r="D335" t="s">
        <v>998</v>
      </c>
    </row>
    <row r="336" spans="1:4" x14ac:dyDescent="0.3">
      <c r="A336" s="22" t="s">
        <v>294</v>
      </c>
      <c r="B336">
        <v>1</v>
      </c>
      <c r="D336" t="s">
        <v>998</v>
      </c>
    </row>
    <row r="337" spans="1:4" x14ac:dyDescent="0.3">
      <c r="A337" s="22" t="s">
        <v>634</v>
      </c>
      <c r="B337">
        <v>1</v>
      </c>
      <c r="D337" t="s">
        <v>999</v>
      </c>
    </row>
    <row r="338" spans="1:4" x14ac:dyDescent="0.3">
      <c r="A338" s="22" t="s">
        <v>280</v>
      </c>
      <c r="B338">
        <v>1</v>
      </c>
      <c r="D338" t="s">
        <v>999</v>
      </c>
    </row>
    <row r="339" spans="1:4" x14ac:dyDescent="0.3">
      <c r="A339" s="22" t="s">
        <v>742</v>
      </c>
      <c r="B339">
        <v>1</v>
      </c>
      <c r="D339" t="s">
        <v>999</v>
      </c>
    </row>
    <row r="340" spans="1:4" x14ac:dyDescent="0.3">
      <c r="A340" s="22" t="s">
        <v>753</v>
      </c>
      <c r="B340">
        <v>1</v>
      </c>
      <c r="D340" t="s">
        <v>999</v>
      </c>
    </row>
    <row r="341" spans="1:4" x14ac:dyDescent="0.3">
      <c r="A341" s="22" t="s">
        <v>464</v>
      </c>
      <c r="B341">
        <v>1</v>
      </c>
      <c r="D341" t="s">
        <v>1000</v>
      </c>
    </row>
    <row r="342" spans="1:4" x14ac:dyDescent="0.3">
      <c r="A342" s="22" t="s">
        <v>266</v>
      </c>
      <c r="B342">
        <v>1</v>
      </c>
    </row>
    <row r="343" spans="1:4" x14ac:dyDescent="0.3">
      <c r="A343" s="22" t="s">
        <v>455</v>
      </c>
      <c r="B343">
        <v>1</v>
      </c>
      <c r="D343" t="s">
        <v>1001</v>
      </c>
    </row>
    <row r="344" spans="1:4" x14ac:dyDescent="0.3">
      <c r="A344" s="22" t="s">
        <v>235</v>
      </c>
      <c r="B344">
        <v>1</v>
      </c>
      <c r="D344" t="s">
        <v>1002</v>
      </c>
    </row>
    <row r="345" spans="1:4" x14ac:dyDescent="0.3">
      <c r="A345" s="22" t="s">
        <v>727</v>
      </c>
      <c r="B345">
        <v>1</v>
      </c>
      <c r="D345" t="s">
        <v>1003</v>
      </c>
    </row>
    <row r="346" spans="1:4" x14ac:dyDescent="0.3">
      <c r="A346" s="22" t="s">
        <v>309</v>
      </c>
      <c r="B346">
        <v>1</v>
      </c>
      <c r="D346" t="s">
        <v>1004</v>
      </c>
    </row>
    <row r="347" spans="1:4" x14ac:dyDescent="0.3">
      <c r="A347" s="22" t="s">
        <v>409</v>
      </c>
      <c r="B347">
        <v>1</v>
      </c>
      <c r="D347" t="s">
        <v>1005</v>
      </c>
    </row>
    <row r="348" spans="1:4" x14ac:dyDescent="0.3">
      <c r="A348" s="22" t="s">
        <v>505</v>
      </c>
      <c r="B348">
        <v>1</v>
      </c>
      <c r="D348" t="s">
        <v>1006</v>
      </c>
    </row>
    <row r="349" spans="1:4" x14ac:dyDescent="0.3">
      <c r="A349" s="22" t="s">
        <v>625</v>
      </c>
      <c r="B349">
        <v>1</v>
      </c>
      <c r="D349" t="s">
        <v>1006</v>
      </c>
    </row>
    <row r="350" spans="1:4" x14ac:dyDescent="0.3">
      <c r="A350" s="22" t="s">
        <v>587</v>
      </c>
      <c r="B350">
        <v>1</v>
      </c>
      <c r="D350" t="s">
        <v>1006</v>
      </c>
    </row>
    <row r="351" spans="1:4" x14ac:dyDescent="0.3">
      <c r="A351" s="22" t="s">
        <v>441</v>
      </c>
      <c r="B351">
        <v>1</v>
      </c>
      <c r="D351" t="s">
        <v>1006</v>
      </c>
    </row>
    <row r="352" spans="1:4" x14ac:dyDescent="0.3">
      <c r="A352" s="22" t="s">
        <v>607</v>
      </c>
      <c r="B352">
        <v>1</v>
      </c>
      <c r="D352" t="s">
        <v>1006</v>
      </c>
    </row>
    <row r="353" spans="1:4" x14ac:dyDescent="0.3">
      <c r="A353" s="22" t="s">
        <v>406</v>
      </c>
      <c r="B353">
        <v>1</v>
      </c>
      <c r="D353" t="s">
        <v>1007</v>
      </c>
    </row>
    <row r="354" spans="1:4" x14ac:dyDescent="0.3">
      <c r="A354" s="22" t="s">
        <v>769</v>
      </c>
      <c r="B354">
        <v>1</v>
      </c>
    </row>
    <row r="355" spans="1:4" x14ac:dyDescent="0.3">
      <c r="A355" s="22" t="s">
        <v>758</v>
      </c>
      <c r="B355">
        <v>1</v>
      </c>
    </row>
    <row r="356" spans="1:4" x14ac:dyDescent="0.3">
      <c r="A356" s="22" t="s">
        <v>368</v>
      </c>
      <c r="B356">
        <v>1</v>
      </c>
      <c r="D356" t="s">
        <v>1008</v>
      </c>
    </row>
    <row r="357" spans="1:4" x14ac:dyDescent="0.3">
      <c r="A357" s="22" t="s">
        <v>468</v>
      </c>
      <c r="B357">
        <v>1</v>
      </c>
      <c r="D357" t="s">
        <v>1009</v>
      </c>
    </row>
    <row r="358" spans="1:4" x14ac:dyDescent="0.3">
      <c r="A358" s="22" t="s">
        <v>722</v>
      </c>
      <c r="B358">
        <v>1</v>
      </c>
      <c r="D358" t="s">
        <v>1009</v>
      </c>
    </row>
    <row r="359" spans="1:4" ht="14.25" customHeight="1" x14ac:dyDescent="0.3">
      <c r="A359" s="22" t="s">
        <v>224</v>
      </c>
      <c r="B359">
        <v>1</v>
      </c>
    </row>
    <row r="360" spans="1:4" x14ac:dyDescent="0.3">
      <c r="A360" s="22" t="s">
        <v>759</v>
      </c>
      <c r="B360">
        <v>1</v>
      </c>
    </row>
    <row r="361" spans="1:4" x14ac:dyDescent="0.3">
      <c r="A361" s="22" t="s">
        <v>421</v>
      </c>
      <c r="B361">
        <v>1</v>
      </c>
    </row>
    <row r="362" spans="1:4" x14ac:dyDescent="0.3">
      <c r="A362" s="22" t="s">
        <v>333</v>
      </c>
      <c r="B362">
        <v>1</v>
      </c>
      <c r="D362" t="s">
        <v>1010</v>
      </c>
    </row>
    <row r="363" spans="1:4" x14ac:dyDescent="0.3">
      <c r="A363" s="22" t="s">
        <v>749</v>
      </c>
      <c r="B363">
        <v>1</v>
      </c>
      <c r="D363" t="s">
        <v>1010</v>
      </c>
    </row>
    <row r="364" spans="1:4" x14ac:dyDescent="0.3">
      <c r="A364" s="22" t="s">
        <v>410</v>
      </c>
      <c r="B364">
        <v>1</v>
      </c>
      <c r="D364" t="s">
        <v>1011</v>
      </c>
    </row>
    <row r="365" spans="1:4" x14ac:dyDescent="0.3">
      <c r="A365" s="22" t="s">
        <v>216</v>
      </c>
      <c r="B365">
        <v>1</v>
      </c>
      <c r="D365" t="s">
        <v>1011</v>
      </c>
    </row>
    <row r="366" spans="1:4" x14ac:dyDescent="0.3">
      <c r="A366" s="22" t="s">
        <v>768</v>
      </c>
      <c r="B366">
        <v>1</v>
      </c>
      <c r="D366" t="s">
        <v>1011</v>
      </c>
    </row>
    <row r="367" spans="1:4" x14ac:dyDescent="0.3">
      <c r="A367" s="22" t="s">
        <v>539</v>
      </c>
      <c r="B367">
        <v>1</v>
      </c>
      <c r="D367" t="s">
        <v>1011</v>
      </c>
    </row>
    <row r="368" spans="1:4" x14ac:dyDescent="0.3">
      <c r="A368" s="22" t="s">
        <v>277</v>
      </c>
      <c r="B368">
        <v>1</v>
      </c>
      <c r="D368" t="s">
        <v>1011</v>
      </c>
    </row>
    <row r="369" spans="1:4" x14ac:dyDescent="0.3">
      <c r="A369" s="22" t="s">
        <v>447</v>
      </c>
      <c r="B369">
        <v>1</v>
      </c>
      <c r="D369" t="s">
        <v>1012</v>
      </c>
    </row>
    <row r="370" spans="1:4" x14ac:dyDescent="0.3">
      <c r="A370" s="22" t="s">
        <v>741</v>
      </c>
      <c r="B370">
        <v>1</v>
      </c>
      <c r="D370" t="s">
        <v>1013</v>
      </c>
    </row>
    <row r="371" spans="1:4" x14ac:dyDescent="0.3">
      <c r="A371" s="22" t="s">
        <v>583</v>
      </c>
      <c r="B371">
        <v>1</v>
      </c>
      <c r="D371" t="s">
        <v>1014</v>
      </c>
    </row>
    <row r="372" spans="1:4" x14ac:dyDescent="0.3">
      <c r="A372" s="22" t="s">
        <v>704</v>
      </c>
      <c r="B372">
        <v>1</v>
      </c>
      <c r="D372" t="s">
        <v>1014</v>
      </c>
    </row>
    <row r="373" spans="1:4" x14ac:dyDescent="0.3">
      <c r="A373" s="22" t="s">
        <v>705</v>
      </c>
      <c r="B373">
        <v>1</v>
      </c>
      <c r="D373" t="s">
        <v>1014</v>
      </c>
    </row>
    <row r="374" spans="1:4" x14ac:dyDescent="0.3">
      <c r="A374" s="22" t="s">
        <v>511</v>
      </c>
      <c r="B374">
        <v>1</v>
      </c>
      <c r="D374" t="s">
        <v>1014</v>
      </c>
    </row>
    <row r="375" spans="1:4" x14ac:dyDescent="0.3">
      <c r="A375" s="22" t="s">
        <v>288</v>
      </c>
      <c r="B375">
        <v>1</v>
      </c>
      <c r="D375" t="s">
        <v>1015</v>
      </c>
    </row>
    <row r="376" spans="1:4" x14ac:dyDescent="0.3">
      <c r="A376" s="22" t="s">
        <v>310</v>
      </c>
      <c r="B376">
        <v>1</v>
      </c>
      <c r="D376" t="s">
        <v>1016</v>
      </c>
    </row>
    <row r="377" spans="1:4" x14ac:dyDescent="0.3">
      <c r="A377" s="22" t="s">
        <v>700</v>
      </c>
      <c r="B377">
        <v>1</v>
      </c>
      <c r="D377" t="s">
        <v>1017</v>
      </c>
    </row>
    <row r="378" spans="1:4" x14ac:dyDescent="0.3">
      <c r="A378" s="22" t="s">
        <v>762</v>
      </c>
      <c r="B378">
        <v>1</v>
      </c>
      <c r="D378" t="s">
        <v>1018</v>
      </c>
    </row>
    <row r="379" spans="1:4" x14ac:dyDescent="0.3">
      <c r="A379" s="22" t="s">
        <v>360</v>
      </c>
      <c r="B379">
        <v>1</v>
      </c>
      <c r="D379" t="s">
        <v>1018</v>
      </c>
    </row>
    <row r="380" spans="1:4" x14ac:dyDescent="0.3">
      <c r="A380" s="22" t="s">
        <v>358</v>
      </c>
      <c r="B380">
        <v>1</v>
      </c>
      <c r="D380" t="s">
        <v>1019</v>
      </c>
    </row>
    <row r="381" spans="1:4" x14ac:dyDescent="0.3">
      <c r="A381" s="22" t="s">
        <v>336</v>
      </c>
      <c r="B381">
        <v>1</v>
      </c>
      <c r="D381" t="s">
        <v>1020</v>
      </c>
    </row>
    <row r="382" spans="1:4" x14ac:dyDescent="0.3">
      <c r="A382" s="22" t="s">
        <v>317</v>
      </c>
      <c r="B382">
        <v>1</v>
      </c>
      <c r="D382" t="s">
        <v>1021</v>
      </c>
    </row>
    <row r="383" spans="1:4" x14ac:dyDescent="0.3">
      <c r="A383" s="22" t="s">
        <v>775</v>
      </c>
      <c r="B383">
        <v>1</v>
      </c>
      <c r="D383" t="s">
        <v>1021</v>
      </c>
    </row>
    <row r="384" spans="1:4" x14ac:dyDescent="0.3">
      <c r="A384" s="22" t="s">
        <v>724</v>
      </c>
      <c r="B384">
        <v>1</v>
      </c>
    </row>
    <row r="385" spans="1:4" x14ac:dyDescent="0.3">
      <c r="A385" s="22" t="s">
        <v>397</v>
      </c>
      <c r="B385">
        <v>1</v>
      </c>
      <c r="D385" t="s">
        <v>1022</v>
      </c>
    </row>
    <row r="386" spans="1:4" x14ac:dyDescent="0.3">
      <c r="A386" s="22" t="s">
        <v>227</v>
      </c>
      <c r="B386">
        <v>1</v>
      </c>
      <c r="D386" t="s">
        <v>1022</v>
      </c>
    </row>
    <row r="387" spans="1:4" x14ac:dyDescent="0.3">
      <c r="A387" s="22" t="s">
        <v>230</v>
      </c>
      <c r="B387">
        <v>1</v>
      </c>
      <c r="D387" t="s">
        <v>1022</v>
      </c>
    </row>
    <row r="388" spans="1:4" x14ac:dyDescent="0.3">
      <c r="A388" s="22" t="s">
        <v>322</v>
      </c>
      <c r="B388">
        <v>1</v>
      </c>
      <c r="D388" t="s">
        <v>1022</v>
      </c>
    </row>
    <row r="389" spans="1:4" x14ac:dyDescent="0.3">
      <c r="A389" s="22" t="s">
        <v>180</v>
      </c>
      <c r="B389">
        <v>1</v>
      </c>
      <c r="D389" t="s">
        <v>1023</v>
      </c>
    </row>
    <row r="390" spans="1:4" x14ac:dyDescent="0.3">
      <c r="A390" s="22" t="s">
        <v>516</v>
      </c>
      <c r="B390">
        <v>1</v>
      </c>
      <c r="D390" t="s">
        <v>1023</v>
      </c>
    </row>
    <row r="391" spans="1:4" x14ac:dyDescent="0.3">
      <c r="A391" s="22" t="s">
        <v>191</v>
      </c>
      <c r="B391">
        <v>1</v>
      </c>
      <c r="D391" t="s">
        <v>1024</v>
      </c>
    </row>
    <row r="392" spans="1:4" x14ac:dyDescent="0.3">
      <c r="A392" s="22" t="s">
        <v>222</v>
      </c>
      <c r="B392">
        <v>1</v>
      </c>
      <c r="D392" t="s">
        <v>1025</v>
      </c>
    </row>
    <row r="393" spans="1:4" x14ac:dyDescent="0.3">
      <c r="A393" s="22" t="s">
        <v>394</v>
      </c>
      <c r="B393">
        <v>1</v>
      </c>
      <c r="D393" t="s">
        <v>1026</v>
      </c>
    </row>
    <row r="394" spans="1:4" x14ac:dyDescent="0.3">
      <c r="A394" s="22" t="s">
        <v>718</v>
      </c>
      <c r="B394">
        <v>1</v>
      </c>
      <c r="D394" t="s">
        <v>1027</v>
      </c>
    </row>
    <row r="395" spans="1:4" x14ac:dyDescent="0.3">
      <c r="A395" s="22" t="s">
        <v>711</v>
      </c>
      <c r="B395">
        <v>1</v>
      </c>
      <c r="D395" t="s">
        <v>1027</v>
      </c>
    </row>
    <row r="396" spans="1:4" x14ac:dyDescent="0.3">
      <c r="A396" s="22" t="s">
        <v>297</v>
      </c>
      <c r="B396">
        <v>1</v>
      </c>
      <c r="D396" t="s">
        <v>1027</v>
      </c>
    </row>
    <row r="397" spans="1:4" x14ac:dyDescent="0.3">
      <c r="A397" s="22" t="s">
        <v>458</v>
      </c>
      <c r="B397">
        <v>1</v>
      </c>
      <c r="D397" t="s">
        <v>1027</v>
      </c>
    </row>
    <row r="398" spans="1:4" x14ac:dyDescent="0.3">
      <c r="A398" s="22" t="s">
        <v>184</v>
      </c>
      <c r="B398">
        <v>1</v>
      </c>
      <c r="D398" t="s">
        <v>1027</v>
      </c>
    </row>
    <row r="399" spans="1:4" x14ac:dyDescent="0.3">
      <c r="A399" s="22" t="s">
        <v>269</v>
      </c>
      <c r="B399">
        <v>1</v>
      </c>
      <c r="D399" t="s">
        <v>1028</v>
      </c>
    </row>
    <row r="400" spans="1:4" x14ac:dyDescent="0.3">
      <c r="A400" s="22" t="s">
        <v>518</v>
      </c>
      <c r="B400">
        <v>1</v>
      </c>
      <c r="D400" t="s">
        <v>1028</v>
      </c>
    </row>
    <row r="401" spans="1:4" x14ac:dyDescent="0.3">
      <c r="A401" s="22" t="s">
        <v>383</v>
      </c>
      <c r="B401">
        <v>1</v>
      </c>
      <c r="D401" t="s">
        <v>1028</v>
      </c>
    </row>
    <row r="402" spans="1:4" x14ac:dyDescent="0.3">
      <c r="A402" s="22" t="s">
        <v>223</v>
      </c>
      <c r="B402">
        <v>1</v>
      </c>
      <c r="D402" t="s">
        <v>1028</v>
      </c>
    </row>
    <row r="403" spans="1:4" x14ac:dyDescent="0.3">
      <c r="A403" s="22" t="s">
        <v>635</v>
      </c>
      <c r="B403">
        <v>1</v>
      </c>
      <c r="D403" t="s">
        <v>1029</v>
      </c>
    </row>
    <row r="404" spans="1:4" x14ac:dyDescent="0.3">
      <c r="A404" s="22" t="s">
        <v>307</v>
      </c>
      <c r="B404">
        <v>1</v>
      </c>
      <c r="D404" t="s">
        <v>1029</v>
      </c>
    </row>
    <row r="405" spans="1:4" x14ac:dyDescent="0.3">
      <c r="A405" s="22" t="s">
        <v>258</v>
      </c>
      <c r="B405">
        <v>1</v>
      </c>
      <c r="D405" t="s">
        <v>1029</v>
      </c>
    </row>
    <row r="406" spans="1:4" ht="14.25" customHeight="1" x14ac:dyDescent="0.3">
      <c r="A406" s="22" t="s">
        <v>636</v>
      </c>
      <c r="B406">
        <v>1</v>
      </c>
      <c r="D406" t="s">
        <v>1030</v>
      </c>
    </row>
    <row r="407" spans="1:4" x14ac:dyDescent="0.3">
      <c r="A407" s="22" t="s">
        <v>480</v>
      </c>
      <c r="B407">
        <v>1</v>
      </c>
      <c r="D407" t="s">
        <v>1031</v>
      </c>
    </row>
    <row r="408" spans="1:4" x14ac:dyDescent="0.3">
      <c r="A408" s="22" t="s">
        <v>291</v>
      </c>
      <c r="B408">
        <v>1</v>
      </c>
      <c r="D408" t="s">
        <v>1031</v>
      </c>
    </row>
    <row r="409" spans="1:4" x14ac:dyDescent="0.3">
      <c r="A409" s="22" t="s">
        <v>499</v>
      </c>
      <c r="B409">
        <v>1</v>
      </c>
      <c r="D409" t="s">
        <v>1032</v>
      </c>
    </row>
    <row r="410" spans="1:4" x14ac:dyDescent="0.3">
      <c r="A410" s="22" t="s">
        <v>315</v>
      </c>
      <c r="B410">
        <v>1</v>
      </c>
      <c r="D410" t="s">
        <v>1033</v>
      </c>
    </row>
    <row r="411" spans="1:4" x14ac:dyDescent="0.3">
      <c r="A411" s="22" t="s">
        <v>791</v>
      </c>
      <c r="B411">
        <v>1</v>
      </c>
      <c r="D411" t="s">
        <v>1034</v>
      </c>
    </row>
    <row r="412" spans="1:4" x14ac:dyDescent="0.3">
      <c r="A412" s="22" t="s">
        <v>729</v>
      </c>
      <c r="B412">
        <v>1</v>
      </c>
      <c r="D412" t="s">
        <v>1034</v>
      </c>
    </row>
    <row r="413" spans="1:4" x14ac:dyDescent="0.3">
      <c r="A413" s="22" t="s">
        <v>214</v>
      </c>
      <c r="B413">
        <v>1</v>
      </c>
      <c r="D413" t="s">
        <v>1035</v>
      </c>
    </row>
    <row r="414" spans="1:4" x14ac:dyDescent="0.3">
      <c r="A414" s="22" t="s">
        <v>438</v>
      </c>
      <c r="B414">
        <v>1</v>
      </c>
      <c r="D414" t="s">
        <v>1035</v>
      </c>
    </row>
    <row r="415" spans="1:4" x14ac:dyDescent="0.3">
      <c r="A415" s="22" t="s">
        <v>404</v>
      </c>
      <c r="B415">
        <v>1</v>
      </c>
      <c r="D415" t="s">
        <v>1036</v>
      </c>
    </row>
    <row r="416" spans="1:4" x14ac:dyDescent="0.3">
      <c r="A416" s="22" t="s">
        <v>465</v>
      </c>
      <c r="B416">
        <v>1</v>
      </c>
      <c r="D416" t="s">
        <v>1037</v>
      </c>
    </row>
    <row r="417" spans="1:4" x14ac:dyDescent="0.3">
      <c r="A417" s="22" t="s">
        <v>663</v>
      </c>
      <c r="B417">
        <v>1</v>
      </c>
      <c r="D417" t="s">
        <v>1037</v>
      </c>
    </row>
    <row r="418" spans="1:4" x14ac:dyDescent="0.3">
      <c r="A418" s="22" t="s">
        <v>466</v>
      </c>
      <c r="B418">
        <v>1</v>
      </c>
      <c r="D418" t="s">
        <v>1038</v>
      </c>
    </row>
    <row r="419" spans="1:4" x14ac:dyDescent="0.3">
      <c r="A419" s="22" t="s">
        <v>617</v>
      </c>
      <c r="B419">
        <v>1</v>
      </c>
      <c r="D419" t="s">
        <v>1038</v>
      </c>
    </row>
    <row r="420" spans="1:4" x14ac:dyDescent="0.3">
      <c r="A420" s="22" t="s">
        <v>506</v>
      </c>
      <c r="B420">
        <v>1</v>
      </c>
      <c r="D420" t="s">
        <v>1038</v>
      </c>
    </row>
    <row r="421" spans="1:4" x14ac:dyDescent="0.3">
      <c r="A421" s="22" t="s">
        <v>316</v>
      </c>
      <c r="B421">
        <v>1</v>
      </c>
      <c r="D421" t="s">
        <v>1038</v>
      </c>
    </row>
    <row r="422" spans="1:4" x14ac:dyDescent="0.3">
      <c r="A422" s="22" t="s">
        <v>748</v>
      </c>
      <c r="B422">
        <v>1</v>
      </c>
      <c r="D422" t="s">
        <v>1039</v>
      </c>
    </row>
    <row r="423" spans="1:4" x14ac:dyDescent="0.3">
      <c r="A423" s="22" t="s">
        <v>719</v>
      </c>
      <c r="B423">
        <v>1</v>
      </c>
      <c r="D423" t="s">
        <v>1039</v>
      </c>
    </row>
    <row r="424" spans="1:4" x14ac:dyDescent="0.3">
      <c r="A424" s="22" t="s">
        <v>270</v>
      </c>
      <c r="B424">
        <v>1</v>
      </c>
      <c r="D424" t="s">
        <v>1039</v>
      </c>
    </row>
    <row r="425" spans="1:4" x14ac:dyDescent="0.3">
      <c r="A425" s="22" t="s">
        <v>242</v>
      </c>
      <c r="B425">
        <v>1</v>
      </c>
      <c r="D425" t="s">
        <v>1040</v>
      </c>
    </row>
    <row r="426" spans="1:4" x14ac:dyDescent="0.3">
      <c r="A426" s="22" t="s">
        <v>411</v>
      </c>
      <c r="B426">
        <v>1</v>
      </c>
      <c r="D426" t="s">
        <v>1040</v>
      </c>
    </row>
    <row r="427" spans="1:4" x14ac:dyDescent="0.3">
      <c r="A427" s="22" t="s">
        <v>761</v>
      </c>
      <c r="B427">
        <v>1</v>
      </c>
      <c r="D427" t="s">
        <v>1041</v>
      </c>
    </row>
    <row r="428" spans="1:4" x14ac:dyDescent="0.3">
      <c r="A428" s="22" t="s">
        <v>764</v>
      </c>
      <c r="B428">
        <v>1</v>
      </c>
    </row>
    <row r="429" spans="1:4" x14ac:dyDescent="0.3">
      <c r="A429" s="22" t="s">
        <v>665</v>
      </c>
      <c r="B429">
        <v>1</v>
      </c>
      <c r="D429" t="s">
        <v>1042</v>
      </c>
    </row>
    <row r="430" spans="1:4" x14ac:dyDescent="0.3">
      <c r="A430" s="22" t="s">
        <v>357</v>
      </c>
      <c r="B430">
        <v>1</v>
      </c>
      <c r="D430" t="s">
        <v>1043</v>
      </c>
    </row>
    <row r="431" spans="1:4" x14ac:dyDescent="0.3">
      <c r="A431" s="22" t="s">
        <v>507</v>
      </c>
      <c r="B431">
        <v>1</v>
      </c>
      <c r="D431" t="s">
        <v>1044</v>
      </c>
    </row>
    <row r="432" spans="1:4" x14ac:dyDescent="0.3">
      <c r="A432" s="22" t="s">
        <v>190</v>
      </c>
      <c r="B432">
        <v>1</v>
      </c>
      <c r="D432" t="s">
        <v>1044</v>
      </c>
    </row>
    <row r="433" spans="1:4" x14ac:dyDescent="0.3">
      <c r="A433" s="22" t="s">
        <v>547</v>
      </c>
      <c r="B433">
        <v>1</v>
      </c>
      <c r="D433" t="s">
        <v>1044</v>
      </c>
    </row>
    <row r="434" spans="1:4" x14ac:dyDescent="0.3">
      <c r="A434" s="22" t="s">
        <v>765</v>
      </c>
      <c r="B434">
        <v>1</v>
      </c>
      <c r="D434" t="s">
        <v>1045</v>
      </c>
    </row>
    <row r="435" spans="1:4" x14ac:dyDescent="0.3">
      <c r="A435" s="22" t="s">
        <v>320</v>
      </c>
      <c r="B435">
        <v>1</v>
      </c>
      <c r="D435" t="s">
        <v>1045</v>
      </c>
    </row>
    <row r="436" spans="1:4" x14ac:dyDescent="0.3">
      <c r="A436" s="22" t="s">
        <v>750</v>
      </c>
      <c r="B436">
        <v>1</v>
      </c>
      <c r="D436" t="s">
        <v>1046</v>
      </c>
    </row>
    <row r="437" spans="1:4" x14ac:dyDescent="0.3">
      <c r="A437" s="22" t="s">
        <v>276</v>
      </c>
      <c r="B437">
        <v>1</v>
      </c>
      <c r="D437" t="s">
        <v>1047</v>
      </c>
    </row>
    <row r="438" spans="1:4" x14ac:dyDescent="0.3">
      <c r="A438" s="22" t="s">
        <v>260</v>
      </c>
      <c r="B438">
        <v>1</v>
      </c>
      <c r="D438" t="s">
        <v>1048</v>
      </c>
    </row>
    <row r="439" spans="1:4" x14ac:dyDescent="0.3">
      <c r="A439" s="22" t="s">
        <v>680</v>
      </c>
      <c r="B439">
        <v>1</v>
      </c>
      <c r="D439" t="s">
        <v>1049</v>
      </c>
    </row>
    <row r="440" spans="1:4" x14ac:dyDescent="0.3">
      <c r="A440" s="22" t="s">
        <v>712</v>
      </c>
      <c r="B440">
        <v>1</v>
      </c>
      <c r="D440" t="s">
        <v>1050</v>
      </c>
    </row>
    <row r="441" spans="1:4" x14ac:dyDescent="0.3">
      <c r="A441" s="22" t="s">
        <v>550</v>
      </c>
      <c r="B441">
        <v>1</v>
      </c>
      <c r="D441" t="s">
        <v>1050</v>
      </c>
    </row>
    <row r="442" spans="1:4" x14ac:dyDescent="0.3">
      <c r="A442" s="22" t="s">
        <v>290</v>
      </c>
      <c r="B442">
        <v>1</v>
      </c>
      <c r="D442" t="s">
        <v>1051</v>
      </c>
    </row>
    <row r="443" spans="1:4" x14ac:dyDescent="0.3">
      <c r="A443" s="22" t="s">
        <v>250</v>
      </c>
      <c r="B443">
        <v>1</v>
      </c>
      <c r="D443" t="s">
        <v>1052</v>
      </c>
    </row>
    <row r="444" spans="1:4" x14ac:dyDescent="0.3">
      <c r="A444" s="22" t="s">
        <v>708</v>
      </c>
      <c r="B444">
        <v>1</v>
      </c>
      <c r="D444" t="s">
        <v>1053</v>
      </c>
    </row>
    <row r="445" spans="1:4" x14ac:dyDescent="0.3">
      <c r="A445" s="22" t="s">
        <v>601</v>
      </c>
      <c r="B445">
        <v>1</v>
      </c>
      <c r="D445" t="s">
        <v>1054</v>
      </c>
    </row>
    <row r="446" spans="1:4" x14ac:dyDescent="0.3">
      <c r="A446" s="22" t="s">
        <v>498</v>
      </c>
      <c r="B446">
        <v>1</v>
      </c>
      <c r="D446" t="s">
        <v>1055</v>
      </c>
    </row>
    <row r="447" spans="1:4" x14ac:dyDescent="0.3">
      <c r="A447" s="22" t="s">
        <v>581</v>
      </c>
      <c r="B447">
        <v>1</v>
      </c>
      <c r="D447" t="s">
        <v>1055</v>
      </c>
    </row>
    <row r="448" spans="1:4" x14ac:dyDescent="0.3">
      <c r="A448" s="22" t="s">
        <v>608</v>
      </c>
      <c r="B448">
        <v>1</v>
      </c>
      <c r="D448" t="s">
        <v>1056</v>
      </c>
    </row>
    <row r="449" spans="1:2" x14ac:dyDescent="0.3">
      <c r="A449" s="22" t="s">
        <v>567</v>
      </c>
      <c r="B449">
        <v>445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EFD717-D927-4514-AE9E-2D726D02185C}">
  <sheetPr codeName="Hoja6"/>
  <dimension ref="A3:B17"/>
  <sheetViews>
    <sheetView topLeftCell="A3" workbookViewId="0">
      <selection activeCell="A3" sqref="A3:B17"/>
    </sheetView>
  </sheetViews>
  <sheetFormatPr baseColWidth="10" defaultRowHeight="14.4" x14ac:dyDescent="0.3"/>
  <cols>
    <col min="1" max="1" width="32.44140625" bestFit="1" customWidth="1"/>
    <col min="2" max="2" width="18" bestFit="1" customWidth="1"/>
  </cols>
  <sheetData>
    <row r="3" spans="1:2" x14ac:dyDescent="0.3">
      <c r="A3" s="32" t="s">
        <v>566</v>
      </c>
      <c r="B3" t="s">
        <v>784</v>
      </c>
    </row>
    <row r="4" spans="1:2" x14ac:dyDescent="0.3">
      <c r="A4" s="22" t="s">
        <v>136</v>
      </c>
      <c r="B4">
        <v>2</v>
      </c>
    </row>
    <row r="5" spans="1:2" x14ac:dyDescent="0.3">
      <c r="A5" s="22" t="s">
        <v>779</v>
      </c>
      <c r="B5">
        <v>1</v>
      </c>
    </row>
    <row r="6" spans="1:2" x14ac:dyDescent="0.3">
      <c r="A6" s="22" t="s">
        <v>119</v>
      </c>
      <c r="B6">
        <v>1</v>
      </c>
    </row>
    <row r="7" spans="1:2" x14ac:dyDescent="0.3">
      <c r="A7" s="22" t="s">
        <v>780</v>
      </c>
      <c r="B7">
        <v>2</v>
      </c>
    </row>
    <row r="8" spans="1:2" x14ac:dyDescent="0.3">
      <c r="A8" s="22" t="s">
        <v>135</v>
      </c>
      <c r="B8">
        <v>4</v>
      </c>
    </row>
    <row r="9" spans="1:2" x14ac:dyDescent="0.3">
      <c r="A9" s="22" t="s">
        <v>783</v>
      </c>
      <c r="B9">
        <v>2</v>
      </c>
    </row>
    <row r="10" spans="1:2" x14ac:dyDescent="0.3">
      <c r="A10" s="22" t="s">
        <v>11</v>
      </c>
      <c r="B10">
        <v>2</v>
      </c>
    </row>
    <row r="11" spans="1:2" x14ac:dyDescent="0.3">
      <c r="A11" s="22" t="s">
        <v>137</v>
      </c>
      <c r="B11">
        <v>9</v>
      </c>
    </row>
    <row r="12" spans="1:2" x14ac:dyDescent="0.3">
      <c r="A12" s="22" t="s">
        <v>777</v>
      </c>
      <c r="B12">
        <v>2</v>
      </c>
    </row>
    <row r="13" spans="1:2" x14ac:dyDescent="0.3">
      <c r="A13" s="22" t="s">
        <v>59</v>
      </c>
      <c r="B13">
        <v>3</v>
      </c>
    </row>
    <row r="14" spans="1:2" x14ac:dyDescent="0.3">
      <c r="A14" s="22" t="s">
        <v>778</v>
      </c>
      <c r="B14">
        <v>1</v>
      </c>
    </row>
    <row r="15" spans="1:2" x14ac:dyDescent="0.3">
      <c r="A15" s="22" t="s">
        <v>146</v>
      </c>
      <c r="B15">
        <v>3</v>
      </c>
    </row>
    <row r="16" spans="1:2" x14ac:dyDescent="0.3">
      <c r="A16" s="22" t="s">
        <v>19</v>
      </c>
      <c r="B16">
        <v>1</v>
      </c>
    </row>
    <row r="17" spans="1:2" x14ac:dyDescent="0.3">
      <c r="A17" s="22" t="s">
        <v>567</v>
      </c>
      <c r="B17">
        <v>33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496586-6387-4F9C-8F0F-62A8CE8E1074}">
  <sheetPr codeName="Hoja7"/>
  <dimension ref="A1:D34"/>
  <sheetViews>
    <sheetView showGridLines="0" workbookViewId="0">
      <selection activeCell="B37" sqref="B37"/>
    </sheetView>
  </sheetViews>
  <sheetFormatPr baseColWidth="10" defaultRowHeight="14.4" x14ac:dyDescent="0.3"/>
  <cols>
    <col min="2" max="2" width="40.88671875" bestFit="1" customWidth="1"/>
    <col min="3" max="3" width="40.88671875" customWidth="1"/>
    <col min="4" max="4" width="48.88671875" bestFit="1" customWidth="1"/>
  </cols>
  <sheetData>
    <row r="1" spans="1:4" x14ac:dyDescent="0.3">
      <c r="B1" t="s">
        <v>781</v>
      </c>
      <c r="C1" t="s">
        <v>782</v>
      </c>
      <c r="D1" t="s">
        <v>770</v>
      </c>
    </row>
    <row r="2" spans="1:4" x14ac:dyDescent="0.3">
      <c r="A2">
        <v>1</v>
      </c>
      <c r="B2" t="s">
        <v>126</v>
      </c>
      <c r="C2" t="s">
        <v>777</v>
      </c>
      <c r="D2" t="s">
        <v>756</v>
      </c>
    </row>
    <row r="3" spans="1:4" x14ac:dyDescent="0.3">
      <c r="A3">
        <v>2</v>
      </c>
      <c r="B3" t="s">
        <v>25</v>
      </c>
      <c r="C3" t="s">
        <v>778</v>
      </c>
      <c r="D3" t="s">
        <v>709</v>
      </c>
    </row>
    <row r="4" spans="1:4" x14ac:dyDescent="0.3">
      <c r="A4">
        <v>3</v>
      </c>
      <c r="B4" t="s">
        <v>59</v>
      </c>
      <c r="C4" t="s">
        <v>59</v>
      </c>
      <c r="D4" t="s">
        <v>772</v>
      </c>
    </row>
    <row r="5" spans="1:4" x14ac:dyDescent="0.3">
      <c r="A5">
        <v>4</v>
      </c>
      <c r="B5" t="s">
        <v>137</v>
      </c>
      <c r="C5" t="s">
        <v>137</v>
      </c>
      <c r="D5" t="s">
        <v>739</v>
      </c>
    </row>
    <row r="6" spans="1:4" x14ac:dyDescent="0.3">
      <c r="A6">
        <v>5</v>
      </c>
      <c r="B6" t="s">
        <v>135</v>
      </c>
      <c r="C6" t="s">
        <v>135</v>
      </c>
      <c r="D6" t="s">
        <v>747</v>
      </c>
    </row>
    <row r="7" spans="1:4" x14ac:dyDescent="0.3">
      <c r="A7">
        <v>6</v>
      </c>
      <c r="B7" t="s">
        <v>146</v>
      </c>
      <c r="C7" t="s">
        <v>146</v>
      </c>
      <c r="D7" t="s">
        <v>761</v>
      </c>
    </row>
    <row r="8" spans="1:4" x14ac:dyDescent="0.3">
      <c r="A8">
        <v>7</v>
      </c>
      <c r="B8" t="s">
        <v>146</v>
      </c>
      <c r="C8" t="s">
        <v>146</v>
      </c>
      <c r="D8" t="s">
        <v>755</v>
      </c>
    </row>
    <row r="9" spans="1:4" x14ac:dyDescent="0.3">
      <c r="A9">
        <v>8</v>
      </c>
      <c r="B9" t="s">
        <v>158</v>
      </c>
      <c r="C9" t="s">
        <v>783</v>
      </c>
      <c r="D9" t="s">
        <v>757</v>
      </c>
    </row>
    <row r="10" spans="1:4" x14ac:dyDescent="0.3">
      <c r="A10">
        <v>9</v>
      </c>
      <c r="B10" t="s">
        <v>159</v>
      </c>
      <c r="C10" t="s">
        <v>783</v>
      </c>
      <c r="D10" t="s">
        <v>758</v>
      </c>
    </row>
    <row r="11" spans="1:4" x14ac:dyDescent="0.3">
      <c r="A11">
        <v>10</v>
      </c>
      <c r="B11" t="s">
        <v>205</v>
      </c>
      <c r="C11" t="s">
        <v>11</v>
      </c>
      <c r="D11" t="s">
        <v>728</v>
      </c>
    </row>
    <row r="12" spans="1:4" x14ac:dyDescent="0.3">
      <c r="A12">
        <v>11</v>
      </c>
      <c r="B12" t="s">
        <v>206</v>
      </c>
      <c r="C12" t="s">
        <v>11</v>
      </c>
      <c r="D12" t="s">
        <v>504</v>
      </c>
    </row>
    <row r="13" spans="1:4" x14ac:dyDescent="0.3">
      <c r="A13">
        <v>12</v>
      </c>
      <c r="B13" t="s">
        <v>209</v>
      </c>
      <c r="C13" t="s">
        <v>119</v>
      </c>
      <c r="D13" t="s">
        <v>769</v>
      </c>
    </row>
    <row r="14" spans="1:4" x14ac:dyDescent="0.3">
      <c r="A14">
        <v>13</v>
      </c>
      <c r="B14" t="s">
        <v>167</v>
      </c>
      <c r="C14" t="s">
        <v>779</v>
      </c>
      <c r="D14" t="s">
        <v>776</v>
      </c>
    </row>
    <row r="15" spans="1:4" x14ac:dyDescent="0.3">
      <c r="A15">
        <v>14</v>
      </c>
      <c r="B15" t="s">
        <v>19</v>
      </c>
      <c r="C15" t="s">
        <v>19</v>
      </c>
      <c r="D15" t="s">
        <v>731</v>
      </c>
    </row>
    <row r="16" spans="1:4" x14ac:dyDescent="0.3">
      <c r="A16">
        <v>15</v>
      </c>
      <c r="B16" t="s">
        <v>113</v>
      </c>
      <c r="C16" t="s">
        <v>780</v>
      </c>
      <c r="D16" t="s">
        <v>759</v>
      </c>
    </row>
    <row r="17" spans="1:4" x14ac:dyDescent="0.3">
      <c r="A17">
        <v>16</v>
      </c>
      <c r="B17" t="s">
        <v>132</v>
      </c>
      <c r="C17" t="s">
        <v>777</v>
      </c>
      <c r="D17" t="s">
        <v>706</v>
      </c>
    </row>
    <row r="18" spans="1:4" x14ac:dyDescent="0.3">
      <c r="A18">
        <v>17</v>
      </c>
      <c r="B18" t="s">
        <v>135</v>
      </c>
      <c r="C18" t="s">
        <v>135</v>
      </c>
      <c r="D18" t="s">
        <v>714</v>
      </c>
    </row>
    <row r="19" spans="1:4" x14ac:dyDescent="0.3">
      <c r="A19">
        <v>18</v>
      </c>
      <c r="B19" t="s">
        <v>137</v>
      </c>
      <c r="C19" t="s">
        <v>137</v>
      </c>
      <c r="D19" t="s">
        <v>775</v>
      </c>
    </row>
    <row r="20" spans="1:4" x14ac:dyDescent="0.3">
      <c r="A20">
        <v>19</v>
      </c>
      <c r="B20" t="s">
        <v>59</v>
      </c>
      <c r="C20" t="s">
        <v>59</v>
      </c>
      <c r="D20" t="s">
        <v>753</v>
      </c>
    </row>
    <row r="21" spans="1:4" x14ac:dyDescent="0.3">
      <c r="A21">
        <v>20</v>
      </c>
      <c r="B21" t="s">
        <v>137</v>
      </c>
      <c r="C21" t="s">
        <v>137</v>
      </c>
      <c r="D21" t="s">
        <v>710</v>
      </c>
    </row>
    <row r="22" spans="1:4" x14ac:dyDescent="0.3">
      <c r="A22">
        <v>21</v>
      </c>
      <c r="B22" t="s">
        <v>136</v>
      </c>
      <c r="C22" t="s">
        <v>136</v>
      </c>
      <c r="D22" t="s">
        <v>712</v>
      </c>
    </row>
    <row r="23" spans="1:4" x14ac:dyDescent="0.3">
      <c r="A23">
        <v>22</v>
      </c>
      <c r="B23" t="s">
        <v>137</v>
      </c>
      <c r="C23" t="s">
        <v>137</v>
      </c>
      <c r="D23" t="s">
        <v>699</v>
      </c>
    </row>
    <row r="24" spans="1:4" x14ac:dyDescent="0.3">
      <c r="A24">
        <v>23</v>
      </c>
      <c r="B24" t="s">
        <v>135</v>
      </c>
      <c r="C24" t="s">
        <v>135</v>
      </c>
      <c r="D24" t="s">
        <v>717</v>
      </c>
    </row>
    <row r="25" spans="1:4" x14ac:dyDescent="0.3">
      <c r="A25">
        <v>24</v>
      </c>
      <c r="B25" t="s">
        <v>137</v>
      </c>
      <c r="C25" t="s">
        <v>137</v>
      </c>
      <c r="D25" t="s">
        <v>773</v>
      </c>
    </row>
    <row r="26" spans="1:4" x14ac:dyDescent="0.3">
      <c r="A26">
        <v>25</v>
      </c>
      <c r="B26" t="s">
        <v>146</v>
      </c>
      <c r="C26" t="s">
        <v>146</v>
      </c>
      <c r="D26" t="s">
        <v>721</v>
      </c>
    </row>
    <row r="27" spans="1:4" x14ac:dyDescent="0.3">
      <c r="A27">
        <v>26</v>
      </c>
      <c r="B27" t="s">
        <v>137</v>
      </c>
      <c r="C27" t="s">
        <v>137</v>
      </c>
      <c r="D27" t="s">
        <v>722</v>
      </c>
    </row>
    <row r="28" spans="1:4" x14ac:dyDescent="0.3">
      <c r="A28">
        <v>27</v>
      </c>
      <c r="B28" t="s">
        <v>111</v>
      </c>
      <c r="C28" t="s">
        <v>780</v>
      </c>
      <c r="D28" t="s">
        <v>760</v>
      </c>
    </row>
    <row r="29" spans="1:4" x14ac:dyDescent="0.3">
      <c r="A29">
        <v>28</v>
      </c>
      <c r="B29" t="s">
        <v>59</v>
      </c>
      <c r="C29" t="s">
        <v>59</v>
      </c>
      <c r="D29" t="s">
        <v>771</v>
      </c>
    </row>
    <row r="30" spans="1:4" x14ac:dyDescent="0.3">
      <c r="A30">
        <v>29</v>
      </c>
      <c r="B30" t="s">
        <v>137</v>
      </c>
      <c r="C30" t="s">
        <v>137</v>
      </c>
      <c r="D30" t="s">
        <v>713</v>
      </c>
    </row>
    <row r="31" spans="1:4" x14ac:dyDescent="0.3">
      <c r="A31">
        <v>30</v>
      </c>
      <c r="B31" t="s">
        <v>137</v>
      </c>
      <c r="C31" t="s">
        <v>137</v>
      </c>
      <c r="D31" t="s">
        <v>716</v>
      </c>
    </row>
    <row r="32" spans="1:4" x14ac:dyDescent="0.3">
      <c r="A32">
        <v>31</v>
      </c>
      <c r="B32" t="s">
        <v>136</v>
      </c>
      <c r="C32" t="s">
        <v>136</v>
      </c>
      <c r="D32" t="s">
        <v>733</v>
      </c>
    </row>
    <row r="33" spans="1:4" x14ac:dyDescent="0.3">
      <c r="A33">
        <v>32</v>
      </c>
      <c r="B33" t="s">
        <v>135</v>
      </c>
      <c r="C33" t="s">
        <v>135</v>
      </c>
      <c r="D33" t="s">
        <v>752</v>
      </c>
    </row>
    <row r="34" spans="1:4" x14ac:dyDescent="0.3">
      <c r="A34">
        <v>33</v>
      </c>
      <c r="B34" t="s">
        <v>137</v>
      </c>
      <c r="C34" t="s">
        <v>137</v>
      </c>
      <c r="D34" t="s">
        <v>727</v>
      </c>
    </row>
  </sheetData>
  <autoFilter ref="B1:D34" xr:uid="{DC496586-6387-4F9C-8F0F-62A8CE8E1074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E4EF4-E8B7-4F41-A1CE-5AFB135CF6F2}">
  <sheetPr codeName="Hoja8"/>
  <dimension ref="C3:I18"/>
  <sheetViews>
    <sheetView workbookViewId="0">
      <selection activeCell="G20" sqref="G20"/>
    </sheetView>
  </sheetViews>
  <sheetFormatPr baseColWidth="10" defaultRowHeight="14.4" x14ac:dyDescent="0.3"/>
  <cols>
    <col min="3" max="5" width="25.109375" customWidth="1"/>
    <col min="7" max="9" width="44.5546875" customWidth="1"/>
  </cols>
  <sheetData>
    <row r="3" spans="3:9" x14ac:dyDescent="0.3">
      <c r="C3" s="30" t="s">
        <v>532</v>
      </c>
      <c r="D3" s="30" t="s">
        <v>522</v>
      </c>
      <c r="E3" s="30" t="s">
        <v>531</v>
      </c>
      <c r="G3" s="30" t="s">
        <v>654</v>
      </c>
      <c r="H3" s="30" t="s">
        <v>55</v>
      </c>
      <c r="I3" s="30" t="s">
        <v>655</v>
      </c>
    </row>
    <row r="4" spans="3:9" x14ac:dyDescent="0.3">
      <c r="C4" s="2"/>
      <c r="D4" s="2"/>
      <c r="E4" s="2"/>
      <c r="G4" s="5"/>
      <c r="H4" s="29"/>
      <c r="I4" s="42"/>
    </row>
    <row r="5" spans="3:9" x14ac:dyDescent="0.3">
      <c r="C5" s="2"/>
      <c r="D5" s="2"/>
      <c r="E5" s="2"/>
      <c r="G5" s="2"/>
      <c r="H5" s="2"/>
      <c r="I5" s="2"/>
    </row>
    <row r="6" spans="3:9" x14ac:dyDescent="0.3">
      <c r="C6" s="2"/>
      <c r="D6" s="2"/>
      <c r="E6" s="2"/>
      <c r="G6" s="2"/>
      <c r="H6" s="2"/>
      <c r="I6" s="2"/>
    </row>
    <row r="7" spans="3:9" x14ac:dyDescent="0.3">
      <c r="C7" s="2"/>
      <c r="D7" s="2"/>
      <c r="E7" s="2"/>
      <c r="G7" s="2"/>
      <c r="H7" s="2"/>
      <c r="I7" s="2"/>
    </row>
    <row r="8" spans="3:9" x14ac:dyDescent="0.3">
      <c r="C8" s="2"/>
      <c r="D8" s="2"/>
      <c r="E8" s="2"/>
      <c r="G8" s="2"/>
      <c r="H8" s="2"/>
      <c r="I8" s="2"/>
    </row>
    <row r="9" spans="3:9" x14ac:dyDescent="0.3">
      <c r="C9" s="2"/>
      <c r="D9" s="2"/>
      <c r="E9" s="2"/>
      <c r="G9" s="2"/>
      <c r="H9" s="2"/>
      <c r="I9" s="2"/>
    </row>
    <row r="10" spans="3:9" x14ac:dyDescent="0.3">
      <c r="C10" s="2"/>
      <c r="D10" s="2"/>
      <c r="E10" s="2"/>
      <c r="G10" s="2"/>
      <c r="H10" s="2"/>
      <c r="I10" s="2"/>
    </row>
    <row r="11" spans="3:9" x14ac:dyDescent="0.3">
      <c r="C11" s="2"/>
      <c r="D11" s="2"/>
      <c r="E11" s="2"/>
      <c r="G11" s="2"/>
      <c r="H11" s="2"/>
      <c r="I11" s="2"/>
    </row>
    <row r="12" spans="3:9" x14ac:dyDescent="0.3">
      <c r="C12" s="2"/>
      <c r="D12" s="2"/>
      <c r="E12" s="2"/>
      <c r="G12" s="2"/>
      <c r="H12" s="2"/>
      <c r="I12" s="2"/>
    </row>
    <row r="13" spans="3:9" x14ac:dyDescent="0.3">
      <c r="C13" s="2"/>
      <c r="D13" s="2"/>
      <c r="E13" s="2"/>
      <c r="G13" s="2"/>
      <c r="H13" s="2"/>
      <c r="I13" s="2"/>
    </row>
    <row r="14" spans="3:9" x14ac:dyDescent="0.3">
      <c r="C14" s="2"/>
      <c r="D14" s="2"/>
      <c r="E14" s="2"/>
      <c r="G14" s="2"/>
      <c r="H14" s="2"/>
      <c r="I14" s="2"/>
    </row>
    <row r="15" spans="3:9" x14ac:dyDescent="0.3">
      <c r="C15" s="2"/>
      <c r="D15" s="2"/>
      <c r="E15" s="2"/>
      <c r="G15" s="2"/>
      <c r="H15" s="2"/>
      <c r="I15" s="2"/>
    </row>
    <row r="16" spans="3:9" x14ac:dyDescent="0.3">
      <c r="C16" s="2"/>
      <c r="D16" s="2"/>
      <c r="E16" s="2"/>
      <c r="G16" s="2"/>
      <c r="H16" s="2"/>
      <c r="I16" s="2"/>
    </row>
    <row r="17" spans="3:9" x14ac:dyDescent="0.3">
      <c r="C17" s="2"/>
      <c r="D17" s="2"/>
      <c r="E17" s="2"/>
      <c r="G17" s="2"/>
      <c r="H17" s="2"/>
      <c r="I17" s="2"/>
    </row>
    <row r="18" spans="3:9" x14ac:dyDescent="0.3">
      <c r="C18" s="2"/>
      <c r="D18" s="2"/>
      <c r="E18" s="2"/>
      <c r="G18" s="2"/>
      <c r="H18" s="2"/>
      <c r="I18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077B6-ED48-4282-A4D1-F85E519D03B7}">
  <sheetPr codeName="Hoja9"/>
  <dimension ref="A2:E25"/>
  <sheetViews>
    <sheetView showGridLines="0" zoomScaleNormal="100" zoomScaleSheetLayoutView="100" workbookViewId="0">
      <selection activeCell="E25" sqref="E25"/>
    </sheetView>
  </sheetViews>
  <sheetFormatPr baseColWidth="10" defaultRowHeight="14.4" x14ac:dyDescent="0.3"/>
  <cols>
    <col min="2" max="2" width="34.6640625" bestFit="1" customWidth="1"/>
    <col min="3" max="3" width="32" bestFit="1" customWidth="1"/>
  </cols>
  <sheetData>
    <row r="2" spans="1:5" x14ac:dyDescent="0.3">
      <c r="B2" s="3" t="s">
        <v>213</v>
      </c>
    </row>
    <row r="3" spans="1:5" x14ac:dyDescent="0.3">
      <c r="A3" s="2">
        <f t="shared" ref="A3:A8" si="0">ROW(C3)-2</f>
        <v>1</v>
      </c>
      <c r="B3" s="2" t="s">
        <v>456</v>
      </c>
      <c r="C3" s="2" t="s">
        <v>453</v>
      </c>
      <c r="D3" s="2">
        <v>1</v>
      </c>
      <c r="E3" s="50" t="s">
        <v>1098</v>
      </c>
    </row>
    <row r="4" spans="1:5" x14ac:dyDescent="0.3">
      <c r="A4" s="2">
        <f t="shared" si="0"/>
        <v>2</v>
      </c>
      <c r="B4" s="2" t="s">
        <v>456</v>
      </c>
      <c r="C4" s="2" t="s">
        <v>454</v>
      </c>
      <c r="D4" s="2">
        <v>1</v>
      </c>
      <c r="E4" s="50" t="s">
        <v>1098</v>
      </c>
    </row>
    <row r="5" spans="1:5" x14ac:dyDescent="0.3">
      <c r="A5" s="2">
        <f t="shared" si="0"/>
        <v>3</v>
      </c>
      <c r="B5" s="2" t="s">
        <v>456</v>
      </c>
      <c r="C5" s="2" t="s">
        <v>455</v>
      </c>
      <c r="D5" s="2">
        <v>1</v>
      </c>
      <c r="E5" s="50" t="s">
        <v>1098</v>
      </c>
    </row>
    <row r="6" spans="1:5" x14ac:dyDescent="0.3">
      <c r="A6" s="2">
        <f t="shared" si="0"/>
        <v>4</v>
      </c>
      <c r="B6" s="2" t="s">
        <v>1070</v>
      </c>
      <c r="C6" s="81" t="s">
        <v>276</v>
      </c>
      <c r="D6" s="2">
        <v>1</v>
      </c>
      <c r="E6" s="50" t="s">
        <v>1067</v>
      </c>
    </row>
    <row r="7" spans="1:5" x14ac:dyDescent="0.3">
      <c r="A7" s="2">
        <f t="shared" si="0"/>
        <v>5</v>
      </c>
      <c r="B7" s="2" t="s">
        <v>1075</v>
      </c>
      <c r="C7" s="80" t="s">
        <v>377</v>
      </c>
      <c r="D7" s="2">
        <v>1</v>
      </c>
      <c r="E7" s="50" t="s">
        <v>1067</v>
      </c>
    </row>
    <row r="8" spans="1:5" x14ac:dyDescent="0.3">
      <c r="A8" s="2">
        <f t="shared" si="0"/>
        <v>6</v>
      </c>
      <c r="B8" s="2" t="s">
        <v>660</v>
      </c>
      <c r="C8" s="2" t="s">
        <v>394</v>
      </c>
      <c r="D8" s="2">
        <v>1</v>
      </c>
      <c r="E8" s="50" t="s">
        <v>1067</v>
      </c>
    </row>
    <row r="9" spans="1:5" x14ac:dyDescent="0.3">
      <c r="A9" s="2">
        <f t="shared" ref="A9:A12" si="1">ROW(C9)-2</f>
        <v>7</v>
      </c>
      <c r="B9" s="2" t="s">
        <v>146</v>
      </c>
      <c r="C9" s="80" t="s">
        <v>373</v>
      </c>
      <c r="D9" s="2">
        <v>1</v>
      </c>
      <c r="E9" s="50" t="s">
        <v>1067</v>
      </c>
    </row>
    <row r="10" spans="1:5" x14ac:dyDescent="0.3">
      <c r="A10" s="2">
        <f t="shared" si="1"/>
        <v>8</v>
      </c>
      <c r="B10" s="2" t="s">
        <v>1165</v>
      </c>
      <c r="C10" s="80" t="s">
        <v>365</v>
      </c>
      <c r="D10" s="2">
        <v>1</v>
      </c>
      <c r="E10" s="50" t="s">
        <v>1067</v>
      </c>
    </row>
    <row r="11" spans="1:5" x14ac:dyDescent="0.3">
      <c r="A11" s="2">
        <f t="shared" si="1"/>
        <v>9</v>
      </c>
      <c r="B11" s="2" t="s">
        <v>1170</v>
      </c>
      <c r="C11" s="80" t="s">
        <v>401</v>
      </c>
      <c r="D11" s="50">
        <v>1</v>
      </c>
      <c r="E11" s="50" t="s">
        <v>1067</v>
      </c>
    </row>
    <row r="12" spans="1:5" x14ac:dyDescent="0.3">
      <c r="A12" s="123">
        <f t="shared" si="1"/>
        <v>10</v>
      </c>
      <c r="B12" s="123" t="s">
        <v>1171</v>
      </c>
      <c r="C12" s="93" t="s">
        <v>277</v>
      </c>
      <c r="D12" s="167">
        <v>1</v>
      </c>
      <c r="E12" s="167" t="s">
        <v>1067</v>
      </c>
    </row>
    <row r="13" spans="1:5" x14ac:dyDescent="0.3">
      <c r="B13" s="3" t="s">
        <v>494</v>
      </c>
    </row>
    <row r="16" spans="1:5" s="3" customFormat="1" x14ac:dyDescent="0.3">
      <c r="B16" s="3" t="s">
        <v>53</v>
      </c>
      <c r="D16" s="3">
        <f>SUM(D3:D13)</f>
        <v>10</v>
      </c>
    </row>
    <row r="25" spans="4:4" x14ac:dyDescent="0.3">
      <c r="D25" s="93"/>
    </row>
  </sheetData>
  <phoneticPr fontId="7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71539-89C1-4C4C-832A-45FEBB8484DD}">
  <sheetPr codeName="Hoja10"/>
  <dimension ref="B2:M108"/>
  <sheetViews>
    <sheetView showGridLines="0" topLeftCell="C1" zoomScale="85" zoomScaleNormal="85" workbookViewId="0">
      <selection activeCell="G20" sqref="G20"/>
    </sheetView>
  </sheetViews>
  <sheetFormatPr baseColWidth="10" defaultRowHeight="14.4" x14ac:dyDescent="0.3"/>
  <cols>
    <col min="2" max="2" width="34.44140625" bestFit="1" customWidth="1"/>
    <col min="3" max="3" width="36.5546875" bestFit="1" customWidth="1"/>
    <col min="6" max="6" width="52.44140625" bestFit="1" customWidth="1"/>
    <col min="7" max="7" width="45.33203125" bestFit="1" customWidth="1"/>
    <col min="9" max="9" width="43" customWidth="1"/>
    <col min="10" max="10" width="26.6640625" customWidth="1"/>
    <col min="12" max="12" width="44.5546875" customWidth="1"/>
    <col min="13" max="13" width="27.33203125" customWidth="1"/>
  </cols>
  <sheetData>
    <row r="2" spans="2:13" x14ac:dyDescent="0.3">
      <c r="B2" s="2"/>
      <c r="C2" s="2"/>
    </row>
    <row r="3" spans="2:13" x14ac:dyDescent="0.3">
      <c r="B3" s="37" t="s">
        <v>566</v>
      </c>
      <c r="C3" s="37" t="s">
        <v>568</v>
      </c>
      <c r="F3" s="37" t="s">
        <v>566</v>
      </c>
      <c r="G3" s="37" t="s">
        <v>569</v>
      </c>
      <c r="I3" s="37" t="s">
        <v>566</v>
      </c>
      <c r="J3" s="37" t="s">
        <v>570</v>
      </c>
      <c r="L3" s="37" t="s">
        <v>566</v>
      </c>
      <c r="M3" s="37" t="s">
        <v>571</v>
      </c>
    </row>
    <row r="4" spans="2:13" x14ac:dyDescent="0.3">
      <c r="B4" s="38" t="s">
        <v>555</v>
      </c>
      <c r="C4" s="39">
        <v>5</v>
      </c>
      <c r="F4" s="38" t="s">
        <v>555</v>
      </c>
      <c r="G4" s="39">
        <f>+G5+G9+G11</f>
        <v>5</v>
      </c>
      <c r="I4" s="38" t="s">
        <v>555</v>
      </c>
      <c r="J4" s="39">
        <v>5</v>
      </c>
      <c r="L4" s="38" t="s">
        <v>555</v>
      </c>
      <c r="M4" s="39">
        <f>+M5+M9+M11</f>
        <v>5</v>
      </c>
    </row>
    <row r="5" spans="2:13" x14ac:dyDescent="0.3">
      <c r="B5" s="35" t="s">
        <v>200</v>
      </c>
      <c r="C5" s="6">
        <v>5</v>
      </c>
      <c r="F5" s="35" t="s">
        <v>200</v>
      </c>
      <c r="G5" s="6">
        <v>3</v>
      </c>
      <c r="I5" s="35" t="s">
        <v>200</v>
      </c>
      <c r="J5" s="6">
        <v>5</v>
      </c>
      <c r="L5" s="35" t="s">
        <v>200</v>
      </c>
      <c r="M5" s="6">
        <v>3</v>
      </c>
    </row>
    <row r="6" spans="2:13" x14ac:dyDescent="0.3">
      <c r="B6" s="36" t="s">
        <v>114</v>
      </c>
      <c r="C6" s="2">
        <v>1</v>
      </c>
      <c r="F6" s="36" t="s">
        <v>110</v>
      </c>
      <c r="G6" s="2">
        <v>1</v>
      </c>
      <c r="I6" s="36" t="s">
        <v>114</v>
      </c>
      <c r="J6" s="2">
        <v>1</v>
      </c>
      <c r="L6" s="36" t="s">
        <v>114</v>
      </c>
      <c r="M6" s="2">
        <v>1</v>
      </c>
    </row>
    <row r="7" spans="2:13" x14ac:dyDescent="0.3">
      <c r="B7" s="36" t="s">
        <v>110</v>
      </c>
      <c r="C7" s="2">
        <v>1</v>
      </c>
      <c r="F7" s="36" t="s">
        <v>111</v>
      </c>
      <c r="G7" s="2">
        <v>1</v>
      </c>
      <c r="I7" s="36" t="s">
        <v>110</v>
      </c>
      <c r="J7" s="2">
        <v>1</v>
      </c>
      <c r="L7" s="36" t="s">
        <v>111</v>
      </c>
      <c r="M7" s="2">
        <v>1</v>
      </c>
    </row>
    <row r="8" spans="2:13" x14ac:dyDescent="0.3">
      <c r="B8" s="36" t="s">
        <v>111</v>
      </c>
      <c r="C8" s="2">
        <v>1</v>
      </c>
      <c r="F8" s="36" t="s">
        <v>112</v>
      </c>
      <c r="G8" s="2">
        <v>1</v>
      </c>
      <c r="I8" s="36" t="s">
        <v>111</v>
      </c>
      <c r="J8" s="2">
        <v>1</v>
      </c>
      <c r="L8" s="36" t="s">
        <v>112</v>
      </c>
      <c r="M8" s="2">
        <v>1</v>
      </c>
    </row>
    <row r="9" spans="2:13" x14ac:dyDescent="0.3">
      <c r="B9" s="36" t="s">
        <v>112</v>
      </c>
      <c r="C9" s="2">
        <v>1</v>
      </c>
      <c r="F9" s="35" t="s">
        <v>408</v>
      </c>
      <c r="G9" s="6">
        <v>1</v>
      </c>
      <c r="I9" s="36" t="s">
        <v>112</v>
      </c>
      <c r="J9" s="2">
        <v>1</v>
      </c>
      <c r="L9" s="35" t="s">
        <v>240</v>
      </c>
      <c r="M9" s="6">
        <v>1</v>
      </c>
    </row>
    <row r="10" spans="2:13" x14ac:dyDescent="0.3">
      <c r="B10" s="36" t="s">
        <v>113</v>
      </c>
      <c r="C10" s="2">
        <v>1</v>
      </c>
      <c r="F10" s="36" t="s">
        <v>114</v>
      </c>
      <c r="G10" s="2">
        <v>1</v>
      </c>
      <c r="I10" s="36" t="s">
        <v>113</v>
      </c>
      <c r="J10" s="2">
        <v>1</v>
      </c>
      <c r="L10" s="36" t="s">
        <v>113</v>
      </c>
      <c r="M10" s="2">
        <v>1</v>
      </c>
    </row>
    <row r="11" spans="2:13" x14ac:dyDescent="0.3">
      <c r="B11" s="38" t="s">
        <v>556</v>
      </c>
      <c r="C11" s="39">
        <v>5</v>
      </c>
      <c r="F11" s="35" t="s">
        <v>234</v>
      </c>
      <c r="G11" s="6">
        <v>1</v>
      </c>
      <c r="I11" s="38" t="s">
        <v>556</v>
      </c>
      <c r="J11" s="39">
        <v>5</v>
      </c>
      <c r="L11" s="35" t="s">
        <v>671</v>
      </c>
      <c r="M11" s="6">
        <v>1</v>
      </c>
    </row>
    <row r="12" spans="2:13" x14ac:dyDescent="0.3">
      <c r="B12" s="35" t="s">
        <v>200</v>
      </c>
      <c r="C12" s="6">
        <v>5</v>
      </c>
      <c r="F12" s="36" t="s">
        <v>113</v>
      </c>
      <c r="G12" s="2">
        <v>1</v>
      </c>
      <c r="I12" s="35" t="s">
        <v>200</v>
      </c>
      <c r="J12" s="6">
        <v>5</v>
      </c>
      <c r="L12" s="36" t="s">
        <v>683</v>
      </c>
      <c r="M12" s="2">
        <v>1</v>
      </c>
    </row>
    <row r="13" spans="2:13" x14ac:dyDescent="0.3">
      <c r="B13" s="36" t="s">
        <v>119</v>
      </c>
      <c r="C13" s="2">
        <v>1</v>
      </c>
      <c r="F13" s="38" t="s">
        <v>556</v>
      </c>
      <c r="G13" s="39">
        <v>5</v>
      </c>
      <c r="I13" s="36" t="s">
        <v>119</v>
      </c>
      <c r="J13" s="2">
        <v>1</v>
      </c>
      <c r="L13" s="38" t="s">
        <v>556</v>
      </c>
      <c r="M13" s="39">
        <v>5</v>
      </c>
    </row>
    <row r="14" spans="2:13" x14ac:dyDescent="0.3">
      <c r="B14" s="36" t="s">
        <v>115</v>
      </c>
      <c r="C14" s="2">
        <v>1</v>
      </c>
      <c r="F14" s="35" t="s">
        <v>200</v>
      </c>
      <c r="G14" s="6">
        <v>5</v>
      </c>
      <c r="I14" s="36" t="s">
        <v>115</v>
      </c>
      <c r="J14" s="2">
        <v>1</v>
      </c>
      <c r="L14" s="35" t="s">
        <v>200</v>
      </c>
      <c r="M14" s="6">
        <v>5</v>
      </c>
    </row>
    <row r="15" spans="2:13" x14ac:dyDescent="0.3">
      <c r="B15" s="36" t="s">
        <v>116</v>
      </c>
      <c r="C15" s="2">
        <v>1</v>
      </c>
      <c r="F15" s="36" t="s">
        <v>119</v>
      </c>
      <c r="G15" s="2">
        <v>1</v>
      </c>
      <c r="I15" s="36" t="s">
        <v>116</v>
      </c>
      <c r="J15" s="2">
        <v>1</v>
      </c>
      <c r="L15" s="36" t="s">
        <v>119</v>
      </c>
      <c r="M15" s="2">
        <v>1</v>
      </c>
    </row>
    <row r="16" spans="2:13" x14ac:dyDescent="0.3">
      <c r="B16" s="36" t="s">
        <v>117</v>
      </c>
      <c r="C16" s="2">
        <v>1</v>
      </c>
      <c r="F16" s="36" t="s">
        <v>115</v>
      </c>
      <c r="G16" s="2">
        <v>1</v>
      </c>
      <c r="I16" s="36" t="s">
        <v>117</v>
      </c>
      <c r="J16" s="2">
        <v>1</v>
      </c>
      <c r="L16" s="36" t="s">
        <v>115</v>
      </c>
      <c r="M16" s="2">
        <v>1</v>
      </c>
    </row>
    <row r="17" spans="2:13" x14ac:dyDescent="0.3">
      <c r="B17" s="36" t="s">
        <v>118</v>
      </c>
      <c r="C17" s="2">
        <v>1</v>
      </c>
      <c r="F17" s="36" t="s">
        <v>116</v>
      </c>
      <c r="G17" s="2">
        <v>1</v>
      </c>
      <c r="I17" s="36" t="s">
        <v>118</v>
      </c>
      <c r="J17" s="2">
        <v>1</v>
      </c>
      <c r="L17" s="36" t="s">
        <v>116</v>
      </c>
      <c r="M17" s="2">
        <v>1</v>
      </c>
    </row>
    <row r="18" spans="2:13" x14ac:dyDescent="0.3">
      <c r="B18" s="38" t="s">
        <v>554</v>
      </c>
      <c r="C18" s="39">
        <v>1</v>
      </c>
      <c r="F18" s="36" t="s">
        <v>117</v>
      </c>
      <c r="G18" s="2">
        <v>1</v>
      </c>
      <c r="I18" s="38" t="s">
        <v>554</v>
      </c>
      <c r="J18" s="39">
        <v>1</v>
      </c>
      <c r="L18" s="36" t="s">
        <v>117</v>
      </c>
      <c r="M18" s="2">
        <v>1</v>
      </c>
    </row>
    <row r="19" spans="2:13" x14ac:dyDescent="0.3">
      <c r="B19" s="35" t="s">
        <v>200</v>
      </c>
      <c r="C19" s="6">
        <v>1</v>
      </c>
      <c r="F19" s="36" t="s">
        <v>118</v>
      </c>
      <c r="G19" s="2">
        <v>1</v>
      </c>
      <c r="I19" s="35" t="s">
        <v>200</v>
      </c>
      <c r="J19" s="6">
        <v>1</v>
      </c>
      <c r="L19" s="36" t="s">
        <v>118</v>
      </c>
      <c r="M19" s="2">
        <v>1</v>
      </c>
    </row>
    <row r="20" spans="2:13" x14ac:dyDescent="0.3">
      <c r="B20" s="36" t="s">
        <v>100</v>
      </c>
      <c r="C20" s="2">
        <v>1</v>
      </c>
      <c r="F20" s="38" t="s">
        <v>554</v>
      </c>
      <c r="G20" s="39">
        <v>1</v>
      </c>
      <c r="I20" s="36" t="s">
        <v>100</v>
      </c>
      <c r="J20" s="2">
        <v>1</v>
      </c>
      <c r="L20" s="38" t="s">
        <v>554</v>
      </c>
      <c r="M20" s="39">
        <v>1</v>
      </c>
    </row>
    <row r="21" spans="2:13" x14ac:dyDescent="0.3">
      <c r="B21" s="38" t="s">
        <v>552</v>
      </c>
      <c r="C21" s="39">
        <f>+C22+C37+C43+C47</f>
        <v>55</v>
      </c>
      <c r="F21" s="35" t="s">
        <v>200</v>
      </c>
      <c r="G21" s="6">
        <v>1</v>
      </c>
      <c r="I21" s="38" t="s">
        <v>552</v>
      </c>
      <c r="J21" s="39">
        <v>55</v>
      </c>
      <c r="L21" s="35" t="s">
        <v>200</v>
      </c>
      <c r="M21" s="6">
        <v>1</v>
      </c>
    </row>
    <row r="22" spans="2:13" x14ac:dyDescent="0.3">
      <c r="B22" s="35" t="s">
        <v>200</v>
      </c>
      <c r="C22" s="6">
        <v>44</v>
      </c>
      <c r="F22" s="36" t="s">
        <v>100</v>
      </c>
      <c r="G22" s="2">
        <v>1</v>
      </c>
      <c r="I22" s="35" t="s">
        <v>200</v>
      </c>
      <c r="J22" s="6">
        <v>45</v>
      </c>
      <c r="L22" s="36" t="s">
        <v>100</v>
      </c>
      <c r="M22" s="2">
        <v>1</v>
      </c>
    </row>
    <row r="23" spans="2:13" x14ac:dyDescent="0.3">
      <c r="B23" s="36" t="s">
        <v>136</v>
      </c>
      <c r="C23" s="2">
        <v>4</v>
      </c>
      <c r="F23" s="38" t="s">
        <v>552</v>
      </c>
      <c r="G23" s="39">
        <f>+G24+G38+G40+G45</f>
        <v>55</v>
      </c>
      <c r="I23" s="36" t="s">
        <v>136</v>
      </c>
      <c r="J23" s="2">
        <v>4</v>
      </c>
      <c r="L23" s="38" t="s">
        <v>552</v>
      </c>
      <c r="M23" s="39">
        <v>55</v>
      </c>
    </row>
    <row r="24" spans="2:13" x14ac:dyDescent="0.3">
      <c r="B24" s="36" t="s">
        <v>120</v>
      </c>
      <c r="C24" s="2">
        <v>1</v>
      </c>
      <c r="F24" s="35" t="s">
        <v>200</v>
      </c>
      <c r="G24" s="6">
        <v>39</v>
      </c>
      <c r="I24" s="36" t="s">
        <v>120</v>
      </c>
      <c r="J24" s="2">
        <v>1</v>
      </c>
      <c r="L24" s="35" t="s">
        <v>200</v>
      </c>
      <c r="M24" s="6">
        <v>51</v>
      </c>
    </row>
    <row r="25" spans="2:13" x14ac:dyDescent="0.3">
      <c r="B25" s="36" t="s">
        <v>134</v>
      </c>
      <c r="C25" s="2">
        <v>10</v>
      </c>
      <c r="F25" s="36" t="s">
        <v>136</v>
      </c>
      <c r="G25" s="2">
        <v>3</v>
      </c>
      <c r="I25" s="36" t="s">
        <v>134</v>
      </c>
      <c r="J25" s="2">
        <v>8</v>
      </c>
      <c r="L25" s="36" t="s">
        <v>136</v>
      </c>
      <c r="M25" s="2">
        <v>6</v>
      </c>
    </row>
    <row r="26" spans="2:13" x14ac:dyDescent="0.3">
      <c r="B26" s="36" t="s">
        <v>30</v>
      </c>
      <c r="C26" s="2">
        <v>1</v>
      </c>
      <c r="F26" s="36" t="s">
        <v>120</v>
      </c>
      <c r="G26" s="2">
        <v>1</v>
      </c>
      <c r="I26" s="36" t="s">
        <v>30</v>
      </c>
      <c r="J26" s="2">
        <v>1</v>
      </c>
      <c r="L26" s="36" t="s">
        <v>120</v>
      </c>
      <c r="M26" s="2">
        <v>1</v>
      </c>
    </row>
    <row r="27" spans="2:13" x14ac:dyDescent="0.3">
      <c r="B27" s="36" t="s">
        <v>121</v>
      </c>
      <c r="C27" s="2">
        <v>1</v>
      </c>
      <c r="F27" s="36" t="s">
        <v>134</v>
      </c>
      <c r="G27" s="2">
        <v>12</v>
      </c>
      <c r="I27" s="36" t="s">
        <v>121</v>
      </c>
      <c r="J27" s="2">
        <v>1</v>
      </c>
      <c r="L27" s="36" t="s">
        <v>134</v>
      </c>
      <c r="M27" s="2">
        <v>10</v>
      </c>
    </row>
    <row r="28" spans="2:13" x14ac:dyDescent="0.3">
      <c r="B28" s="36" t="s">
        <v>122</v>
      </c>
      <c r="C28" s="2">
        <v>1</v>
      </c>
      <c r="F28" s="36" t="s">
        <v>30</v>
      </c>
      <c r="G28" s="2">
        <v>1</v>
      </c>
      <c r="I28" s="36" t="s">
        <v>122</v>
      </c>
      <c r="J28" s="2">
        <v>1</v>
      </c>
      <c r="L28" s="36" t="s">
        <v>30</v>
      </c>
      <c r="M28" s="2">
        <v>1</v>
      </c>
    </row>
    <row r="29" spans="2:13" x14ac:dyDescent="0.3">
      <c r="B29" s="36" t="s">
        <v>123</v>
      </c>
      <c r="C29" s="2">
        <v>1</v>
      </c>
      <c r="F29" s="36" t="s">
        <v>121</v>
      </c>
      <c r="G29" s="2">
        <v>1</v>
      </c>
      <c r="I29" s="36" t="s">
        <v>123</v>
      </c>
      <c r="J29" s="2">
        <v>1</v>
      </c>
      <c r="L29" s="36" t="s">
        <v>121</v>
      </c>
      <c r="M29" s="2">
        <v>1</v>
      </c>
    </row>
    <row r="30" spans="2:13" x14ac:dyDescent="0.3">
      <c r="B30" s="36" t="s">
        <v>101</v>
      </c>
      <c r="C30" s="2">
        <v>1</v>
      </c>
      <c r="F30" s="36" t="s">
        <v>123</v>
      </c>
      <c r="G30" s="2">
        <v>1</v>
      </c>
      <c r="I30" s="36" t="s">
        <v>101</v>
      </c>
      <c r="J30" s="2">
        <v>1</v>
      </c>
      <c r="L30" s="36" t="s">
        <v>122</v>
      </c>
      <c r="M30" s="2">
        <v>1</v>
      </c>
    </row>
    <row r="31" spans="2:13" x14ac:dyDescent="0.3">
      <c r="B31" s="36" t="s">
        <v>102</v>
      </c>
      <c r="C31" s="2">
        <v>1</v>
      </c>
      <c r="F31" s="36" t="s">
        <v>101</v>
      </c>
      <c r="G31" s="2">
        <v>1</v>
      </c>
      <c r="I31" s="36" t="s">
        <v>102</v>
      </c>
      <c r="J31" s="2">
        <v>1</v>
      </c>
      <c r="L31" s="36" t="s">
        <v>123</v>
      </c>
      <c r="M31" s="2">
        <v>1</v>
      </c>
    </row>
    <row r="32" spans="2:13" x14ac:dyDescent="0.3">
      <c r="B32" s="36" t="s">
        <v>135</v>
      </c>
      <c r="C32" s="2">
        <v>17</v>
      </c>
      <c r="F32" s="36" t="s">
        <v>102</v>
      </c>
      <c r="G32" s="2">
        <v>1</v>
      </c>
      <c r="I32" s="36" t="s">
        <v>135</v>
      </c>
      <c r="J32" s="2">
        <v>18</v>
      </c>
      <c r="L32" s="36" t="s">
        <v>101</v>
      </c>
      <c r="M32" s="2">
        <v>1</v>
      </c>
    </row>
    <row r="33" spans="2:13" x14ac:dyDescent="0.3">
      <c r="B33" s="36" t="s">
        <v>150</v>
      </c>
      <c r="C33" s="2">
        <v>1</v>
      </c>
      <c r="F33" s="36" t="s">
        <v>135</v>
      </c>
      <c r="G33" s="2">
        <v>11</v>
      </c>
      <c r="I33" s="36" t="s">
        <v>150</v>
      </c>
      <c r="J33" s="2">
        <v>1</v>
      </c>
      <c r="L33" s="36" t="s">
        <v>135</v>
      </c>
      <c r="M33" s="2">
        <v>21</v>
      </c>
    </row>
    <row r="34" spans="2:13" x14ac:dyDescent="0.3">
      <c r="B34" s="36" t="s">
        <v>151</v>
      </c>
      <c r="C34" s="2">
        <v>1</v>
      </c>
      <c r="F34" s="36" t="s">
        <v>150</v>
      </c>
      <c r="G34" s="2">
        <v>1</v>
      </c>
      <c r="I34" s="36" t="s">
        <v>151</v>
      </c>
      <c r="J34" s="2">
        <v>1</v>
      </c>
      <c r="L34" s="36" t="s">
        <v>150</v>
      </c>
      <c r="M34" s="2">
        <v>1</v>
      </c>
    </row>
    <row r="35" spans="2:13" x14ac:dyDescent="0.3">
      <c r="B35" s="36" t="s">
        <v>146</v>
      </c>
      <c r="C35" s="2">
        <v>3</v>
      </c>
      <c r="F35" s="36" t="s">
        <v>151</v>
      </c>
      <c r="G35" s="2">
        <v>1</v>
      </c>
      <c r="I35" s="36" t="s">
        <v>146</v>
      </c>
      <c r="J35" s="2">
        <v>4</v>
      </c>
      <c r="L35" s="36" t="s">
        <v>151</v>
      </c>
      <c r="M35" s="2">
        <v>1</v>
      </c>
    </row>
    <row r="36" spans="2:13" x14ac:dyDescent="0.3">
      <c r="B36" s="36" t="s">
        <v>10</v>
      </c>
      <c r="C36" s="2">
        <v>1</v>
      </c>
      <c r="F36" s="36" t="s">
        <v>146</v>
      </c>
      <c r="G36" s="2">
        <v>4</v>
      </c>
      <c r="I36" s="36" t="s">
        <v>10</v>
      </c>
      <c r="J36" s="2">
        <v>2</v>
      </c>
      <c r="L36" s="36" t="s">
        <v>146</v>
      </c>
      <c r="M36" s="2">
        <v>4</v>
      </c>
    </row>
    <row r="37" spans="2:13" x14ac:dyDescent="0.3">
      <c r="B37" s="35" t="s">
        <v>408</v>
      </c>
      <c r="C37" s="6">
        <v>6</v>
      </c>
      <c r="F37" s="36" t="s">
        <v>10</v>
      </c>
      <c r="G37" s="2">
        <v>1</v>
      </c>
      <c r="I37" s="35" t="s">
        <v>408</v>
      </c>
      <c r="J37" s="6">
        <v>3</v>
      </c>
      <c r="L37" s="36" t="s">
        <v>10</v>
      </c>
      <c r="M37" s="2">
        <v>2</v>
      </c>
    </row>
    <row r="38" spans="2:13" x14ac:dyDescent="0.3">
      <c r="B38" s="36" t="s">
        <v>136</v>
      </c>
      <c r="C38" s="2">
        <v>1</v>
      </c>
      <c r="F38" s="35" t="s">
        <v>408</v>
      </c>
      <c r="G38" s="6">
        <v>2</v>
      </c>
      <c r="I38" s="36" t="s">
        <v>134</v>
      </c>
      <c r="J38" s="2">
        <v>2</v>
      </c>
      <c r="L38" s="35" t="s">
        <v>408</v>
      </c>
      <c r="M38" s="6">
        <v>2</v>
      </c>
    </row>
    <row r="39" spans="2:13" x14ac:dyDescent="0.3">
      <c r="B39" s="36" t="s">
        <v>134</v>
      </c>
      <c r="C39" s="2">
        <v>1</v>
      </c>
      <c r="F39" s="36" t="s">
        <v>135</v>
      </c>
      <c r="G39" s="2">
        <v>2</v>
      </c>
      <c r="I39" s="36" t="s">
        <v>135</v>
      </c>
      <c r="J39" s="2">
        <v>1</v>
      </c>
      <c r="L39" s="36" t="s">
        <v>134</v>
      </c>
      <c r="M39" s="2">
        <v>1</v>
      </c>
    </row>
    <row r="40" spans="2:13" x14ac:dyDescent="0.3">
      <c r="B40" s="36" t="s">
        <v>135</v>
      </c>
      <c r="C40" s="2">
        <v>2</v>
      </c>
      <c r="F40" s="35" t="s">
        <v>240</v>
      </c>
      <c r="G40" s="6">
        <v>12</v>
      </c>
      <c r="I40" s="35" t="s">
        <v>240</v>
      </c>
      <c r="J40" s="6">
        <v>7</v>
      </c>
      <c r="L40" s="36" t="s">
        <v>102</v>
      </c>
      <c r="M40" s="2">
        <v>1</v>
      </c>
    </row>
    <row r="41" spans="2:13" x14ac:dyDescent="0.3">
      <c r="B41" s="36" t="s">
        <v>146</v>
      </c>
      <c r="C41" s="2">
        <v>1</v>
      </c>
      <c r="F41" s="36" t="s">
        <v>136</v>
      </c>
      <c r="G41" s="2">
        <v>3</v>
      </c>
      <c r="I41" s="36" t="s">
        <v>136</v>
      </c>
      <c r="J41" s="2">
        <v>2</v>
      </c>
      <c r="L41" s="35" t="s">
        <v>240</v>
      </c>
      <c r="M41" s="6">
        <v>2</v>
      </c>
    </row>
    <row r="42" spans="2:13" x14ac:dyDescent="0.3">
      <c r="B42" s="36" t="s">
        <v>10</v>
      </c>
      <c r="C42" s="2">
        <v>1</v>
      </c>
      <c r="F42" s="36" t="s">
        <v>122</v>
      </c>
      <c r="G42" s="2">
        <v>1</v>
      </c>
      <c r="I42" s="36" t="s">
        <v>134</v>
      </c>
      <c r="J42" s="2">
        <v>2</v>
      </c>
      <c r="L42" s="36" t="s">
        <v>134</v>
      </c>
      <c r="M42" s="2">
        <v>1</v>
      </c>
    </row>
    <row r="43" spans="2:13" x14ac:dyDescent="0.3">
      <c r="B43" s="35" t="s">
        <v>240</v>
      </c>
      <c r="C43" s="6">
        <v>4</v>
      </c>
      <c r="F43" s="36" t="s">
        <v>135</v>
      </c>
      <c r="G43" s="2">
        <v>7</v>
      </c>
      <c r="I43" s="36" t="s">
        <v>135</v>
      </c>
      <c r="J43" s="2">
        <v>3</v>
      </c>
      <c r="L43" s="36" t="s">
        <v>135</v>
      </c>
      <c r="M43" s="2">
        <v>1</v>
      </c>
    </row>
    <row r="44" spans="2:13" x14ac:dyDescent="0.3">
      <c r="B44" s="36" t="s">
        <v>136</v>
      </c>
      <c r="C44" s="2">
        <v>1</v>
      </c>
      <c r="F44" s="36" t="s">
        <v>10</v>
      </c>
      <c r="G44" s="2">
        <v>1</v>
      </c>
      <c r="I44" s="38" t="s">
        <v>557</v>
      </c>
      <c r="J44" s="39">
        <f>+J45+J57+J59+J61</f>
        <v>26</v>
      </c>
      <c r="L44" s="38" t="s">
        <v>557</v>
      </c>
      <c r="M44" s="39">
        <f>+M45+M54+M57+M60</f>
        <v>26</v>
      </c>
    </row>
    <row r="45" spans="2:13" x14ac:dyDescent="0.3">
      <c r="B45" s="36" t="s">
        <v>134</v>
      </c>
      <c r="C45" s="2">
        <v>1</v>
      </c>
      <c r="F45" s="35" t="s">
        <v>234</v>
      </c>
      <c r="G45" s="6">
        <v>2</v>
      </c>
      <c r="I45" s="35" t="s">
        <v>200</v>
      </c>
      <c r="J45" s="6">
        <v>18</v>
      </c>
      <c r="L45" s="35" t="s">
        <v>200</v>
      </c>
      <c r="M45" s="6">
        <v>14</v>
      </c>
    </row>
    <row r="46" spans="2:13" x14ac:dyDescent="0.3">
      <c r="B46" s="36" t="s">
        <v>135</v>
      </c>
      <c r="C46" s="2">
        <v>2</v>
      </c>
      <c r="F46" s="36" t="s">
        <v>135</v>
      </c>
      <c r="G46" s="2">
        <v>2</v>
      </c>
      <c r="I46" s="36" t="s">
        <v>137</v>
      </c>
      <c r="J46" s="2">
        <v>7</v>
      </c>
      <c r="L46" s="36" t="s">
        <v>137</v>
      </c>
      <c r="M46" s="2">
        <v>6</v>
      </c>
    </row>
    <row r="47" spans="2:13" x14ac:dyDescent="0.3">
      <c r="B47" s="35" t="s">
        <v>234</v>
      </c>
      <c r="C47" s="6">
        <v>1</v>
      </c>
      <c r="F47" s="38" t="s">
        <v>557</v>
      </c>
      <c r="G47" s="39">
        <f>+G48+G59+G61+G63</f>
        <v>25</v>
      </c>
      <c r="I47" s="36" t="s">
        <v>131</v>
      </c>
      <c r="J47" s="2">
        <v>1</v>
      </c>
      <c r="L47" s="36" t="s">
        <v>125</v>
      </c>
      <c r="M47" s="2">
        <v>1</v>
      </c>
    </row>
    <row r="48" spans="2:13" x14ac:dyDescent="0.3">
      <c r="B48" s="36" t="s">
        <v>135</v>
      </c>
      <c r="C48" s="2">
        <v>1</v>
      </c>
      <c r="F48" s="35" t="s">
        <v>200</v>
      </c>
      <c r="G48" s="6">
        <v>20</v>
      </c>
      <c r="I48" s="36" t="s">
        <v>125</v>
      </c>
      <c r="J48" s="2">
        <v>1</v>
      </c>
      <c r="L48" s="36" t="s">
        <v>126</v>
      </c>
      <c r="M48" s="2">
        <v>1</v>
      </c>
    </row>
    <row r="49" spans="2:13" x14ac:dyDescent="0.3">
      <c r="B49" s="38" t="s">
        <v>557</v>
      </c>
      <c r="C49" s="39">
        <f>+C50+C62+C64+C67</f>
        <v>25</v>
      </c>
      <c r="F49" s="36" t="s">
        <v>137</v>
      </c>
      <c r="G49" s="2">
        <v>11</v>
      </c>
      <c r="I49" s="36" t="s">
        <v>126</v>
      </c>
      <c r="J49" s="2">
        <v>1</v>
      </c>
      <c r="L49" s="36" t="s">
        <v>23</v>
      </c>
      <c r="M49" s="2">
        <v>1</v>
      </c>
    </row>
    <row r="50" spans="2:13" x14ac:dyDescent="0.3">
      <c r="B50" s="35" t="s">
        <v>200</v>
      </c>
      <c r="C50" s="6">
        <v>19</v>
      </c>
      <c r="F50" s="36" t="s">
        <v>131</v>
      </c>
      <c r="G50" s="2">
        <v>1</v>
      </c>
      <c r="I50" s="36" t="s">
        <v>23</v>
      </c>
      <c r="J50" s="2">
        <v>1</v>
      </c>
      <c r="L50" s="36" t="s">
        <v>25</v>
      </c>
      <c r="M50" s="2">
        <v>2</v>
      </c>
    </row>
    <row r="51" spans="2:13" x14ac:dyDescent="0.3">
      <c r="B51" s="36" t="s">
        <v>137</v>
      </c>
      <c r="C51" s="2">
        <v>9</v>
      </c>
      <c r="F51" s="36" t="s">
        <v>125</v>
      </c>
      <c r="G51" s="2">
        <v>1</v>
      </c>
      <c r="I51" s="36" t="s">
        <v>59</v>
      </c>
      <c r="J51" s="2">
        <v>1</v>
      </c>
      <c r="L51" s="36" t="s">
        <v>129</v>
      </c>
      <c r="M51" s="2">
        <v>1</v>
      </c>
    </row>
    <row r="52" spans="2:13" x14ac:dyDescent="0.3">
      <c r="B52" s="36" t="s">
        <v>131</v>
      </c>
      <c r="C52" s="2">
        <v>1</v>
      </c>
      <c r="F52" s="36" t="s">
        <v>126</v>
      </c>
      <c r="G52" s="2">
        <v>1</v>
      </c>
      <c r="I52" s="36" t="s">
        <v>25</v>
      </c>
      <c r="J52" s="2">
        <v>2</v>
      </c>
      <c r="L52" s="36" t="s">
        <v>130</v>
      </c>
      <c r="M52" s="2">
        <v>1</v>
      </c>
    </row>
    <row r="53" spans="2:13" x14ac:dyDescent="0.3">
      <c r="B53" s="36" t="s">
        <v>125</v>
      </c>
      <c r="C53" s="2">
        <v>1</v>
      </c>
      <c r="F53" s="36" t="s">
        <v>23</v>
      </c>
      <c r="G53" s="2">
        <v>1</v>
      </c>
      <c r="I53" s="36" t="s">
        <v>129</v>
      </c>
      <c r="J53" s="2">
        <v>1</v>
      </c>
      <c r="L53" s="36" t="s">
        <v>128</v>
      </c>
      <c r="M53" s="2">
        <v>1</v>
      </c>
    </row>
    <row r="54" spans="2:13" x14ac:dyDescent="0.3">
      <c r="B54" s="36" t="s">
        <v>126</v>
      </c>
      <c r="C54" s="2">
        <v>1</v>
      </c>
      <c r="F54" s="36" t="s">
        <v>25</v>
      </c>
      <c r="G54" s="2">
        <v>1</v>
      </c>
      <c r="I54" s="36" t="s">
        <v>130</v>
      </c>
      <c r="J54" s="2">
        <v>1</v>
      </c>
      <c r="L54" s="35" t="s">
        <v>408</v>
      </c>
      <c r="M54" s="6">
        <v>2</v>
      </c>
    </row>
    <row r="55" spans="2:13" x14ac:dyDescent="0.3">
      <c r="B55" s="36" t="s">
        <v>132</v>
      </c>
      <c r="C55" s="2">
        <v>1</v>
      </c>
      <c r="F55" s="36" t="s">
        <v>129</v>
      </c>
      <c r="G55" s="2">
        <v>1</v>
      </c>
      <c r="I55" s="36" t="s">
        <v>127</v>
      </c>
      <c r="J55" s="2">
        <v>1</v>
      </c>
      <c r="L55" s="36" t="s">
        <v>132</v>
      </c>
      <c r="M55" s="2">
        <v>1</v>
      </c>
    </row>
    <row r="56" spans="2:13" x14ac:dyDescent="0.3">
      <c r="B56" s="36" t="s">
        <v>23</v>
      </c>
      <c r="C56" s="2">
        <v>1</v>
      </c>
      <c r="F56" s="36" t="s">
        <v>130</v>
      </c>
      <c r="G56" s="2">
        <v>1</v>
      </c>
      <c r="I56" s="36" t="s">
        <v>128</v>
      </c>
      <c r="J56" s="2">
        <v>1</v>
      </c>
      <c r="L56" s="36" t="s">
        <v>59</v>
      </c>
      <c r="M56" s="2">
        <v>1</v>
      </c>
    </row>
    <row r="57" spans="2:13" x14ac:dyDescent="0.3">
      <c r="B57" s="36" t="s">
        <v>25</v>
      </c>
      <c r="C57" s="2">
        <v>1</v>
      </c>
      <c r="F57" s="36" t="s">
        <v>127</v>
      </c>
      <c r="G57" s="2">
        <v>1</v>
      </c>
      <c r="I57" s="35" t="s">
        <v>408</v>
      </c>
      <c r="J57" s="6">
        <v>1</v>
      </c>
      <c r="L57" s="35" t="s">
        <v>240</v>
      </c>
      <c r="M57" s="6">
        <v>7</v>
      </c>
    </row>
    <row r="58" spans="2:13" x14ac:dyDescent="0.3">
      <c r="B58" s="36" t="s">
        <v>129</v>
      </c>
      <c r="C58" s="2">
        <v>1</v>
      </c>
      <c r="F58" s="36" t="s">
        <v>128</v>
      </c>
      <c r="G58" s="2">
        <v>1</v>
      </c>
      <c r="I58" s="36" t="s">
        <v>132</v>
      </c>
      <c r="J58" s="2">
        <v>1</v>
      </c>
      <c r="L58" s="36" t="s">
        <v>137</v>
      </c>
      <c r="M58" s="2">
        <v>6</v>
      </c>
    </row>
    <row r="59" spans="2:13" x14ac:dyDescent="0.3">
      <c r="B59" s="36" t="s">
        <v>130</v>
      </c>
      <c r="C59" s="2">
        <v>1</v>
      </c>
      <c r="F59" s="35" t="s">
        <v>408</v>
      </c>
      <c r="G59" s="6">
        <v>1</v>
      </c>
      <c r="I59" s="35" t="s">
        <v>240</v>
      </c>
      <c r="J59" s="6">
        <v>4</v>
      </c>
      <c r="L59" s="36" t="s">
        <v>131</v>
      </c>
      <c r="M59" s="2">
        <v>1</v>
      </c>
    </row>
    <row r="60" spans="2:13" x14ac:dyDescent="0.3">
      <c r="B60" s="36" t="s">
        <v>127</v>
      </c>
      <c r="C60" s="2">
        <v>1</v>
      </c>
      <c r="F60" s="36" t="s">
        <v>132</v>
      </c>
      <c r="G60" s="2">
        <v>1</v>
      </c>
      <c r="I60" s="36" t="s">
        <v>137</v>
      </c>
      <c r="J60" s="2">
        <v>4</v>
      </c>
      <c r="L60" s="35" t="s">
        <v>671</v>
      </c>
      <c r="M60" s="6">
        <v>3</v>
      </c>
    </row>
    <row r="61" spans="2:13" x14ac:dyDescent="0.3">
      <c r="B61" s="36" t="s">
        <v>128</v>
      </c>
      <c r="C61" s="2">
        <v>1</v>
      </c>
      <c r="F61" s="35" t="s">
        <v>240</v>
      </c>
      <c r="G61" s="6">
        <v>1</v>
      </c>
      <c r="I61" s="35" t="s">
        <v>234</v>
      </c>
      <c r="J61" s="6">
        <v>3</v>
      </c>
      <c r="L61" s="36" t="s">
        <v>60</v>
      </c>
      <c r="M61" s="2">
        <v>1</v>
      </c>
    </row>
    <row r="62" spans="2:13" x14ac:dyDescent="0.3">
      <c r="B62" s="35" t="s">
        <v>408</v>
      </c>
      <c r="C62" s="6">
        <v>1</v>
      </c>
      <c r="F62" s="36" t="s">
        <v>137</v>
      </c>
      <c r="G62" s="2">
        <v>1</v>
      </c>
      <c r="I62" s="36" t="s">
        <v>60</v>
      </c>
      <c r="J62" s="2">
        <v>1</v>
      </c>
      <c r="L62" s="36" t="s">
        <v>59</v>
      </c>
      <c r="M62" s="2">
        <v>1</v>
      </c>
    </row>
    <row r="63" spans="2:13" x14ac:dyDescent="0.3">
      <c r="B63" s="36" t="s">
        <v>59</v>
      </c>
      <c r="C63" s="2">
        <v>1</v>
      </c>
      <c r="F63" s="35" t="s">
        <v>234</v>
      </c>
      <c r="G63" s="6">
        <v>3</v>
      </c>
      <c r="I63" s="36" t="s">
        <v>137</v>
      </c>
      <c r="J63" s="2">
        <v>1</v>
      </c>
      <c r="L63" s="36" t="s">
        <v>127</v>
      </c>
      <c r="M63" s="2">
        <v>1</v>
      </c>
    </row>
    <row r="64" spans="2:13" x14ac:dyDescent="0.3">
      <c r="B64" s="35" t="s">
        <v>240</v>
      </c>
      <c r="C64" s="6">
        <v>4</v>
      </c>
      <c r="F64" s="36" t="s">
        <v>137</v>
      </c>
      <c r="G64" s="2">
        <v>2</v>
      </c>
      <c r="I64" s="36" t="s">
        <v>59</v>
      </c>
      <c r="J64" s="2">
        <v>1</v>
      </c>
      <c r="L64" s="38" t="s">
        <v>553</v>
      </c>
      <c r="M64" s="39">
        <v>2</v>
      </c>
    </row>
    <row r="65" spans="2:13" x14ac:dyDescent="0.3">
      <c r="B65" s="36" t="s">
        <v>137</v>
      </c>
      <c r="C65" s="2">
        <v>3</v>
      </c>
      <c r="F65" s="36"/>
      <c r="G65" s="2"/>
      <c r="I65" s="38" t="s">
        <v>553</v>
      </c>
      <c r="J65" s="39">
        <v>2</v>
      </c>
      <c r="L65" s="35" t="s">
        <v>200</v>
      </c>
      <c r="M65" s="6">
        <v>1</v>
      </c>
    </row>
    <row r="66" spans="2:13" x14ac:dyDescent="0.3">
      <c r="B66" s="36" t="s">
        <v>59</v>
      </c>
      <c r="C66" s="2">
        <v>1</v>
      </c>
      <c r="F66" s="36" t="s">
        <v>25</v>
      </c>
      <c r="G66" s="2">
        <v>1</v>
      </c>
      <c r="I66" s="35" t="s">
        <v>200</v>
      </c>
      <c r="J66" s="6">
        <v>2</v>
      </c>
      <c r="L66" s="36" t="s">
        <v>103</v>
      </c>
      <c r="M66" s="2">
        <v>1</v>
      </c>
    </row>
    <row r="67" spans="2:13" x14ac:dyDescent="0.3">
      <c r="B67" s="35" t="s">
        <v>234</v>
      </c>
      <c r="C67" s="6">
        <v>1</v>
      </c>
      <c r="F67" s="38" t="s">
        <v>553</v>
      </c>
      <c r="G67" s="39">
        <v>2</v>
      </c>
      <c r="I67" s="36" t="s">
        <v>103</v>
      </c>
      <c r="J67" s="2">
        <v>1</v>
      </c>
      <c r="L67" s="35" t="s">
        <v>408</v>
      </c>
      <c r="M67" s="6">
        <v>1</v>
      </c>
    </row>
    <row r="68" spans="2:13" x14ac:dyDescent="0.3">
      <c r="B68" s="36"/>
      <c r="C68" s="2"/>
      <c r="F68" s="35" t="s">
        <v>200</v>
      </c>
      <c r="G68" s="6">
        <v>1</v>
      </c>
      <c r="I68" s="36" t="s">
        <v>104</v>
      </c>
      <c r="J68" s="2">
        <v>1</v>
      </c>
      <c r="L68" s="36" t="s">
        <v>104</v>
      </c>
      <c r="M68" s="2">
        <v>1</v>
      </c>
    </row>
    <row r="69" spans="2:13" x14ac:dyDescent="0.3">
      <c r="B69" s="36" t="s">
        <v>25</v>
      </c>
      <c r="C69" s="2">
        <v>1</v>
      </c>
      <c r="F69" s="36" t="s">
        <v>103</v>
      </c>
      <c r="G69" s="2">
        <v>1</v>
      </c>
      <c r="I69" s="36"/>
      <c r="J69" s="2"/>
      <c r="L69" s="35"/>
      <c r="M69" s="6"/>
    </row>
    <row r="70" spans="2:13" x14ac:dyDescent="0.3">
      <c r="B70" s="38" t="s">
        <v>553</v>
      </c>
      <c r="C70" s="39">
        <v>2</v>
      </c>
      <c r="F70" s="35" t="s">
        <v>240</v>
      </c>
      <c r="G70" s="6">
        <v>1</v>
      </c>
      <c r="I70" s="35"/>
      <c r="J70" s="6"/>
      <c r="L70" s="36"/>
      <c r="M70" s="2"/>
    </row>
    <row r="71" spans="2:13" x14ac:dyDescent="0.3">
      <c r="B71" s="35" t="s">
        <v>200</v>
      </c>
      <c r="C71" s="6">
        <v>2</v>
      </c>
      <c r="F71" s="36" t="s">
        <v>104</v>
      </c>
      <c r="G71" s="2">
        <v>1</v>
      </c>
      <c r="I71" s="36"/>
      <c r="J71" s="2"/>
      <c r="L71" s="35"/>
      <c r="M71" s="6"/>
    </row>
    <row r="72" spans="2:13" x14ac:dyDescent="0.3">
      <c r="B72" s="36" t="s">
        <v>103</v>
      </c>
      <c r="C72" s="2">
        <v>1</v>
      </c>
      <c r="F72" s="35"/>
      <c r="G72" s="6"/>
      <c r="I72" s="36"/>
      <c r="J72" s="2"/>
      <c r="L72" s="36"/>
      <c r="M72" s="2"/>
    </row>
    <row r="73" spans="2:13" x14ac:dyDescent="0.3">
      <c r="B73" s="36" t="s">
        <v>104</v>
      </c>
      <c r="C73" s="2">
        <v>1</v>
      </c>
      <c r="F73" s="36"/>
      <c r="G73" s="2"/>
      <c r="I73" s="39" t="s">
        <v>53</v>
      </c>
      <c r="J73" s="39">
        <f>+J65+J44+J21+J18+J11+J4</f>
        <v>94</v>
      </c>
      <c r="L73" s="36"/>
      <c r="M73" s="2"/>
    </row>
    <row r="74" spans="2:13" x14ac:dyDescent="0.3">
      <c r="B74" s="36"/>
      <c r="C74" s="2"/>
      <c r="F74" s="35"/>
      <c r="G74" s="6"/>
      <c r="J74">
        <f>SUMIF(I3:I73,"V",J3:J73)</f>
        <v>3</v>
      </c>
      <c r="L74" s="39" t="s">
        <v>53</v>
      </c>
      <c r="M74" s="39">
        <f>+M64+M44+M23+M20+M13+M4</f>
        <v>94</v>
      </c>
    </row>
    <row r="75" spans="2:13" x14ac:dyDescent="0.3">
      <c r="B75" s="36"/>
      <c r="C75" s="2"/>
      <c r="F75" s="36"/>
      <c r="G75" s="2"/>
      <c r="L75" s="36"/>
      <c r="M75" s="2"/>
    </row>
    <row r="76" spans="2:13" x14ac:dyDescent="0.3">
      <c r="B76" s="39" t="s">
        <v>53</v>
      </c>
      <c r="C76" s="39">
        <f>+C70+C49++C21+C18+C11+C4</f>
        <v>93</v>
      </c>
      <c r="F76" s="39" t="s">
        <v>53</v>
      </c>
      <c r="G76" s="39">
        <f>+G67+G47+G23+G20+G13+G4</f>
        <v>93</v>
      </c>
    </row>
    <row r="77" spans="2:13" x14ac:dyDescent="0.3">
      <c r="C77">
        <f>SUMIF(B6:B76,"V",C6:C76)</f>
        <v>2</v>
      </c>
    </row>
    <row r="78" spans="2:13" x14ac:dyDescent="0.3">
      <c r="B78" s="37" t="s">
        <v>566</v>
      </c>
      <c r="C78" s="37" t="s">
        <v>577</v>
      </c>
      <c r="F78" s="37" t="s">
        <v>566</v>
      </c>
      <c r="G78" s="37" t="s">
        <v>578</v>
      </c>
    </row>
    <row r="79" spans="2:13" x14ac:dyDescent="0.3">
      <c r="B79" s="38" t="s">
        <v>556</v>
      </c>
      <c r="C79" s="39">
        <f>+C80+C82+C88</f>
        <v>8</v>
      </c>
      <c r="F79" s="38" t="s">
        <v>552</v>
      </c>
      <c r="G79" s="39">
        <f>+G80+G86+G88</f>
        <v>7</v>
      </c>
    </row>
    <row r="80" spans="2:13" x14ac:dyDescent="0.3">
      <c r="B80" s="35" t="s">
        <v>408</v>
      </c>
      <c r="C80" s="6">
        <v>1</v>
      </c>
      <c r="F80" s="35" t="s">
        <v>200</v>
      </c>
      <c r="G80" s="6">
        <v>5</v>
      </c>
    </row>
    <row r="81" spans="2:7" x14ac:dyDescent="0.3">
      <c r="B81" s="36" t="s">
        <v>210</v>
      </c>
      <c r="C81" s="2">
        <v>1</v>
      </c>
      <c r="F81" s="36" t="s">
        <v>63</v>
      </c>
      <c r="G81" s="2">
        <v>1</v>
      </c>
    </row>
    <row r="82" spans="2:7" x14ac:dyDescent="0.3">
      <c r="B82" s="35" t="s">
        <v>240</v>
      </c>
      <c r="C82" s="6">
        <v>5</v>
      </c>
      <c r="F82" s="36" t="s">
        <v>56</v>
      </c>
      <c r="G82" s="2">
        <v>1</v>
      </c>
    </row>
    <row r="83" spans="2:7" x14ac:dyDescent="0.3">
      <c r="B83" s="36" t="s">
        <v>158</v>
      </c>
      <c r="C83" s="2">
        <v>1</v>
      </c>
      <c r="F83" s="36" t="s">
        <v>64</v>
      </c>
      <c r="G83" s="2">
        <v>1</v>
      </c>
    </row>
    <row r="84" spans="2:7" x14ac:dyDescent="0.3">
      <c r="B84" s="36" t="s">
        <v>159</v>
      </c>
      <c r="C84" s="2">
        <v>1</v>
      </c>
      <c r="F84" s="36" t="s">
        <v>65</v>
      </c>
      <c r="G84" s="2">
        <v>1</v>
      </c>
    </row>
    <row r="85" spans="2:7" x14ac:dyDescent="0.3">
      <c r="B85" s="36" t="s">
        <v>206</v>
      </c>
      <c r="C85" s="2">
        <v>1</v>
      </c>
      <c r="F85" s="36" t="s">
        <v>62</v>
      </c>
      <c r="G85" s="2">
        <v>1</v>
      </c>
    </row>
    <row r="86" spans="2:7" x14ac:dyDescent="0.3">
      <c r="B86" s="36" t="s">
        <v>168</v>
      </c>
      <c r="C86" s="2">
        <v>1</v>
      </c>
      <c r="F86" s="35" t="s">
        <v>234</v>
      </c>
      <c r="G86" s="6">
        <v>1</v>
      </c>
    </row>
    <row r="87" spans="2:7" x14ac:dyDescent="0.3">
      <c r="B87" s="36" t="s">
        <v>169</v>
      </c>
      <c r="C87" s="2">
        <v>1</v>
      </c>
      <c r="F87" s="36" t="s">
        <v>66</v>
      </c>
      <c r="G87" s="2">
        <v>1</v>
      </c>
    </row>
    <row r="88" spans="2:7" x14ac:dyDescent="0.3">
      <c r="B88" s="35" t="s">
        <v>234</v>
      </c>
      <c r="C88" s="6">
        <v>2</v>
      </c>
      <c r="F88" s="35" t="s">
        <v>408</v>
      </c>
      <c r="G88" s="6">
        <v>1</v>
      </c>
    </row>
    <row r="89" spans="2:7" x14ac:dyDescent="0.3">
      <c r="B89" s="36" t="s">
        <v>209</v>
      </c>
      <c r="C89" s="2">
        <v>1</v>
      </c>
      <c r="F89" s="36" t="s">
        <v>67</v>
      </c>
      <c r="G89" s="2">
        <v>1</v>
      </c>
    </row>
    <row r="90" spans="2:7" x14ac:dyDescent="0.3">
      <c r="B90" s="36" t="s">
        <v>205</v>
      </c>
      <c r="C90" s="2">
        <v>1</v>
      </c>
      <c r="F90" s="38" t="s">
        <v>557</v>
      </c>
      <c r="G90" s="39">
        <v>2</v>
      </c>
    </row>
    <row r="91" spans="2:7" x14ac:dyDescent="0.3">
      <c r="B91" s="38" t="s">
        <v>552</v>
      </c>
      <c r="C91" s="39">
        <v>6</v>
      </c>
      <c r="F91" s="35" t="s">
        <v>200</v>
      </c>
      <c r="G91" s="6">
        <v>1</v>
      </c>
    </row>
    <row r="92" spans="2:7" x14ac:dyDescent="0.3">
      <c r="B92" s="35" t="s">
        <v>200</v>
      </c>
      <c r="C92" s="6">
        <v>6</v>
      </c>
      <c r="F92" s="36" t="s">
        <v>167</v>
      </c>
      <c r="G92" s="2">
        <v>1</v>
      </c>
    </row>
    <row r="93" spans="2:7" x14ac:dyDescent="0.3">
      <c r="B93" s="36" t="s">
        <v>207</v>
      </c>
      <c r="C93" s="2">
        <v>1</v>
      </c>
      <c r="F93" s="35" t="s">
        <v>240</v>
      </c>
      <c r="G93" s="6">
        <v>1</v>
      </c>
    </row>
    <row r="94" spans="2:7" x14ac:dyDescent="0.3">
      <c r="B94" s="36" t="s">
        <v>208</v>
      </c>
      <c r="C94" s="2">
        <v>1</v>
      </c>
      <c r="F94" s="36" t="s">
        <v>211</v>
      </c>
      <c r="G94" s="2">
        <v>1</v>
      </c>
    </row>
    <row r="95" spans="2:7" x14ac:dyDescent="0.3">
      <c r="B95" s="36" t="s">
        <v>459</v>
      </c>
      <c r="C95" s="2">
        <v>1</v>
      </c>
      <c r="F95" s="39" t="s">
        <v>53</v>
      </c>
      <c r="G95" s="39">
        <f>+G79+G90</f>
        <v>9</v>
      </c>
    </row>
    <row r="96" spans="2:7" x14ac:dyDescent="0.3">
      <c r="B96" s="36" t="s">
        <v>461</v>
      </c>
      <c r="C96" s="2">
        <v>1</v>
      </c>
    </row>
    <row r="97" spans="2:3" x14ac:dyDescent="0.3">
      <c r="B97" s="36" t="s">
        <v>653</v>
      </c>
      <c r="C97" s="2">
        <v>2</v>
      </c>
    </row>
    <row r="98" spans="2:3" x14ac:dyDescent="0.3">
      <c r="B98" s="38" t="s">
        <v>557</v>
      </c>
      <c r="C98" s="39">
        <v>6</v>
      </c>
    </row>
    <row r="99" spans="2:3" x14ac:dyDescent="0.3">
      <c r="B99" s="35" t="s">
        <v>200</v>
      </c>
      <c r="C99" s="6">
        <v>4</v>
      </c>
    </row>
    <row r="100" spans="2:3" x14ac:dyDescent="0.3">
      <c r="B100" s="36" t="s">
        <v>160</v>
      </c>
      <c r="C100" s="2">
        <v>1</v>
      </c>
    </row>
    <row r="101" spans="2:3" x14ac:dyDescent="0.3">
      <c r="B101" s="36" t="s">
        <v>161</v>
      </c>
      <c r="C101" s="2">
        <v>1</v>
      </c>
    </row>
    <row r="102" spans="2:3" x14ac:dyDescent="0.3">
      <c r="B102" s="36" t="s">
        <v>162</v>
      </c>
      <c r="C102" s="2">
        <v>1</v>
      </c>
    </row>
    <row r="103" spans="2:3" x14ac:dyDescent="0.3">
      <c r="B103" s="36" t="s">
        <v>163</v>
      </c>
      <c r="C103" s="2">
        <v>1</v>
      </c>
    </row>
    <row r="104" spans="2:3" x14ac:dyDescent="0.3">
      <c r="B104" s="35" t="s">
        <v>408</v>
      </c>
      <c r="C104" s="6">
        <v>1</v>
      </c>
    </row>
    <row r="105" spans="2:3" x14ac:dyDescent="0.3">
      <c r="B105" s="36" t="s">
        <v>164</v>
      </c>
      <c r="C105" s="2">
        <v>1</v>
      </c>
    </row>
    <row r="106" spans="2:3" x14ac:dyDescent="0.3">
      <c r="B106" s="35" t="s">
        <v>234</v>
      </c>
      <c r="C106" s="6">
        <v>1</v>
      </c>
    </row>
    <row r="107" spans="2:3" x14ac:dyDescent="0.3">
      <c r="B107" s="36" t="s">
        <v>165</v>
      </c>
      <c r="C107" s="2">
        <v>1</v>
      </c>
    </row>
    <row r="108" spans="2:3" x14ac:dyDescent="0.3">
      <c r="B108" s="39" t="s">
        <v>53</v>
      </c>
      <c r="C108" s="39">
        <f>+C98+C91+C79</f>
        <v>20</v>
      </c>
    </row>
  </sheetData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97721-4DE8-4EE2-9D00-BDA488178010}">
  <sheetPr codeName="Hoja11"/>
  <dimension ref="B4:H27"/>
  <sheetViews>
    <sheetView showGridLines="0" workbookViewId="0">
      <selection activeCell="G20" sqref="G20"/>
    </sheetView>
  </sheetViews>
  <sheetFormatPr baseColWidth="10" defaultRowHeight="14.4" x14ac:dyDescent="0.3"/>
  <cols>
    <col min="2" max="2" width="18.88671875" customWidth="1"/>
    <col min="3" max="3" width="34.109375" bestFit="1" customWidth="1"/>
    <col min="4" max="4" width="14.5546875" customWidth="1"/>
    <col min="7" max="7" width="47.33203125" customWidth="1"/>
    <col min="8" max="8" width="18.109375" customWidth="1"/>
    <col min="12" max="12" width="38.5546875" customWidth="1"/>
    <col min="13" max="13" width="13.109375" customWidth="1"/>
  </cols>
  <sheetData>
    <row r="4" spans="2:8" x14ac:dyDescent="0.3">
      <c r="B4" s="2"/>
      <c r="C4" s="38" t="s">
        <v>555</v>
      </c>
      <c r="D4" s="39">
        <v>1</v>
      </c>
    </row>
    <row r="5" spans="2:8" x14ac:dyDescent="0.3">
      <c r="B5" s="213" t="s">
        <v>612</v>
      </c>
      <c r="C5" s="35" t="s">
        <v>234</v>
      </c>
      <c r="D5" s="6">
        <v>1</v>
      </c>
      <c r="G5" s="38" t="s">
        <v>557</v>
      </c>
      <c r="H5" s="39">
        <f>+H6+H8+H12+H16+H20</f>
        <v>9</v>
      </c>
    </row>
    <row r="6" spans="2:8" x14ac:dyDescent="0.3">
      <c r="B6" s="214"/>
      <c r="C6" s="36" t="s">
        <v>670</v>
      </c>
      <c r="D6" s="2">
        <v>1</v>
      </c>
      <c r="F6" s="213" t="s">
        <v>613</v>
      </c>
      <c r="G6" s="35" t="s">
        <v>234</v>
      </c>
      <c r="H6" s="6">
        <v>1</v>
      </c>
    </row>
    <row r="7" spans="2:8" x14ac:dyDescent="0.3">
      <c r="F7" s="214"/>
      <c r="G7" s="36" t="s">
        <v>25</v>
      </c>
      <c r="H7" s="2">
        <v>1</v>
      </c>
    </row>
    <row r="8" spans="2:8" x14ac:dyDescent="0.3">
      <c r="F8" s="213" t="s">
        <v>611</v>
      </c>
      <c r="G8" s="35" t="s">
        <v>234</v>
      </c>
      <c r="H8" s="6">
        <v>1</v>
      </c>
    </row>
    <row r="9" spans="2:8" x14ac:dyDescent="0.3">
      <c r="F9" s="214"/>
      <c r="G9" s="36" t="s">
        <v>25</v>
      </c>
      <c r="H9" s="2">
        <v>1</v>
      </c>
    </row>
    <row r="10" spans="2:8" x14ac:dyDescent="0.3">
      <c r="B10" s="2"/>
      <c r="C10" s="38" t="s">
        <v>552</v>
      </c>
      <c r="D10" s="39">
        <f>+D11+D13+D15</f>
        <v>4</v>
      </c>
      <c r="F10" s="214"/>
      <c r="G10" s="35" t="s">
        <v>234</v>
      </c>
      <c r="H10" s="6">
        <v>2</v>
      </c>
    </row>
    <row r="11" spans="2:8" x14ac:dyDescent="0.3">
      <c r="B11" s="213" t="s">
        <v>613</v>
      </c>
      <c r="C11" s="35" t="s">
        <v>234</v>
      </c>
      <c r="D11" s="6">
        <v>1</v>
      </c>
      <c r="F11" s="215"/>
      <c r="G11" s="36" t="s">
        <v>137</v>
      </c>
      <c r="H11" s="2">
        <v>2</v>
      </c>
    </row>
    <row r="12" spans="2:8" x14ac:dyDescent="0.3">
      <c r="B12" s="215"/>
      <c r="C12" s="36" t="s">
        <v>135</v>
      </c>
      <c r="D12" s="2">
        <v>1</v>
      </c>
      <c r="F12" s="211" t="s">
        <v>614</v>
      </c>
      <c r="G12" s="35" t="s">
        <v>234</v>
      </c>
      <c r="H12" s="6">
        <v>3</v>
      </c>
    </row>
    <row r="13" spans="2:8" x14ac:dyDescent="0.3">
      <c r="B13" s="213" t="s">
        <v>611</v>
      </c>
      <c r="C13" s="35" t="s">
        <v>234</v>
      </c>
      <c r="D13" s="6">
        <v>2</v>
      </c>
      <c r="F13" s="211"/>
      <c r="G13" s="36" t="s">
        <v>60</v>
      </c>
      <c r="H13" s="2">
        <v>1</v>
      </c>
    </row>
    <row r="14" spans="2:8" x14ac:dyDescent="0.3">
      <c r="B14" s="215"/>
      <c r="C14" s="36" t="s">
        <v>135</v>
      </c>
      <c r="D14" s="2">
        <v>2</v>
      </c>
      <c r="F14" s="211"/>
      <c r="G14" s="36" t="s">
        <v>137</v>
      </c>
      <c r="H14" s="2">
        <v>1</v>
      </c>
    </row>
    <row r="15" spans="2:8" x14ac:dyDescent="0.3">
      <c r="B15" s="216" t="s">
        <v>615</v>
      </c>
      <c r="C15" s="35" t="s">
        <v>234</v>
      </c>
      <c r="D15" s="6">
        <v>1</v>
      </c>
      <c r="F15" s="211"/>
      <c r="G15" s="36" t="s">
        <v>59</v>
      </c>
      <c r="H15" s="2">
        <v>1</v>
      </c>
    </row>
    <row r="16" spans="2:8" x14ac:dyDescent="0.3">
      <c r="B16" s="210"/>
      <c r="C16" s="36" t="s">
        <v>66</v>
      </c>
      <c r="D16" s="2">
        <v>1</v>
      </c>
      <c r="F16" s="211" t="s">
        <v>612</v>
      </c>
      <c r="G16" s="35" t="s">
        <v>671</v>
      </c>
      <c r="H16" s="6">
        <v>3</v>
      </c>
    </row>
    <row r="17" spans="2:8" x14ac:dyDescent="0.3">
      <c r="B17" s="210"/>
      <c r="C17" s="36"/>
      <c r="D17" s="2"/>
      <c r="F17" s="211"/>
      <c r="G17" s="36" t="s">
        <v>60</v>
      </c>
      <c r="H17" s="2">
        <v>1</v>
      </c>
    </row>
    <row r="18" spans="2:8" x14ac:dyDescent="0.3">
      <c r="F18" s="211"/>
      <c r="G18" s="36" t="s">
        <v>59</v>
      </c>
      <c r="H18" s="2">
        <v>1</v>
      </c>
    </row>
    <row r="19" spans="2:8" x14ac:dyDescent="0.3">
      <c r="F19" s="211"/>
      <c r="G19" s="36" t="s">
        <v>127</v>
      </c>
      <c r="H19" s="2">
        <v>1</v>
      </c>
    </row>
    <row r="20" spans="2:8" x14ac:dyDescent="0.3">
      <c r="F20" s="212" t="s">
        <v>616</v>
      </c>
      <c r="G20" s="46" t="s">
        <v>234</v>
      </c>
      <c r="H20" s="2">
        <v>1</v>
      </c>
    </row>
    <row r="21" spans="2:8" x14ac:dyDescent="0.3">
      <c r="C21" s="38" t="s">
        <v>556</v>
      </c>
      <c r="D21" s="39">
        <v>2</v>
      </c>
      <c r="F21" s="211"/>
      <c r="G21" s="36" t="s">
        <v>165</v>
      </c>
      <c r="H21" s="2">
        <v>1</v>
      </c>
    </row>
    <row r="22" spans="2:8" x14ac:dyDescent="0.3">
      <c r="C22" s="35" t="s">
        <v>234</v>
      </c>
      <c r="D22" s="6">
        <v>2</v>
      </c>
    </row>
    <row r="23" spans="2:8" x14ac:dyDescent="0.3">
      <c r="B23" s="209" t="s">
        <v>616</v>
      </c>
      <c r="C23" s="36" t="s">
        <v>209</v>
      </c>
      <c r="D23" s="2">
        <v>1</v>
      </c>
    </row>
    <row r="24" spans="2:8" x14ac:dyDescent="0.3">
      <c r="B24" s="210"/>
      <c r="C24" s="36" t="s">
        <v>205</v>
      </c>
      <c r="D24" s="2">
        <v>1</v>
      </c>
    </row>
    <row r="25" spans="2:8" x14ac:dyDescent="0.3">
      <c r="B25" s="210"/>
      <c r="C25" s="36"/>
      <c r="D25" s="2"/>
    </row>
    <row r="26" spans="2:8" x14ac:dyDescent="0.3">
      <c r="B26" s="210"/>
      <c r="C26" s="36"/>
      <c r="D26" s="2"/>
    </row>
    <row r="27" spans="2:8" x14ac:dyDescent="0.3">
      <c r="B27" s="210"/>
      <c r="C27" s="36"/>
      <c r="D27" s="2"/>
    </row>
  </sheetData>
  <mergeCells count="10">
    <mergeCell ref="F6:F7"/>
    <mergeCell ref="B5:B6"/>
    <mergeCell ref="B15:B17"/>
    <mergeCell ref="B13:B14"/>
    <mergeCell ref="B11:B12"/>
    <mergeCell ref="B23:B27"/>
    <mergeCell ref="F12:F15"/>
    <mergeCell ref="F16:F19"/>
    <mergeCell ref="F20:F21"/>
    <mergeCell ref="F8:F11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D4012-A4F4-4782-88C7-D46C0AD5C11C}">
  <sheetPr codeName="Hoja12"/>
  <dimension ref="A3:B84"/>
  <sheetViews>
    <sheetView topLeftCell="A26" zoomScale="65" workbookViewId="0">
      <selection activeCell="G20" sqref="G20"/>
    </sheetView>
  </sheetViews>
  <sheetFormatPr baseColWidth="10" defaultRowHeight="14.4" x14ac:dyDescent="0.3"/>
  <cols>
    <col min="1" max="1" width="55.88671875" bestFit="1" customWidth="1"/>
    <col min="2" max="2" width="25.109375" bestFit="1" customWidth="1"/>
    <col min="3" max="5" width="17.33203125" bestFit="1" customWidth="1"/>
    <col min="6" max="7" width="21.88671875" bestFit="1" customWidth="1"/>
  </cols>
  <sheetData>
    <row r="3" spans="1:2" x14ac:dyDescent="0.3">
      <c r="A3" s="32" t="s">
        <v>566</v>
      </c>
      <c r="B3" t="s">
        <v>568</v>
      </c>
    </row>
    <row r="4" spans="1:2" x14ac:dyDescent="0.3">
      <c r="A4" s="22" t="s">
        <v>555</v>
      </c>
      <c r="B4">
        <v>5</v>
      </c>
    </row>
    <row r="5" spans="1:2" x14ac:dyDescent="0.3">
      <c r="A5" s="33" t="s">
        <v>200</v>
      </c>
      <c r="B5">
        <v>5</v>
      </c>
    </row>
    <row r="6" spans="1:2" x14ac:dyDescent="0.3">
      <c r="A6" s="34" t="s">
        <v>114</v>
      </c>
      <c r="B6">
        <v>1</v>
      </c>
    </row>
    <row r="7" spans="1:2" x14ac:dyDescent="0.3">
      <c r="A7" s="34" t="s">
        <v>110</v>
      </c>
      <c r="B7">
        <v>1</v>
      </c>
    </row>
    <row r="8" spans="1:2" x14ac:dyDescent="0.3">
      <c r="A8" s="34" t="s">
        <v>111</v>
      </c>
      <c r="B8">
        <v>1</v>
      </c>
    </row>
    <row r="9" spans="1:2" x14ac:dyDescent="0.3">
      <c r="A9" s="34" t="s">
        <v>112</v>
      </c>
      <c r="B9">
        <v>1</v>
      </c>
    </row>
    <row r="10" spans="1:2" x14ac:dyDescent="0.3">
      <c r="A10" s="34" t="s">
        <v>113</v>
      </c>
      <c r="B10">
        <v>1</v>
      </c>
    </row>
    <row r="11" spans="1:2" x14ac:dyDescent="0.3">
      <c r="A11" s="22" t="s">
        <v>556</v>
      </c>
      <c r="B11">
        <v>5</v>
      </c>
    </row>
    <row r="12" spans="1:2" x14ac:dyDescent="0.3">
      <c r="A12" s="33" t="s">
        <v>200</v>
      </c>
      <c r="B12">
        <v>5</v>
      </c>
    </row>
    <row r="13" spans="1:2" x14ac:dyDescent="0.3">
      <c r="A13" s="34" t="s">
        <v>119</v>
      </c>
      <c r="B13">
        <v>1</v>
      </c>
    </row>
    <row r="14" spans="1:2" x14ac:dyDescent="0.3">
      <c r="A14" s="34" t="s">
        <v>115</v>
      </c>
      <c r="B14">
        <v>1</v>
      </c>
    </row>
    <row r="15" spans="1:2" x14ac:dyDescent="0.3">
      <c r="A15" s="34" t="s">
        <v>116</v>
      </c>
      <c r="B15">
        <v>1</v>
      </c>
    </row>
    <row r="16" spans="1:2" x14ac:dyDescent="0.3">
      <c r="A16" s="34" t="s">
        <v>117</v>
      </c>
      <c r="B16">
        <v>1</v>
      </c>
    </row>
    <row r="17" spans="1:2" x14ac:dyDescent="0.3">
      <c r="A17" s="34" t="s">
        <v>118</v>
      </c>
      <c r="B17">
        <v>1</v>
      </c>
    </row>
    <row r="18" spans="1:2" x14ac:dyDescent="0.3">
      <c r="A18" s="22" t="s">
        <v>552</v>
      </c>
      <c r="B18">
        <v>54</v>
      </c>
    </row>
    <row r="19" spans="1:2" x14ac:dyDescent="0.3">
      <c r="A19" s="33" t="s">
        <v>200</v>
      </c>
      <c r="B19">
        <v>53</v>
      </c>
    </row>
    <row r="20" spans="1:2" x14ac:dyDescent="0.3">
      <c r="A20" s="34" t="s">
        <v>136</v>
      </c>
      <c r="B20">
        <v>6</v>
      </c>
    </row>
    <row r="21" spans="1:2" x14ac:dyDescent="0.3">
      <c r="A21" s="34" t="s">
        <v>120</v>
      </c>
      <c r="B21">
        <v>1</v>
      </c>
    </row>
    <row r="22" spans="1:2" x14ac:dyDescent="0.3">
      <c r="A22" s="34" t="s">
        <v>134</v>
      </c>
      <c r="B22">
        <v>11</v>
      </c>
    </row>
    <row r="23" spans="1:2" x14ac:dyDescent="0.3">
      <c r="A23" s="34" t="s">
        <v>30</v>
      </c>
      <c r="B23">
        <v>1</v>
      </c>
    </row>
    <row r="24" spans="1:2" x14ac:dyDescent="0.3">
      <c r="A24" s="34" t="s">
        <v>121</v>
      </c>
      <c r="B24">
        <v>1</v>
      </c>
    </row>
    <row r="25" spans="1:2" x14ac:dyDescent="0.3">
      <c r="A25" s="34" t="s">
        <v>122</v>
      </c>
      <c r="B25">
        <v>1</v>
      </c>
    </row>
    <row r="26" spans="1:2" x14ac:dyDescent="0.3">
      <c r="A26" s="34" t="s">
        <v>123</v>
      </c>
      <c r="B26">
        <v>1</v>
      </c>
    </row>
    <row r="27" spans="1:2" x14ac:dyDescent="0.3">
      <c r="A27" s="34" t="s">
        <v>101</v>
      </c>
      <c r="B27">
        <v>1</v>
      </c>
    </row>
    <row r="28" spans="1:2" x14ac:dyDescent="0.3">
      <c r="A28" s="34" t="s">
        <v>102</v>
      </c>
      <c r="B28">
        <v>1</v>
      </c>
    </row>
    <row r="29" spans="1:2" x14ac:dyDescent="0.3">
      <c r="A29" s="34" t="s">
        <v>135</v>
      </c>
      <c r="B29">
        <v>21</v>
      </c>
    </row>
    <row r="30" spans="1:2" x14ac:dyDescent="0.3">
      <c r="A30" s="34" t="s">
        <v>150</v>
      </c>
      <c r="B30">
        <v>1</v>
      </c>
    </row>
    <row r="31" spans="1:2" x14ac:dyDescent="0.3">
      <c r="A31" s="34" t="s">
        <v>151</v>
      </c>
      <c r="B31">
        <v>1</v>
      </c>
    </row>
    <row r="32" spans="1:2" x14ac:dyDescent="0.3">
      <c r="A32" s="34" t="s">
        <v>146</v>
      </c>
      <c r="B32">
        <v>4</v>
      </c>
    </row>
    <row r="33" spans="1:2" x14ac:dyDescent="0.3">
      <c r="A33" s="34" t="s">
        <v>10</v>
      </c>
      <c r="B33">
        <v>2</v>
      </c>
    </row>
    <row r="34" spans="1:2" x14ac:dyDescent="0.3">
      <c r="A34" s="33" t="s">
        <v>240</v>
      </c>
      <c r="B34">
        <v>1</v>
      </c>
    </row>
    <row r="35" spans="1:2" x14ac:dyDescent="0.3">
      <c r="A35" s="34" t="s">
        <v>134</v>
      </c>
      <c r="B35">
        <v>1</v>
      </c>
    </row>
    <row r="36" spans="1:2" x14ac:dyDescent="0.3">
      <c r="A36" s="33" t="s">
        <v>234</v>
      </c>
    </row>
    <row r="37" spans="1:2" x14ac:dyDescent="0.3">
      <c r="A37" s="34" t="s">
        <v>135</v>
      </c>
    </row>
    <row r="38" spans="1:2" x14ac:dyDescent="0.3">
      <c r="A38" s="22" t="s">
        <v>557</v>
      </c>
      <c r="B38">
        <v>24</v>
      </c>
    </row>
    <row r="39" spans="1:2" x14ac:dyDescent="0.3">
      <c r="A39" s="33" t="s">
        <v>200</v>
      </c>
      <c r="B39">
        <v>21</v>
      </c>
    </row>
    <row r="40" spans="1:2" x14ac:dyDescent="0.3">
      <c r="A40" s="34" t="s">
        <v>137</v>
      </c>
      <c r="B40">
        <v>10</v>
      </c>
    </row>
    <row r="41" spans="1:2" x14ac:dyDescent="0.3">
      <c r="A41" s="34" t="s">
        <v>131</v>
      </c>
      <c r="B41">
        <v>1</v>
      </c>
    </row>
    <row r="42" spans="1:2" x14ac:dyDescent="0.3">
      <c r="A42" s="34" t="s">
        <v>125</v>
      </c>
      <c r="B42">
        <v>1</v>
      </c>
    </row>
    <row r="43" spans="1:2" x14ac:dyDescent="0.3">
      <c r="A43" s="34" t="s">
        <v>126</v>
      </c>
      <c r="B43">
        <v>1</v>
      </c>
    </row>
    <row r="44" spans="1:2" x14ac:dyDescent="0.3">
      <c r="A44" s="34" t="s">
        <v>132</v>
      </c>
      <c r="B44">
        <v>1</v>
      </c>
    </row>
    <row r="45" spans="1:2" x14ac:dyDescent="0.3">
      <c r="A45" s="34" t="s">
        <v>23</v>
      </c>
      <c r="B45">
        <v>1</v>
      </c>
    </row>
    <row r="46" spans="1:2" x14ac:dyDescent="0.3">
      <c r="A46" s="34" t="s">
        <v>59</v>
      </c>
      <c r="B46">
        <v>1</v>
      </c>
    </row>
    <row r="47" spans="1:2" x14ac:dyDescent="0.3">
      <c r="A47" s="34" t="s">
        <v>25</v>
      </c>
      <c r="B47">
        <v>1</v>
      </c>
    </row>
    <row r="48" spans="1:2" x14ac:dyDescent="0.3">
      <c r="A48" s="34" t="s">
        <v>129</v>
      </c>
      <c r="B48">
        <v>1</v>
      </c>
    </row>
    <row r="49" spans="1:2" x14ac:dyDescent="0.3">
      <c r="A49" s="34" t="s">
        <v>130</v>
      </c>
      <c r="B49">
        <v>1</v>
      </c>
    </row>
    <row r="50" spans="1:2" x14ac:dyDescent="0.3">
      <c r="A50" s="34" t="s">
        <v>127</v>
      </c>
      <c r="B50">
        <v>1</v>
      </c>
    </row>
    <row r="51" spans="1:2" x14ac:dyDescent="0.3">
      <c r="A51" s="34" t="s">
        <v>128</v>
      </c>
      <c r="B51">
        <v>1</v>
      </c>
    </row>
    <row r="52" spans="1:2" x14ac:dyDescent="0.3">
      <c r="A52" s="33" t="s">
        <v>240</v>
      </c>
      <c r="B52">
        <v>3</v>
      </c>
    </row>
    <row r="53" spans="1:2" x14ac:dyDescent="0.3">
      <c r="A53" s="34" t="s">
        <v>137</v>
      </c>
      <c r="B53">
        <v>2</v>
      </c>
    </row>
    <row r="54" spans="1:2" x14ac:dyDescent="0.3">
      <c r="A54" s="34" t="s">
        <v>25</v>
      </c>
      <c r="B54">
        <v>1</v>
      </c>
    </row>
    <row r="55" spans="1:2" x14ac:dyDescent="0.3">
      <c r="A55" s="33" t="s">
        <v>234</v>
      </c>
    </row>
    <row r="56" spans="1:2" x14ac:dyDescent="0.3">
      <c r="A56" s="34" t="s">
        <v>59</v>
      </c>
    </row>
    <row r="57" spans="1:2" x14ac:dyDescent="0.3">
      <c r="A57" s="33" t="s">
        <v>572</v>
      </c>
    </row>
    <row r="58" spans="1:2" x14ac:dyDescent="0.3">
      <c r="A58" s="34" t="s">
        <v>60</v>
      </c>
    </row>
    <row r="59" spans="1:2" x14ac:dyDescent="0.3">
      <c r="A59" s="22" t="s">
        <v>572</v>
      </c>
    </row>
    <row r="60" spans="1:2" x14ac:dyDescent="0.3">
      <c r="A60" s="33" t="s">
        <v>572</v>
      </c>
    </row>
    <row r="61" spans="1:2" x14ac:dyDescent="0.3">
      <c r="A61" s="34" t="s">
        <v>133</v>
      </c>
    </row>
    <row r="62" spans="1:2" x14ac:dyDescent="0.3">
      <c r="A62" s="34" t="s">
        <v>147</v>
      </c>
    </row>
    <row r="63" spans="1:2" x14ac:dyDescent="0.3">
      <c r="A63" s="34" t="s">
        <v>148</v>
      </c>
    </row>
    <row r="64" spans="1:2" x14ac:dyDescent="0.3">
      <c r="A64" s="34" t="s">
        <v>149</v>
      </c>
    </row>
    <row r="65" spans="1:2" x14ac:dyDescent="0.3">
      <c r="A65" s="34" t="s">
        <v>138</v>
      </c>
    </row>
    <row r="66" spans="1:2" x14ac:dyDescent="0.3">
      <c r="A66" s="34" t="s">
        <v>139</v>
      </c>
    </row>
    <row r="67" spans="1:2" x14ac:dyDescent="0.3">
      <c r="A67" s="34" t="s">
        <v>140</v>
      </c>
    </row>
    <row r="68" spans="1:2" x14ac:dyDescent="0.3">
      <c r="A68" s="34" t="s">
        <v>141</v>
      </c>
    </row>
    <row r="69" spans="1:2" x14ac:dyDescent="0.3">
      <c r="A69" s="34" t="s">
        <v>142</v>
      </c>
    </row>
    <row r="70" spans="1:2" x14ac:dyDescent="0.3">
      <c r="A70" s="34" t="s">
        <v>143</v>
      </c>
    </row>
    <row r="71" spans="1:2" x14ac:dyDescent="0.3">
      <c r="A71" s="34" t="s">
        <v>144</v>
      </c>
    </row>
    <row r="72" spans="1:2" x14ac:dyDescent="0.3">
      <c r="A72" s="34" t="s">
        <v>145</v>
      </c>
    </row>
    <row r="73" spans="1:2" x14ac:dyDescent="0.3">
      <c r="A73" s="34" t="s">
        <v>81</v>
      </c>
    </row>
    <row r="74" spans="1:2" x14ac:dyDescent="0.3">
      <c r="A74" s="34" t="s">
        <v>124</v>
      </c>
    </row>
    <row r="75" spans="1:2" x14ac:dyDescent="0.3">
      <c r="A75" s="34" t="s">
        <v>109</v>
      </c>
    </row>
    <row r="76" spans="1:2" x14ac:dyDescent="0.3">
      <c r="A76" s="34" t="s">
        <v>99</v>
      </c>
    </row>
    <row r="77" spans="1:2" x14ac:dyDescent="0.3">
      <c r="A77" s="22" t="s">
        <v>686</v>
      </c>
      <c r="B77">
        <v>2</v>
      </c>
    </row>
    <row r="78" spans="1:2" x14ac:dyDescent="0.3">
      <c r="A78" s="33" t="s">
        <v>200</v>
      </c>
      <c r="B78">
        <v>2</v>
      </c>
    </row>
    <row r="79" spans="1:2" x14ac:dyDescent="0.3">
      <c r="A79" s="34" t="s">
        <v>103</v>
      </c>
      <c r="B79">
        <v>1</v>
      </c>
    </row>
    <row r="80" spans="1:2" x14ac:dyDescent="0.3">
      <c r="A80" s="34" t="s">
        <v>104</v>
      </c>
      <c r="B80">
        <v>1</v>
      </c>
    </row>
    <row r="81" spans="1:2" x14ac:dyDescent="0.3">
      <c r="A81" s="22" t="s">
        <v>694</v>
      </c>
      <c r="B81">
        <v>1</v>
      </c>
    </row>
    <row r="82" spans="1:2" x14ac:dyDescent="0.3">
      <c r="A82" s="33" t="s">
        <v>200</v>
      </c>
      <c r="B82">
        <v>1</v>
      </c>
    </row>
    <row r="83" spans="1:2" x14ac:dyDescent="0.3">
      <c r="A83" s="34" t="s">
        <v>100</v>
      </c>
      <c r="B83">
        <v>1</v>
      </c>
    </row>
    <row r="84" spans="1:2" x14ac:dyDescent="0.3">
      <c r="A84" s="22" t="s">
        <v>567</v>
      </c>
      <c r="B84">
        <v>91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7DDC10-FCC5-484B-BD04-9B7B3CD8EC44}">
  <sheetPr codeName="Hoja13"/>
  <dimension ref="A3:B32"/>
  <sheetViews>
    <sheetView workbookViewId="0">
      <selection activeCell="G20" sqref="G20"/>
    </sheetView>
  </sheetViews>
  <sheetFormatPr baseColWidth="10" defaultRowHeight="14.4" x14ac:dyDescent="0.3"/>
  <cols>
    <col min="1" max="1" width="34.44140625" bestFit="1" customWidth="1"/>
    <col min="2" max="2" width="36.5546875" bestFit="1" customWidth="1"/>
  </cols>
  <sheetData>
    <row r="3" spans="1:2" x14ac:dyDescent="0.3">
      <c r="A3" s="32" t="s">
        <v>566</v>
      </c>
      <c r="B3" t="s">
        <v>577</v>
      </c>
    </row>
    <row r="4" spans="1:2" x14ac:dyDescent="0.3">
      <c r="A4" s="22" t="s">
        <v>556</v>
      </c>
      <c r="B4">
        <v>7</v>
      </c>
    </row>
    <row r="5" spans="1:2" x14ac:dyDescent="0.3">
      <c r="A5" s="33" t="s">
        <v>200</v>
      </c>
      <c r="B5">
        <v>2</v>
      </c>
    </row>
    <row r="6" spans="1:2" x14ac:dyDescent="0.3">
      <c r="A6" s="34" t="s">
        <v>210</v>
      </c>
      <c r="B6">
        <v>1</v>
      </c>
    </row>
    <row r="7" spans="1:2" x14ac:dyDescent="0.3">
      <c r="A7" s="34" t="s">
        <v>168</v>
      </c>
      <c r="B7">
        <v>1</v>
      </c>
    </row>
    <row r="8" spans="1:2" x14ac:dyDescent="0.3">
      <c r="A8" s="33" t="s">
        <v>240</v>
      </c>
      <c r="B8">
        <v>5</v>
      </c>
    </row>
    <row r="9" spans="1:2" x14ac:dyDescent="0.3">
      <c r="A9" s="34" t="s">
        <v>158</v>
      </c>
      <c r="B9">
        <v>1</v>
      </c>
    </row>
    <row r="10" spans="1:2" x14ac:dyDescent="0.3">
      <c r="A10" s="34" t="s">
        <v>159</v>
      </c>
      <c r="B10">
        <v>1</v>
      </c>
    </row>
    <row r="11" spans="1:2" x14ac:dyDescent="0.3">
      <c r="A11" s="34" t="s">
        <v>205</v>
      </c>
      <c r="B11">
        <v>1</v>
      </c>
    </row>
    <row r="12" spans="1:2" x14ac:dyDescent="0.3">
      <c r="A12" s="34" t="s">
        <v>206</v>
      </c>
      <c r="B12">
        <v>1</v>
      </c>
    </row>
    <row r="13" spans="1:2" x14ac:dyDescent="0.3">
      <c r="A13" s="34" t="s">
        <v>169</v>
      </c>
      <c r="B13">
        <v>1</v>
      </c>
    </row>
    <row r="14" spans="1:2" x14ac:dyDescent="0.3">
      <c r="A14" s="33" t="s">
        <v>234</v>
      </c>
    </row>
    <row r="15" spans="1:2" x14ac:dyDescent="0.3">
      <c r="A15" s="34" t="s">
        <v>209</v>
      </c>
    </row>
    <row r="16" spans="1:2" x14ac:dyDescent="0.3">
      <c r="A16" s="22" t="s">
        <v>552</v>
      </c>
      <c r="B16">
        <v>6</v>
      </c>
    </row>
    <row r="17" spans="1:2" x14ac:dyDescent="0.3">
      <c r="A17" s="33" t="s">
        <v>200</v>
      </c>
      <c r="B17">
        <v>6</v>
      </c>
    </row>
    <row r="18" spans="1:2" x14ac:dyDescent="0.3">
      <c r="A18" s="34" t="s">
        <v>207</v>
      </c>
      <c r="B18">
        <v>1</v>
      </c>
    </row>
    <row r="19" spans="1:2" x14ac:dyDescent="0.3">
      <c r="A19" s="34" t="s">
        <v>208</v>
      </c>
      <c r="B19">
        <v>1</v>
      </c>
    </row>
    <row r="20" spans="1:2" x14ac:dyDescent="0.3">
      <c r="A20" s="34" t="s">
        <v>459</v>
      </c>
      <c r="B20">
        <v>1</v>
      </c>
    </row>
    <row r="21" spans="1:2" x14ac:dyDescent="0.3">
      <c r="A21" s="34" t="s">
        <v>461</v>
      </c>
      <c r="B21">
        <v>1</v>
      </c>
    </row>
    <row r="22" spans="1:2" x14ac:dyDescent="0.3">
      <c r="A22" s="34" t="s">
        <v>653</v>
      </c>
      <c r="B22">
        <v>2</v>
      </c>
    </row>
    <row r="23" spans="1:2" x14ac:dyDescent="0.3">
      <c r="A23" s="22" t="s">
        <v>557</v>
      </c>
      <c r="B23">
        <v>5</v>
      </c>
    </row>
    <row r="24" spans="1:2" x14ac:dyDescent="0.3">
      <c r="A24" s="33" t="s">
        <v>200</v>
      </c>
      <c r="B24">
        <v>5</v>
      </c>
    </row>
    <row r="25" spans="1:2" x14ac:dyDescent="0.3">
      <c r="A25" s="34" t="s">
        <v>160</v>
      </c>
      <c r="B25">
        <v>1</v>
      </c>
    </row>
    <row r="26" spans="1:2" x14ac:dyDescent="0.3">
      <c r="A26" s="34" t="s">
        <v>161</v>
      </c>
      <c r="B26">
        <v>1</v>
      </c>
    </row>
    <row r="27" spans="1:2" x14ac:dyDescent="0.3">
      <c r="A27" s="34" t="s">
        <v>162</v>
      </c>
      <c r="B27">
        <v>1</v>
      </c>
    </row>
    <row r="28" spans="1:2" x14ac:dyDescent="0.3">
      <c r="A28" s="34" t="s">
        <v>163</v>
      </c>
      <c r="B28">
        <v>1</v>
      </c>
    </row>
    <row r="29" spans="1:2" x14ac:dyDescent="0.3">
      <c r="A29" s="34" t="s">
        <v>164</v>
      </c>
      <c r="B29">
        <v>1</v>
      </c>
    </row>
    <row r="30" spans="1:2" x14ac:dyDescent="0.3">
      <c r="A30" s="33" t="s">
        <v>234</v>
      </c>
    </row>
    <row r="31" spans="1:2" x14ac:dyDescent="0.3">
      <c r="A31" s="34" t="s">
        <v>165</v>
      </c>
    </row>
    <row r="32" spans="1:2" x14ac:dyDescent="0.3">
      <c r="A32" s="22" t="s">
        <v>567</v>
      </c>
      <c r="B32">
        <v>18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24F118-5D87-48B8-BCC6-4D1E8619254C}">
  <sheetPr codeName="Hoja14"/>
  <dimension ref="A3:B19"/>
  <sheetViews>
    <sheetView workbookViewId="0">
      <selection activeCell="G20" sqref="G20"/>
    </sheetView>
  </sheetViews>
  <sheetFormatPr baseColWidth="10" defaultRowHeight="14.4" x14ac:dyDescent="0.3"/>
  <cols>
    <col min="1" max="1" width="37" bestFit="1" customWidth="1"/>
    <col min="2" max="2" width="33.109375" bestFit="1" customWidth="1"/>
  </cols>
  <sheetData>
    <row r="3" spans="1:2" x14ac:dyDescent="0.3">
      <c r="A3" s="32" t="s">
        <v>566</v>
      </c>
      <c r="B3" t="s">
        <v>578</v>
      </c>
    </row>
    <row r="4" spans="1:2" x14ac:dyDescent="0.3">
      <c r="A4" s="22" t="s">
        <v>552</v>
      </c>
      <c r="B4">
        <v>6</v>
      </c>
    </row>
    <row r="5" spans="1:2" x14ac:dyDescent="0.3">
      <c r="A5" s="33" t="s">
        <v>200</v>
      </c>
      <c r="B5">
        <v>6</v>
      </c>
    </row>
    <row r="6" spans="1:2" x14ac:dyDescent="0.3">
      <c r="A6" s="34" t="s">
        <v>63</v>
      </c>
      <c r="B6">
        <v>1</v>
      </c>
    </row>
    <row r="7" spans="1:2" x14ac:dyDescent="0.3">
      <c r="A7" s="34" t="s">
        <v>56</v>
      </c>
      <c r="B7">
        <v>1</v>
      </c>
    </row>
    <row r="8" spans="1:2" x14ac:dyDescent="0.3">
      <c r="A8" s="34" t="s">
        <v>64</v>
      </c>
      <c r="B8">
        <v>1</v>
      </c>
    </row>
    <row r="9" spans="1:2" x14ac:dyDescent="0.3">
      <c r="A9" s="34" t="s">
        <v>65</v>
      </c>
      <c r="B9">
        <v>1</v>
      </c>
    </row>
    <row r="10" spans="1:2" x14ac:dyDescent="0.3">
      <c r="A10" s="34" t="s">
        <v>67</v>
      </c>
      <c r="B10">
        <v>1</v>
      </c>
    </row>
    <row r="11" spans="1:2" x14ac:dyDescent="0.3">
      <c r="A11" s="34" t="s">
        <v>62</v>
      </c>
      <c r="B11">
        <v>1</v>
      </c>
    </row>
    <row r="12" spans="1:2" x14ac:dyDescent="0.3">
      <c r="A12" s="33" t="s">
        <v>234</v>
      </c>
    </row>
    <row r="13" spans="1:2" x14ac:dyDescent="0.3">
      <c r="A13" s="34" t="s">
        <v>66</v>
      </c>
    </row>
    <row r="14" spans="1:2" x14ac:dyDescent="0.3">
      <c r="A14" s="22" t="s">
        <v>557</v>
      </c>
      <c r="B14">
        <v>1</v>
      </c>
    </row>
    <row r="15" spans="1:2" x14ac:dyDescent="0.3">
      <c r="A15" s="33" t="s">
        <v>200</v>
      </c>
      <c r="B15">
        <v>1</v>
      </c>
    </row>
    <row r="16" spans="1:2" x14ac:dyDescent="0.3">
      <c r="A16" s="34" t="s">
        <v>211</v>
      </c>
      <c r="B16">
        <v>1</v>
      </c>
    </row>
    <row r="17" spans="1:2" x14ac:dyDescent="0.3">
      <c r="A17" s="33" t="s">
        <v>234</v>
      </c>
    </row>
    <row r="18" spans="1:2" x14ac:dyDescent="0.3">
      <c r="A18" s="34" t="s">
        <v>167</v>
      </c>
    </row>
    <row r="19" spans="1:2" x14ac:dyDescent="0.3">
      <c r="A19" s="22" t="s">
        <v>567</v>
      </c>
      <c r="B19">
        <v>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DEF7C-BAA5-48A3-BAD4-27E05F4B6995}">
  <sheetPr codeName="Hoja15"/>
  <dimension ref="B2:J80"/>
  <sheetViews>
    <sheetView showGridLines="0" topLeftCell="A49" workbookViewId="0">
      <selection activeCell="E32" sqref="E32:E35"/>
    </sheetView>
  </sheetViews>
  <sheetFormatPr baseColWidth="10" defaultRowHeight="14.4" x14ac:dyDescent="0.3"/>
  <cols>
    <col min="2" max="2" width="32.109375" customWidth="1"/>
    <col min="3" max="3" width="11.44140625" customWidth="1"/>
    <col min="6" max="6" width="11.44140625" customWidth="1"/>
  </cols>
  <sheetData>
    <row r="2" spans="2:5" x14ac:dyDescent="0.3">
      <c r="B2" s="2" t="s">
        <v>55</v>
      </c>
      <c r="C2" s="2" t="s">
        <v>78</v>
      </c>
      <c r="D2" s="2" t="s">
        <v>54</v>
      </c>
      <c r="E2" s="2" t="s">
        <v>53</v>
      </c>
    </row>
    <row r="3" spans="2:5" x14ac:dyDescent="0.3">
      <c r="B3" s="2" t="s">
        <v>0</v>
      </c>
      <c r="C3" s="2">
        <v>4</v>
      </c>
      <c r="D3" s="2">
        <v>4</v>
      </c>
      <c r="E3" s="2">
        <f>C3+D3</f>
        <v>8</v>
      </c>
    </row>
    <row r="4" spans="2:5" x14ac:dyDescent="0.3">
      <c r="B4" s="2" t="s">
        <v>1</v>
      </c>
      <c r="C4" s="2">
        <v>4</v>
      </c>
      <c r="D4" s="2">
        <v>4</v>
      </c>
      <c r="E4" s="2">
        <f t="shared" ref="E4:E45" si="0">C4+D4</f>
        <v>8</v>
      </c>
    </row>
    <row r="5" spans="2:5" x14ac:dyDescent="0.3">
      <c r="B5" s="2" t="s">
        <v>2</v>
      </c>
      <c r="C5" s="2">
        <v>4</v>
      </c>
      <c r="D5" s="2">
        <v>0</v>
      </c>
      <c r="E5" s="2">
        <f t="shared" si="0"/>
        <v>4</v>
      </c>
    </row>
    <row r="6" spans="2:5" ht="14.25" customHeight="1" x14ac:dyDescent="0.3">
      <c r="B6" s="2" t="s">
        <v>3</v>
      </c>
      <c r="C6" s="2">
        <v>0</v>
      </c>
      <c r="D6" s="2">
        <v>4</v>
      </c>
      <c r="E6" s="2">
        <f t="shared" si="0"/>
        <v>4</v>
      </c>
    </row>
    <row r="7" spans="2:5" s="1" customFormat="1" x14ac:dyDescent="0.3">
      <c r="B7" s="5" t="s">
        <v>4</v>
      </c>
      <c r="C7" s="5">
        <v>8</v>
      </c>
      <c r="D7" s="5">
        <v>4</v>
      </c>
      <c r="E7" s="5">
        <f t="shared" si="0"/>
        <v>12</v>
      </c>
    </row>
    <row r="8" spans="2:5" x14ac:dyDescent="0.3">
      <c r="B8" s="2" t="s">
        <v>18</v>
      </c>
      <c r="C8" s="2">
        <v>2</v>
      </c>
      <c r="D8" s="2">
        <v>2</v>
      </c>
      <c r="E8" s="2">
        <f>C8+D8</f>
        <v>4</v>
      </c>
    </row>
    <row r="9" spans="2:5" x14ac:dyDescent="0.3">
      <c r="B9" s="2" t="s">
        <v>7</v>
      </c>
      <c r="C9" s="2">
        <v>0</v>
      </c>
      <c r="D9" s="2">
        <v>4</v>
      </c>
      <c r="E9" s="2">
        <f t="shared" si="0"/>
        <v>4</v>
      </c>
    </row>
    <row r="10" spans="2:5" x14ac:dyDescent="0.3">
      <c r="B10" s="2" t="s">
        <v>9</v>
      </c>
      <c r="C10" s="2">
        <v>12</v>
      </c>
      <c r="D10" s="2">
        <v>2</v>
      </c>
      <c r="E10" s="2">
        <f t="shared" si="0"/>
        <v>14</v>
      </c>
    </row>
    <row r="11" spans="2:5" x14ac:dyDescent="0.3">
      <c r="B11" s="2" t="s">
        <v>11</v>
      </c>
      <c r="C11" s="2">
        <v>0</v>
      </c>
      <c r="D11" s="2">
        <v>2</v>
      </c>
      <c r="E11" s="2">
        <f t="shared" si="0"/>
        <v>2</v>
      </c>
    </row>
    <row r="12" spans="2:5" x14ac:dyDescent="0.3">
      <c r="B12" s="2" t="s">
        <v>12</v>
      </c>
      <c r="C12" s="2">
        <v>0</v>
      </c>
      <c r="D12" s="2">
        <v>2</v>
      </c>
      <c r="E12" s="2">
        <f t="shared" si="0"/>
        <v>2</v>
      </c>
    </row>
    <row r="13" spans="2:5" x14ac:dyDescent="0.3">
      <c r="B13" s="2" t="s">
        <v>13</v>
      </c>
      <c r="C13" s="2">
        <v>1</v>
      </c>
      <c r="D13" s="2">
        <v>0</v>
      </c>
      <c r="E13" s="2">
        <f t="shared" si="0"/>
        <v>1</v>
      </c>
    </row>
    <row r="14" spans="2:5" x14ac:dyDescent="0.3">
      <c r="B14" s="2" t="s">
        <v>15</v>
      </c>
      <c r="C14" s="2">
        <v>2</v>
      </c>
      <c r="D14" s="2">
        <v>0</v>
      </c>
      <c r="E14" s="2">
        <f t="shared" si="0"/>
        <v>2</v>
      </c>
    </row>
    <row r="15" spans="2:5" x14ac:dyDescent="0.3">
      <c r="B15" s="2" t="s">
        <v>17</v>
      </c>
      <c r="C15" s="2">
        <v>4</v>
      </c>
      <c r="D15" s="2">
        <v>2</v>
      </c>
      <c r="E15" s="2">
        <f t="shared" si="0"/>
        <v>6</v>
      </c>
    </row>
    <row r="16" spans="2:5" x14ac:dyDescent="0.3">
      <c r="B16" s="2" t="s">
        <v>56</v>
      </c>
      <c r="C16" s="2">
        <v>0</v>
      </c>
      <c r="D16" s="2">
        <v>1</v>
      </c>
      <c r="E16" s="2">
        <f t="shared" si="0"/>
        <v>1</v>
      </c>
    </row>
    <row r="17" spans="2:10" x14ac:dyDescent="0.3">
      <c r="B17" s="2" t="s">
        <v>19</v>
      </c>
      <c r="C17" s="2">
        <v>4</v>
      </c>
      <c r="D17" s="2">
        <v>1</v>
      </c>
      <c r="E17" s="2">
        <f t="shared" si="0"/>
        <v>5</v>
      </c>
    </row>
    <row r="18" spans="2:10" x14ac:dyDescent="0.3">
      <c r="B18" s="2" t="s">
        <v>57</v>
      </c>
      <c r="C18" s="2">
        <v>0</v>
      </c>
      <c r="D18" s="2">
        <v>1</v>
      </c>
      <c r="E18" s="2">
        <f t="shared" si="0"/>
        <v>1</v>
      </c>
    </row>
    <row r="19" spans="2:10" x14ac:dyDescent="0.3">
      <c r="B19" s="2" t="s">
        <v>93</v>
      </c>
      <c r="C19" s="5">
        <v>4</v>
      </c>
      <c r="D19" s="2">
        <v>0</v>
      </c>
      <c r="E19" s="2">
        <f t="shared" si="0"/>
        <v>4</v>
      </c>
    </row>
    <row r="20" spans="2:10" x14ac:dyDescent="0.3">
      <c r="B20" s="2" t="s">
        <v>94</v>
      </c>
      <c r="C20" s="5">
        <v>7</v>
      </c>
      <c r="D20" s="2">
        <v>1</v>
      </c>
      <c r="E20" s="2">
        <f t="shared" si="0"/>
        <v>8</v>
      </c>
    </row>
    <row r="21" spans="2:10" x14ac:dyDescent="0.3">
      <c r="B21" s="2" t="s">
        <v>95</v>
      </c>
      <c r="C21" s="5">
        <v>2</v>
      </c>
      <c r="D21" s="5">
        <v>3</v>
      </c>
      <c r="E21" s="2">
        <f t="shared" si="0"/>
        <v>5</v>
      </c>
    </row>
    <row r="22" spans="2:10" x14ac:dyDescent="0.3">
      <c r="B22" s="2" t="s">
        <v>96</v>
      </c>
      <c r="C22" s="5">
        <v>1</v>
      </c>
      <c r="D22" s="5">
        <v>2</v>
      </c>
      <c r="E22" s="2">
        <f t="shared" si="0"/>
        <v>3</v>
      </c>
    </row>
    <row r="23" spans="2:10" x14ac:dyDescent="0.3">
      <c r="B23" s="2" t="s">
        <v>21</v>
      </c>
      <c r="C23" s="2">
        <v>8</v>
      </c>
      <c r="D23" s="2">
        <v>4</v>
      </c>
      <c r="E23" s="2">
        <f t="shared" si="0"/>
        <v>12</v>
      </c>
    </row>
    <row r="24" spans="2:10" x14ac:dyDescent="0.3">
      <c r="B24" s="2" t="s">
        <v>23</v>
      </c>
      <c r="C24" s="2">
        <v>4</v>
      </c>
      <c r="D24" s="2">
        <v>0</v>
      </c>
      <c r="E24" s="2">
        <f t="shared" si="0"/>
        <v>4</v>
      </c>
    </row>
    <row r="25" spans="2:10" x14ac:dyDescent="0.3">
      <c r="B25" s="2" t="s">
        <v>58</v>
      </c>
      <c r="C25" s="2">
        <v>0</v>
      </c>
      <c r="D25" s="2">
        <v>4</v>
      </c>
      <c r="E25" s="2">
        <f t="shared" si="0"/>
        <v>4</v>
      </c>
    </row>
    <row r="26" spans="2:10" x14ac:dyDescent="0.3">
      <c r="B26" s="2" t="s">
        <v>14</v>
      </c>
      <c r="C26" s="2">
        <v>8</v>
      </c>
      <c r="D26" s="2">
        <v>0</v>
      </c>
      <c r="E26" s="2">
        <f t="shared" si="0"/>
        <v>8</v>
      </c>
    </row>
    <row r="27" spans="2:10" s="1" customFormat="1" x14ac:dyDescent="0.3">
      <c r="B27" s="5" t="s">
        <v>22</v>
      </c>
      <c r="C27" s="5">
        <v>4</v>
      </c>
      <c r="D27" s="5">
        <v>4</v>
      </c>
      <c r="E27" s="2">
        <f t="shared" si="0"/>
        <v>8</v>
      </c>
      <c r="J27" s="1" t="s">
        <v>212</v>
      </c>
    </row>
    <row r="28" spans="2:10" x14ac:dyDescent="0.3">
      <c r="B28" s="2" t="s">
        <v>25</v>
      </c>
      <c r="C28" s="2">
        <v>8</v>
      </c>
      <c r="D28" s="2">
        <v>0</v>
      </c>
      <c r="E28" s="2">
        <f t="shared" si="0"/>
        <v>8</v>
      </c>
    </row>
    <row r="29" spans="2:10" x14ac:dyDescent="0.3">
      <c r="B29" s="2" t="s">
        <v>59</v>
      </c>
      <c r="C29" s="2">
        <v>0</v>
      </c>
      <c r="D29" s="2">
        <v>8</v>
      </c>
      <c r="E29" s="2">
        <f t="shared" si="0"/>
        <v>8</v>
      </c>
    </row>
    <row r="30" spans="2:10" x14ac:dyDescent="0.3">
      <c r="B30" s="2" t="s">
        <v>60</v>
      </c>
      <c r="C30" s="2">
        <v>0</v>
      </c>
      <c r="D30" s="2">
        <v>4</v>
      </c>
      <c r="E30" s="2">
        <f t="shared" si="0"/>
        <v>4</v>
      </c>
    </row>
    <row r="31" spans="2:10" x14ac:dyDescent="0.3">
      <c r="B31" s="2" t="s">
        <v>26</v>
      </c>
      <c r="C31" s="2">
        <v>32</v>
      </c>
      <c r="D31" s="2">
        <v>16</v>
      </c>
      <c r="E31" s="2">
        <f t="shared" si="0"/>
        <v>48</v>
      </c>
    </row>
    <row r="32" spans="2:10" x14ac:dyDescent="0.3">
      <c r="B32" s="2" t="s">
        <v>27</v>
      </c>
      <c r="C32" s="2">
        <v>32</v>
      </c>
      <c r="D32" s="2">
        <v>16</v>
      </c>
      <c r="E32" s="2">
        <f t="shared" si="0"/>
        <v>48</v>
      </c>
    </row>
    <row r="33" spans="2:6" x14ac:dyDescent="0.3">
      <c r="B33" s="2" t="s">
        <v>28</v>
      </c>
      <c r="C33" s="2">
        <v>56</v>
      </c>
      <c r="D33" s="2">
        <v>32</v>
      </c>
      <c r="E33" s="2">
        <f t="shared" si="0"/>
        <v>88</v>
      </c>
    </row>
    <row r="34" spans="2:6" x14ac:dyDescent="0.3">
      <c r="B34" s="2" t="s">
        <v>29</v>
      </c>
      <c r="C34" s="2">
        <v>24</v>
      </c>
      <c r="D34" s="2">
        <v>0</v>
      </c>
      <c r="E34" s="2">
        <f t="shared" si="0"/>
        <v>24</v>
      </c>
    </row>
    <row r="35" spans="2:6" x14ac:dyDescent="0.3">
      <c r="B35" s="2" t="s">
        <v>61</v>
      </c>
      <c r="C35" s="2">
        <v>0</v>
      </c>
      <c r="D35" s="2">
        <v>16</v>
      </c>
      <c r="E35" s="2">
        <f t="shared" si="0"/>
        <v>16</v>
      </c>
    </row>
    <row r="36" spans="2:6" x14ac:dyDescent="0.3">
      <c r="B36" s="2" t="s">
        <v>62</v>
      </c>
      <c r="C36" s="2">
        <v>0</v>
      </c>
      <c r="D36" s="2">
        <v>1</v>
      </c>
      <c r="E36" s="2">
        <f t="shared" si="0"/>
        <v>1</v>
      </c>
    </row>
    <row r="37" spans="2:6" x14ac:dyDescent="0.3">
      <c r="B37" s="2" t="s">
        <v>30</v>
      </c>
      <c r="C37" s="2">
        <v>4</v>
      </c>
      <c r="D37" s="2">
        <v>0</v>
      </c>
      <c r="E37" s="2">
        <f t="shared" si="0"/>
        <v>4</v>
      </c>
    </row>
    <row r="38" spans="2:6" x14ac:dyDescent="0.3">
      <c r="B38" s="2" t="s">
        <v>6</v>
      </c>
      <c r="C38" s="2">
        <v>12</v>
      </c>
      <c r="D38" s="2">
        <v>0</v>
      </c>
      <c r="E38" s="2">
        <f t="shared" si="0"/>
        <v>12</v>
      </c>
    </row>
    <row r="39" spans="2:6" x14ac:dyDescent="0.3">
      <c r="B39" s="2" t="s">
        <v>8</v>
      </c>
      <c r="C39" s="2">
        <v>4</v>
      </c>
      <c r="D39" s="2">
        <v>0</v>
      </c>
      <c r="E39" s="2">
        <f t="shared" si="0"/>
        <v>4</v>
      </c>
    </row>
    <row r="40" spans="2:6" x14ac:dyDescent="0.3">
      <c r="B40" s="2" t="s">
        <v>10</v>
      </c>
      <c r="C40" s="2">
        <v>4</v>
      </c>
      <c r="D40" s="2">
        <v>0</v>
      </c>
      <c r="E40" s="2">
        <f t="shared" si="0"/>
        <v>4</v>
      </c>
    </row>
    <row r="41" spans="2:6" x14ac:dyDescent="0.3">
      <c r="B41" s="2" t="s">
        <v>63</v>
      </c>
      <c r="C41" s="2">
        <v>0</v>
      </c>
      <c r="D41" s="2">
        <v>1</v>
      </c>
      <c r="E41" s="2">
        <f t="shared" si="0"/>
        <v>1</v>
      </c>
    </row>
    <row r="42" spans="2:6" x14ac:dyDescent="0.3">
      <c r="B42" s="2" t="s">
        <v>64</v>
      </c>
      <c r="C42" s="2">
        <v>0</v>
      </c>
      <c r="D42" s="2">
        <v>1</v>
      </c>
      <c r="E42" s="2">
        <f t="shared" si="0"/>
        <v>1</v>
      </c>
    </row>
    <row r="43" spans="2:6" x14ac:dyDescent="0.3">
      <c r="B43" s="2" t="s">
        <v>65</v>
      </c>
      <c r="C43" s="2">
        <v>0</v>
      </c>
      <c r="D43" s="2">
        <v>1</v>
      </c>
      <c r="E43" s="2">
        <f t="shared" si="0"/>
        <v>1</v>
      </c>
    </row>
    <row r="44" spans="2:6" x14ac:dyDescent="0.3">
      <c r="B44" s="2" t="s">
        <v>66</v>
      </c>
      <c r="C44" s="2">
        <v>0</v>
      </c>
      <c r="D44" s="2">
        <v>1</v>
      </c>
      <c r="E44" s="2">
        <f t="shared" si="0"/>
        <v>1</v>
      </c>
    </row>
    <row r="45" spans="2:6" x14ac:dyDescent="0.3">
      <c r="B45" s="2" t="s">
        <v>67</v>
      </c>
      <c r="C45" s="2">
        <v>0</v>
      </c>
      <c r="D45" s="2">
        <v>1</v>
      </c>
      <c r="E45" s="2">
        <f t="shared" si="0"/>
        <v>1</v>
      </c>
    </row>
    <row r="46" spans="2:6" x14ac:dyDescent="0.3">
      <c r="B46" s="6" t="s">
        <v>31</v>
      </c>
      <c r="C46" s="6">
        <f>SUM(C3:C45)</f>
        <v>259</v>
      </c>
      <c r="D46" s="6">
        <f>SUM(D3:D45)</f>
        <v>149</v>
      </c>
      <c r="E46" s="6">
        <f>SUM(E3:E45)</f>
        <v>408</v>
      </c>
      <c r="F46" s="3"/>
    </row>
    <row r="48" spans="2:6" x14ac:dyDescent="0.3">
      <c r="B48" s="2" t="s">
        <v>33</v>
      </c>
      <c r="C48" s="2">
        <v>1</v>
      </c>
      <c r="D48" s="2">
        <v>0</v>
      </c>
      <c r="E48" s="2">
        <f t="shared" ref="E48:E76" si="1">C48+D48</f>
        <v>1</v>
      </c>
    </row>
    <row r="49" spans="2:5" x14ac:dyDescent="0.3">
      <c r="B49" s="2" t="s">
        <v>34</v>
      </c>
      <c r="C49" s="2">
        <v>2</v>
      </c>
      <c r="D49" s="2">
        <v>0</v>
      </c>
      <c r="E49" s="2">
        <f t="shared" si="1"/>
        <v>2</v>
      </c>
    </row>
    <row r="50" spans="2:5" x14ac:dyDescent="0.3">
      <c r="B50" s="2" t="s">
        <v>35</v>
      </c>
      <c r="C50" s="2">
        <v>1</v>
      </c>
      <c r="D50" s="2">
        <v>0</v>
      </c>
      <c r="E50" s="2">
        <f t="shared" si="1"/>
        <v>1</v>
      </c>
    </row>
    <row r="51" spans="2:5" x14ac:dyDescent="0.3">
      <c r="B51" s="2" t="s">
        <v>69</v>
      </c>
      <c r="C51" s="2">
        <v>1</v>
      </c>
      <c r="D51" s="2">
        <v>0</v>
      </c>
      <c r="E51" s="2">
        <f t="shared" si="1"/>
        <v>1</v>
      </c>
    </row>
    <row r="52" spans="2:5" x14ac:dyDescent="0.3">
      <c r="B52" s="2" t="s">
        <v>36</v>
      </c>
      <c r="C52" s="2">
        <v>1</v>
      </c>
      <c r="D52" s="2">
        <v>1</v>
      </c>
      <c r="E52" s="2">
        <f t="shared" si="1"/>
        <v>2</v>
      </c>
    </row>
    <row r="53" spans="2:5" x14ac:dyDescent="0.3">
      <c r="B53" s="2" t="s">
        <v>37</v>
      </c>
      <c r="C53" s="2">
        <v>1</v>
      </c>
      <c r="D53" s="2">
        <v>0</v>
      </c>
      <c r="E53" s="2">
        <f t="shared" si="1"/>
        <v>1</v>
      </c>
    </row>
    <row r="54" spans="2:5" x14ac:dyDescent="0.3">
      <c r="B54" s="2" t="s">
        <v>38</v>
      </c>
      <c r="C54" s="2">
        <v>1</v>
      </c>
      <c r="D54" s="2">
        <v>0</v>
      </c>
      <c r="E54" s="2">
        <f t="shared" si="1"/>
        <v>1</v>
      </c>
    </row>
    <row r="55" spans="2:5" x14ac:dyDescent="0.3">
      <c r="B55" s="2" t="s">
        <v>70</v>
      </c>
      <c r="C55" s="2">
        <v>0</v>
      </c>
      <c r="D55" s="2">
        <v>1</v>
      </c>
      <c r="E55" s="2">
        <f t="shared" si="1"/>
        <v>1</v>
      </c>
    </row>
    <row r="56" spans="2:5" x14ac:dyDescent="0.3">
      <c r="B56" s="2" t="s">
        <v>39</v>
      </c>
      <c r="C56" s="2">
        <v>1</v>
      </c>
      <c r="D56" s="2">
        <v>0</v>
      </c>
      <c r="E56" s="2">
        <f t="shared" si="1"/>
        <v>1</v>
      </c>
    </row>
    <row r="57" spans="2:5" x14ac:dyDescent="0.3">
      <c r="B57" s="2" t="s">
        <v>71</v>
      </c>
      <c r="C57" s="2">
        <v>0</v>
      </c>
      <c r="D57" s="2">
        <v>2</v>
      </c>
      <c r="E57" s="2">
        <f t="shared" si="1"/>
        <v>2</v>
      </c>
    </row>
    <row r="58" spans="2:5" x14ac:dyDescent="0.3">
      <c r="B58" s="2" t="s">
        <v>40</v>
      </c>
      <c r="C58" s="2">
        <v>1</v>
      </c>
      <c r="D58" s="2">
        <v>0</v>
      </c>
      <c r="E58" s="2">
        <f t="shared" si="1"/>
        <v>1</v>
      </c>
    </row>
    <row r="59" spans="2:5" x14ac:dyDescent="0.3">
      <c r="B59" s="2" t="s">
        <v>42</v>
      </c>
      <c r="C59" s="2">
        <v>1</v>
      </c>
      <c r="D59" s="2">
        <v>0</v>
      </c>
      <c r="E59" s="2">
        <f t="shared" si="1"/>
        <v>1</v>
      </c>
    </row>
    <row r="60" spans="2:5" x14ac:dyDescent="0.3">
      <c r="B60" s="2" t="s">
        <v>72</v>
      </c>
      <c r="C60" s="2">
        <v>0</v>
      </c>
      <c r="D60" s="2">
        <v>1</v>
      </c>
      <c r="E60" s="2">
        <f t="shared" si="1"/>
        <v>1</v>
      </c>
    </row>
    <row r="61" spans="2:5" x14ac:dyDescent="0.3">
      <c r="B61" s="2" t="s">
        <v>185</v>
      </c>
      <c r="C61" s="2">
        <v>0</v>
      </c>
      <c r="D61" s="5">
        <v>1</v>
      </c>
      <c r="E61" s="2">
        <f t="shared" si="1"/>
        <v>1</v>
      </c>
    </row>
    <row r="62" spans="2:5" x14ac:dyDescent="0.3">
      <c r="B62" s="2" t="s">
        <v>43</v>
      </c>
      <c r="C62" s="2">
        <v>1</v>
      </c>
      <c r="D62" s="2">
        <v>0</v>
      </c>
      <c r="E62" s="2">
        <f t="shared" si="1"/>
        <v>1</v>
      </c>
    </row>
    <row r="63" spans="2:5" x14ac:dyDescent="0.3">
      <c r="B63" s="2" t="s">
        <v>45</v>
      </c>
      <c r="C63" s="2">
        <v>1</v>
      </c>
      <c r="D63" s="2">
        <v>0</v>
      </c>
      <c r="E63" s="2">
        <f t="shared" si="1"/>
        <v>1</v>
      </c>
    </row>
    <row r="64" spans="2:5" x14ac:dyDescent="0.3">
      <c r="B64" s="2" t="s">
        <v>46</v>
      </c>
      <c r="C64" s="2">
        <v>2</v>
      </c>
      <c r="D64" s="2">
        <v>0</v>
      </c>
      <c r="E64" s="2">
        <f t="shared" si="1"/>
        <v>2</v>
      </c>
    </row>
    <row r="65" spans="2:5" x14ac:dyDescent="0.3">
      <c r="B65" s="2" t="s">
        <v>32</v>
      </c>
      <c r="C65" s="2">
        <v>1</v>
      </c>
      <c r="D65" s="2">
        <v>0</v>
      </c>
      <c r="E65" s="2">
        <f t="shared" si="1"/>
        <v>1</v>
      </c>
    </row>
    <row r="66" spans="2:5" x14ac:dyDescent="0.3">
      <c r="B66" s="2" t="s">
        <v>74</v>
      </c>
      <c r="C66" s="2">
        <v>0</v>
      </c>
      <c r="D66" s="2">
        <v>1</v>
      </c>
      <c r="E66" s="2">
        <f t="shared" si="1"/>
        <v>1</v>
      </c>
    </row>
    <row r="67" spans="2:5" x14ac:dyDescent="0.3">
      <c r="B67" s="2" t="s">
        <v>75</v>
      </c>
      <c r="C67" s="2">
        <v>0</v>
      </c>
      <c r="D67" s="2">
        <v>1</v>
      </c>
      <c r="E67" s="2">
        <f t="shared" si="1"/>
        <v>1</v>
      </c>
    </row>
    <row r="68" spans="2:5" x14ac:dyDescent="0.3">
      <c r="B68" s="2" t="s">
        <v>44</v>
      </c>
      <c r="C68" s="2">
        <v>1</v>
      </c>
      <c r="D68" s="2">
        <v>0</v>
      </c>
      <c r="E68" s="2">
        <f t="shared" si="1"/>
        <v>1</v>
      </c>
    </row>
    <row r="69" spans="2:5" x14ac:dyDescent="0.3">
      <c r="B69" s="2" t="s">
        <v>47</v>
      </c>
      <c r="C69" s="2">
        <v>2</v>
      </c>
      <c r="D69" s="2">
        <v>1</v>
      </c>
      <c r="E69" s="2">
        <f t="shared" si="1"/>
        <v>3</v>
      </c>
    </row>
    <row r="70" spans="2:5" x14ac:dyDescent="0.3">
      <c r="B70" s="2" t="s">
        <v>48</v>
      </c>
      <c r="C70" s="2">
        <v>2</v>
      </c>
      <c r="D70" s="2">
        <v>0</v>
      </c>
      <c r="E70" s="2">
        <f t="shared" si="1"/>
        <v>2</v>
      </c>
    </row>
    <row r="71" spans="2:5" x14ac:dyDescent="0.3">
      <c r="B71" s="2" t="s">
        <v>49</v>
      </c>
      <c r="C71" s="2">
        <v>1</v>
      </c>
      <c r="D71" s="2">
        <v>0</v>
      </c>
      <c r="E71" s="2">
        <f t="shared" si="1"/>
        <v>1</v>
      </c>
    </row>
    <row r="72" spans="2:5" x14ac:dyDescent="0.3">
      <c r="B72" s="2" t="s">
        <v>41</v>
      </c>
      <c r="C72" s="2">
        <v>1</v>
      </c>
      <c r="D72" s="2">
        <v>0</v>
      </c>
      <c r="E72" s="2">
        <f t="shared" si="1"/>
        <v>1</v>
      </c>
    </row>
    <row r="73" spans="2:5" x14ac:dyDescent="0.3">
      <c r="B73" s="2" t="s">
        <v>50</v>
      </c>
      <c r="C73" s="2">
        <v>1</v>
      </c>
      <c r="D73" s="2">
        <v>0</v>
      </c>
      <c r="E73" s="2">
        <f t="shared" si="1"/>
        <v>1</v>
      </c>
    </row>
    <row r="74" spans="2:5" x14ac:dyDescent="0.3">
      <c r="B74" s="2" t="s">
        <v>76</v>
      </c>
      <c r="C74" s="2">
        <v>1</v>
      </c>
      <c r="D74" s="2">
        <v>0</v>
      </c>
      <c r="E74" s="2">
        <f t="shared" si="1"/>
        <v>1</v>
      </c>
    </row>
    <row r="75" spans="2:5" x14ac:dyDescent="0.3">
      <c r="B75" s="2" t="s">
        <v>77</v>
      </c>
      <c r="C75" s="2">
        <v>0</v>
      </c>
      <c r="D75" s="2">
        <v>1</v>
      </c>
      <c r="E75" s="2">
        <f t="shared" si="1"/>
        <v>1</v>
      </c>
    </row>
    <row r="76" spans="2:5" x14ac:dyDescent="0.3">
      <c r="B76" s="2" t="s">
        <v>84</v>
      </c>
      <c r="C76" s="2">
        <v>0</v>
      </c>
      <c r="D76" s="2">
        <v>1</v>
      </c>
      <c r="E76" s="2">
        <f t="shared" si="1"/>
        <v>1</v>
      </c>
    </row>
    <row r="77" spans="2:5" s="3" customFormat="1" x14ac:dyDescent="0.3">
      <c r="B77" s="6" t="s">
        <v>52</v>
      </c>
      <c r="C77" s="6">
        <f>SUM(C48:C76)</f>
        <v>25</v>
      </c>
      <c r="D77" s="6">
        <f t="shared" ref="D77:E77" si="2">SUM(D48:D76)</f>
        <v>11</v>
      </c>
      <c r="E77" s="6">
        <f t="shared" si="2"/>
        <v>36</v>
      </c>
    </row>
    <row r="79" spans="2:5" s="3" customFormat="1" x14ac:dyDescent="0.3">
      <c r="B79" s="3" t="s">
        <v>79</v>
      </c>
      <c r="C79" s="3">
        <f>C46+C77</f>
        <v>284</v>
      </c>
      <c r="D79" s="3">
        <f>D46+D77</f>
        <v>160</v>
      </c>
      <c r="E79" s="3">
        <f>E46+E77</f>
        <v>444</v>
      </c>
    </row>
    <row r="80" spans="2:5" x14ac:dyDescent="0.3">
      <c r="C80" t="s">
        <v>98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80BA6-657D-4330-A15D-199680165CE4}">
  <sheetPr codeName="Hoja16"/>
  <dimension ref="B2:F87"/>
  <sheetViews>
    <sheetView showGridLines="0" topLeftCell="A81" workbookViewId="0">
      <selection activeCell="B75" sqref="B75"/>
    </sheetView>
  </sheetViews>
  <sheetFormatPr baseColWidth="10" defaultRowHeight="14.4" x14ac:dyDescent="0.3"/>
  <cols>
    <col min="2" max="2" width="36.5546875" customWidth="1"/>
    <col min="3" max="4" width="11.44140625" customWidth="1"/>
    <col min="6" max="6" width="11.44140625" style="8"/>
  </cols>
  <sheetData>
    <row r="2" spans="2:6" x14ac:dyDescent="0.3">
      <c r="B2" s="2" t="s">
        <v>55</v>
      </c>
      <c r="C2" s="2" t="s">
        <v>78</v>
      </c>
      <c r="D2" s="2" t="s">
        <v>54</v>
      </c>
      <c r="E2" s="2" t="s">
        <v>53</v>
      </c>
    </row>
    <row r="3" spans="2:6" s="3" customFormat="1" x14ac:dyDescent="0.3">
      <c r="B3" s="6" t="s">
        <v>92</v>
      </c>
      <c r="C3" s="6"/>
      <c r="D3" s="6"/>
      <c r="E3" s="6"/>
      <c r="F3" s="9"/>
    </row>
    <row r="4" spans="2:6" x14ac:dyDescent="0.3">
      <c r="B4" s="2" t="s">
        <v>33</v>
      </c>
      <c r="C4" s="2">
        <v>1</v>
      </c>
      <c r="D4" s="2">
        <v>0</v>
      </c>
      <c r="E4" s="2">
        <f t="shared" ref="E4" si="0">C4+D4</f>
        <v>1</v>
      </c>
    </row>
    <row r="5" spans="2:6" x14ac:dyDescent="0.3">
      <c r="B5" s="6" t="s">
        <v>86</v>
      </c>
      <c r="C5" s="2"/>
      <c r="D5" s="2"/>
      <c r="E5" s="2"/>
    </row>
    <row r="6" spans="2:6" x14ac:dyDescent="0.3">
      <c r="B6" s="2" t="s">
        <v>34</v>
      </c>
      <c r="C6" s="2">
        <v>2</v>
      </c>
      <c r="D6" s="2">
        <v>0</v>
      </c>
      <c r="E6" s="2">
        <f>C6+D6</f>
        <v>2</v>
      </c>
    </row>
    <row r="7" spans="2:6" x14ac:dyDescent="0.3">
      <c r="B7" s="2" t="s">
        <v>35</v>
      </c>
      <c r="C7" s="2">
        <v>1</v>
      </c>
      <c r="D7" s="2">
        <v>0</v>
      </c>
      <c r="E7" s="2">
        <f>C7+D7</f>
        <v>1</v>
      </c>
    </row>
    <row r="8" spans="2:6" x14ac:dyDescent="0.3">
      <c r="B8" s="2" t="s">
        <v>0</v>
      </c>
      <c r="C8" s="2">
        <v>4</v>
      </c>
      <c r="D8" s="2">
        <v>4</v>
      </c>
      <c r="E8" s="2">
        <f>C8+D8</f>
        <v>8</v>
      </c>
    </row>
    <row r="9" spans="2:6" x14ac:dyDescent="0.3">
      <c r="B9" s="7" t="s">
        <v>80</v>
      </c>
      <c r="C9" s="2"/>
      <c r="D9" s="2"/>
      <c r="E9" s="2"/>
    </row>
    <row r="10" spans="2:6" x14ac:dyDescent="0.3">
      <c r="B10" s="2" t="s">
        <v>27</v>
      </c>
      <c r="C10" s="2">
        <v>32</v>
      </c>
      <c r="D10" s="2">
        <v>16</v>
      </c>
      <c r="E10" s="2">
        <f>C10+D10</f>
        <v>48</v>
      </c>
    </row>
    <row r="11" spans="2:6" x14ac:dyDescent="0.3">
      <c r="B11" s="2" t="s">
        <v>28</v>
      </c>
      <c r="C11" s="2">
        <v>56</v>
      </c>
      <c r="D11" s="2">
        <v>32</v>
      </c>
      <c r="E11" s="2">
        <f>C11+D11</f>
        <v>88</v>
      </c>
    </row>
    <row r="12" spans="2:6" x14ac:dyDescent="0.3">
      <c r="B12" s="2" t="s">
        <v>29</v>
      </c>
      <c r="C12" s="2">
        <v>24</v>
      </c>
      <c r="D12" s="2">
        <v>0</v>
      </c>
      <c r="E12" s="2">
        <f>C12+D12</f>
        <v>24</v>
      </c>
    </row>
    <row r="13" spans="2:6" x14ac:dyDescent="0.3">
      <c r="B13" s="2" t="s">
        <v>61</v>
      </c>
      <c r="C13" s="2">
        <v>0</v>
      </c>
      <c r="D13" s="2">
        <v>16</v>
      </c>
      <c r="E13" s="2">
        <f>C13+D13</f>
        <v>16</v>
      </c>
    </row>
    <row r="14" spans="2:6" x14ac:dyDescent="0.3">
      <c r="B14" s="2" t="s">
        <v>16</v>
      </c>
      <c r="C14" s="2">
        <v>32</v>
      </c>
      <c r="D14" s="2">
        <v>16</v>
      </c>
      <c r="E14" s="2">
        <f>C14+D14</f>
        <v>48</v>
      </c>
    </row>
    <row r="15" spans="2:6" x14ac:dyDescent="0.3">
      <c r="B15" s="7" t="s">
        <v>81</v>
      </c>
      <c r="C15" s="2"/>
      <c r="D15" s="2"/>
      <c r="E15" s="2"/>
    </row>
    <row r="16" spans="2:6" x14ac:dyDescent="0.3">
      <c r="B16" s="2" t="s">
        <v>62</v>
      </c>
      <c r="C16" s="2">
        <v>0</v>
      </c>
      <c r="D16" s="2">
        <v>1</v>
      </c>
      <c r="E16" s="2">
        <f>C16+D16</f>
        <v>1</v>
      </c>
    </row>
    <row r="17" spans="2:5" x14ac:dyDescent="0.3">
      <c r="B17" s="2" t="s">
        <v>30</v>
      </c>
      <c r="C17" s="2">
        <v>4</v>
      </c>
      <c r="D17" s="2">
        <v>0</v>
      </c>
      <c r="E17" s="2">
        <f>C17+D17</f>
        <v>4</v>
      </c>
    </row>
    <row r="18" spans="2:5" x14ac:dyDescent="0.3">
      <c r="B18" s="2" t="s">
        <v>6</v>
      </c>
      <c r="C18" s="2">
        <v>12</v>
      </c>
      <c r="D18" s="2">
        <v>0</v>
      </c>
      <c r="E18" s="2">
        <f>C18+D18</f>
        <v>12</v>
      </c>
    </row>
    <row r="19" spans="2:5" x14ac:dyDescent="0.3">
      <c r="B19" s="2" t="s">
        <v>8</v>
      </c>
      <c r="C19" s="2">
        <v>4</v>
      </c>
      <c r="D19" s="2">
        <v>0</v>
      </c>
      <c r="E19" s="2">
        <f>C19+D19</f>
        <v>4</v>
      </c>
    </row>
    <row r="20" spans="2:5" x14ac:dyDescent="0.3">
      <c r="B20" s="2" t="s">
        <v>10</v>
      </c>
      <c r="C20" s="2">
        <v>4</v>
      </c>
      <c r="D20" s="2">
        <v>0</v>
      </c>
      <c r="E20" s="2">
        <f>C20+D20</f>
        <v>4</v>
      </c>
    </row>
    <row r="21" spans="2:5" x14ac:dyDescent="0.3">
      <c r="B21" s="7" t="s">
        <v>82</v>
      </c>
      <c r="C21" s="2"/>
      <c r="D21" s="2"/>
      <c r="E21" s="2"/>
    </row>
    <row r="22" spans="2:5" x14ac:dyDescent="0.3">
      <c r="B22" s="2" t="s">
        <v>63</v>
      </c>
      <c r="C22" s="2">
        <v>0</v>
      </c>
      <c r="D22" s="2">
        <v>1</v>
      </c>
      <c r="E22" s="2">
        <f>C22+D22</f>
        <v>1</v>
      </c>
    </row>
    <row r="23" spans="2:5" x14ac:dyDescent="0.3">
      <c r="B23" s="2" t="s">
        <v>64</v>
      </c>
      <c r="C23" s="2">
        <v>0</v>
      </c>
      <c r="D23" s="2">
        <v>1</v>
      </c>
      <c r="E23" s="2">
        <f>C23+D23</f>
        <v>1</v>
      </c>
    </row>
    <row r="24" spans="2:5" x14ac:dyDescent="0.3">
      <c r="B24" s="2" t="s">
        <v>65</v>
      </c>
      <c r="C24" s="2">
        <v>0</v>
      </c>
      <c r="D24" s="2">
        <v>1</v>
      </c>
      <c r="E24" s="2">
        <f>C24+D24</f>
        <v>1</v>
      </c>
    </row>
    <row r="25" spans="2:5" x14ac:dyDescent="0.3">
      <c r="B25" s="2" t="s">
        <v>66</v>
      </c>
      <c r="C25" s="2">
        <v>0</v>
      </c>
      <c r="D25" s="2">
        <v>1</v>
      </c>
      <c r="E25" s="2">
        <f>C25+D25</f>
        <v>1</v>
      </c>
    </row>
    <row r="26" spans="2:5" x14ac:dyDescent="0.3">
      <c r="B26" s="2" t="s">
        <v>67</v>
      </c>
      <c r="C26" s="2">
        <v>0</v>
      </c>
      <c r="D26" s="2">
        <v>1</v>
      </c>
      <c r="E26" s="2">
        <f>C26+D26</f>
        <v>1</v>
      </c>
    </row>
    <row r="27" spans="2:5" x14ac:dyDescent="0.3">
      <c r="B27" s="7" t="s">
        <v>83</v>
      </c>
      <c r="C27" s="2"/>
      <c r="D27" s="2"/>
      <c r="E27" s="2"/>
    </row>
    <row r="28" spans="2:5" x14ac:dyDescent="0.3">
      <c r="B28" s="2" t="s">
        <v>21</v>
      </c>
      <c r="C28" s="2">
        <v>8</v>
      </c>
      <c r="D28" s="2">
        <v>4</v>
      </c>
      <c r="E28" s="2">
        <f t="shared" ref="E28:E35" si="1">C28+D28</f>
        <v>12</v>
      </c>
    </row>
    <row r="29" spans="2:5" x14ac:dyDescent="0.3">
      <c r="B29" s="2" t="s">
        <v>23</v>
      </c>
      <c r="C29" s="2">
        <v>4</v>
      </c>
      <c r="D29" s="2">
        <v>0</v>
      </c>
      <c r="E29" s="2">
        <f t="shared" si="1"/>
        <v>4</v>
      </c>
    </row>
    <row r="30" spans="2:5" x14ac:dyDescent="0.3">
      <c r="B30" s="2" t="s">
        <v>58</v>
      </c>
      <c r="C30" s="2">
        <v>0</v>
      </c>
      <c r="D30" s="2">
        <v>4</v>
      </c>
      <c r="E30" s="2">
        <f t="shared" si="1"/>
        <v>4</v>
      </c>
    </row>
    <row r="31" spans="2:5" x14ac:dyDescent="0.3">
      <c r="B31" s="2" t="s">
        <v>60</v>
      </c>
      <c r="C31" s="2">
        <v>0</v>
      </c>
      <c r="D31" s="2">
        <v>4</v>
      </c>
      <c r="E31" s="2">
        <f t="shared" si="1"/>
        <v>4</v>
      </c>
    </row>
    <row r="32" spans="2:5" x14ac:dyDescent="0.3">
      <c r="B32" s="2" t="s">
        <v>14</v>
      </c>
      <c r="C32" s="2">
        <v>8</v>
      </c>
      <c r="D32" s="2">
        <v>0</v>
      </c>
      <c r="E32" s="2">
        <f t="shared" si="1"/>
        <v>8</v>
      </c>
    </row>
    <row r="33" spans="2:6" s="1" customFormat="1" x14ac:dyDescent="0.3">
      <c r="B33" s="5" t="s">
        <v>22</v>
      </c>
      <c r="C33" s="5">
        <v>4</v>
      </c>
      <c r="D33" s="5">
        <v>4</v>
      </c>
      <c r="E33" s="2">
        <f t="shared" si="1"/>
        <v>8</v>
      </c>
      <c r="F33" s="10"/>
    </row>
    <row r="34" spans="2:6" x14ac:dyDescent="0.3">
      <c r="B34" s="2" t="s">
        <v>25</v>
      </c>
      <c r="C34" s="2">
        <v>8</v>
      </c>
      <c r="D34" s="2">
        <v>0</v>
      </c>
      <c r="E34" s="2">
        <f t="shared" si="1"/>
        <v>8</v>
      </c>
    </row>
    <row r="35" spans="2:6" x14ac:dyDescent="0.3">
      <c r="B35" s="2" t="s">
        <v>59</v>
      </c>
      <c r="C35" s="2">
        <v>0</v>
      </c>
      <c r="D35" s="2">
        <v>8</v>
      </c>
      <c r="E35" s="2">
        <f t="shared" si="1"/>
        <v>8</v>
      </c>
    </row>
    <row r="36" spans="2:6" x14ac:dyDescent="0.3">
      <c r="B36" s="2" t="s">
        <v>93</v>
      </c>
      <c r="C36" s="2">
        <v>4</v>
      </c>
      <c r="D36" s="2">
        <v>0</v>
      </c>
      <c r="E36" s="2">
        <f t="shared" ref="E36:E37" si="2">C36+D36</f>
        <v>4</v>
      </c>
    </row>
    <row r="37" spans="2:6" x14ac:dyDescent="0.3">
      <c r="B37" s="2" t="s">
        <v>94</v>
      </c>
      <c r="C37" s="2">
        <v>7</v>
      </c>
      <c r="D37" s="2">
        <v>1</v>
      </c>
      <c r="E37" s="2">
        <f t="shared" si="2"/>
        <v>8</v>
      </c>
    </row>
    <row r="38" spans="2:6" x14ac:dyDescent="0.3">
      <c r="B38" s="6" t="s">
        <v>85</v>
      </c>
      <c r="C38" s="2"/>
      <c r="D38" s="2"/>
      <c r="E38" s="2"/>
    </row>
    <row r="39" spans="2:6" x14ac:dyDescent="0.3">
      <c r="B39" s="2" t="s">
        <v>76</v>
      </c>
      <c r="C39" s="2">
        <v>1</v>
      </c>
      <c r="D39" s="2">
        <v>0</v>
      </c>
      <c r="E39" s="2">
        <f t="shared" ref="E39:E49" si="3">C39+D39</f>
        <v>1</v>
      </c>
    </row>
    <row r="40" spans="2:6" x14ac:dyDescent="0.3">
      <c r="B40" s="2" t="s">
        <v>77</v>
      </c>
      <c r="C40" s="2">
        <v>0</v>
      </c>
      <c r="D40" s="2">
        <v>1</v>
      </c>
      <c r="E40" s="2">
        <f t="shared" si="3"/>
        <v>1</v>
      </c>
    </row>
    <row r="41" spans="2:6" x14ac:dyDescent="0.3">
      <c r="B41" s="2" t="s">
        <v>84</v>
      </c>
      <c r="C41" s="2">
        <v>0</v>
      </c>
      <c r="D41" s="2">
        <v>1</v>
      </c>
      <c r="E41" s="2">
        <f t="shared" si="3"/>
        <v>1</v>
      </c>
    </row>
    <row r="42" spans="2:6" x14ac:dyDescent="0.3">
      <c r="B42" s="2" t="s">
        <v>56</v>
      </c>
      <c r="C42" s="2">
        <v>0</v>
      </c>
      <c r="D42" s="2">
        <v>1</v>
      </c>
      <c r="E42" s="2">
        <f>C42+D42</f>
        <v>1</v>
      </c>
    </row>
    <row r="43" spans="2:6" x14ac:dyDescent="0.3">
      <c r="B43" s="2" t="s">
        <v>7</v>
      </c>
      <c r="C43" s="2">
        <v>0</v>
      </c>
      <c r="D43" s="2">
        <v>4</v>
      </c>
      <c r="E43" s="2">
        <f t="shared" si="3"/>
        <v>4</v>
      </c>
    </row>
    <row r="44" spans="2:6" x14ac:dyDescent="0.3">
      <c r="B44" s="2" t="s">
        <v>9</v>
      </c>
      <c r="C44" s="2">
        <v>12</v>
      </c>
      <c r="D44" s="2">
        <v>2</v>
      </c>
      <c r="E44" s="2">
        <f t="shared" si="3"/>
        <v>14</v>
      </c>
    </row>
    <row r="45" spans="2:6" x14ac:dyDescent="0.3">
      <c r="B45" s="2" t="s">
        <v>11</v>
      </c>
      <c r="C45" s="2">
        <v>0</v>
      </c>
      <c r="D45" s="2">
        <v>2</v>
      </c>
      <c r="E45" s="2">
        <f t="shared" si="3"/>
        <v>2</v>
      </c>
    </row>
    <row r="46" spans="2:6" x14ac:dyDescent="0.3">
      <c r="B46" s="2" t="s">
        <v>12</v>
      </c>
      <c r="C46" s="2">
        <v>0</v>
      </c>
      <c r="D46" s="2">
        <v>2</v>
      </c>
      <c r="E46" s="2">
        <f t="shared" si="3"/>
        <v>2</v>
      </c>
    </row>
    <row r="47" spans="2:6" x14ac:dyDescent="0.3">
      <c r="B47" s="2" t="s">
        <v>17</v>
      </c>
      <c r="C47" s="2">
        <v>4</v>
      </c>
      <c r="D47" s="2">
        <v>2</v>
      </c>
      <c r="E47" s="2">
        <f t="shared" si="3"/>
        <v>6</v>
      </c>
    </row>
    <row r="48" spans="2:6" x14ac:dyDescent="0.3">
      <c r="B48" s="2" t="s">
        <v>13</v>
      </c>
      <c r="C48" s="2">
        <v>1</v>
      </c>
      <c r="D48" s="2">
        <v>0</v>
      </c>
      <c r="E48" s="2">
        <f t="shared" si="3"/>
        <v>1</v>
      </c>
    </row>
    <row r="49" spans="2:6" x14ac:dyDescent="0.3">
      <c r="B49" s="2" t="s">
        <v>15</v>
      </c>
      <c r="C49" s="2">
        <v>2</v>
      </c>
      <c r="D49" s="2">
        <v>0</v>
      </c>
      <c r="E49" s="2">
        <f t="shared" si="3"/>
        <v>2</v>
      </c>
    </row>
    <row r="50" spans="2:6" x14ac:dyDescent="0.3">
      <c r="B50" s="6" t="s">
        <v>87</v>
      </c>
      <c r="C50" s="2"/>
      <c r="D50" s="2"/>
      <c r="E50" s="2"/>
    </row>
    <row r="51" spans="2:6" x14ac:dyDescent="0.3">
      <c r="B51" s="2" t="s">
        <v>50</v>
      </c>
      <c r="C51" s="2">
        <v>1</v>
      </c>
      <c r="D51" s="2">
        <v>0</v>
      </c>
      <c r="E51" s="2">
        <f>C51+D51</f>
        <v>1</v>
      </c>
    </row>
    <row r="52" spans="2:6" ht="14.25" customHeight="1" x14ac:dyDescent="0.3">
      <c r="B52" s="2" t="s">
        <v>3</v>
      </c>
      <c r="C52" s="2">
        <v>0</v>
      </c>
      <c r="D52" s="2">
        <v>4</v>
      </c>
      <c r="E52" s="2">
        <f>C52+D52</f>
        <v>4</v>
      </c>
    </row>
    <row r="53" spans="2:6" s="1" customFormat="1" x14ac:dyDescent="0.3">
      <c r="B53" s="5" t="s">
        <v>4</v>
      </c>
      <c r="C53" s="5">
        <v>8</v>
      </c>
      <c r="D53" s="5">
        <v>4</v>
      </c>
      <c r="E53" s="5">
        <f>C53+D53</f>
        <v>12</v>
      </c>
      <c r="F53" s="10"/>
    </row>
    <row r="54" spans="2:6" x14ac:dyDescent="0.3">
      <c r="B54" s="2" t="s">
        <v>18</v>
      </c>
      <c r="C54" s="2">
        <v>2</v>
      </c>
      <c r="D54" s="2">
        <v>2</v>
      </c>
      <c r="E54" s="2">
        <f>C54+D54</f>
        <v>4</v>
      </c>
    </row>
    <row r="55" spans="2:6" x14ac:dyDescent="0.3">
      <c r="B55" s="6" t="s">
        <v>88</v>
      </c>
      <c r="C55" s="2"/>
      <c r="D55" s="2"/>
      <c r="E55" s="2"/>
    </row>
    <row r="56" spans="2:6" x14ac:dyDescent="0.3">
      <c r="B56" s="2" t="s">
        <v>41</v>
      </c>
      <c r="C56" s="2">
        <v>1</v>
      </c>
      <c r="D56" s="2">
        <v>0</v>
      </c>
      <c r="E56" s="2">
        <f>C56+D56</f>
        <v>1</v>
      </c>
    </row>
    <row r="57" spans="2:6" x14ac:dyDescent="0.3">
      <c r="B57" s="2" t="s">
        <v>19</v>
      </c>
      <c r="C57" s="2">
        <v>4</v>
      </c>
      <c r="D57" s="2">
        <v>1</v>
      </c>
      <c r="E57" s="2">
        <f>C57+D57</f>
        <v>5</v>
      </c>
    </row>
    <row r="58" spans="2:6" x14ac:dyDescent="0.3">
      <c r="B58" s="2" t="s">
        <v>57</v>
      </c>
      <c r="C58" s="2">
        <v>0</v>
      </c>
      <c r="D58" s="2">
        <v>1</v>
      </c>
      <c r="E58" s="2">
        <f>C58+D58</f>
        <v>1</v>
      </c>
    </row>
    <row r="59" spans="2:6" x14ac:dyDescent="0.3">
      <c r="B59" s="2" t="s">
        <v>95</v>
      </c>
      <c r="C59" s="2">
        <v>2</v>
      </c>
      <c r="D59" s="5">
        <v>3</v>
      </c>
      <c r="E59" s="2">
        <f t="shared" ref="E59:E60" si="4">C59+D59</f>
        <v>5</v>
      </c>
    </row>
    <row r="60" spans="2:6" x14ac:dyDescent="0.3">
      <c r="B60" s="2" t="s">
        <v>96</v>
      </c>
      <c r="C60" s="2">
        <v>1</v>
      </c>
      <c r="D60" s="5">
        <v>2</v>
      </c>
      <c r="E60" s="2">
        <f t="shared" si="4"/>
        <v>3</v>
      </c>
    </row>
    <row r="61" spans="2:6" x14ac:dyDescent="0.3">
      <c r="B61" s="6" t="s">
        <v>89</v>
      </c>
      <c r="C61" s="2"/>
      <c r="D61" s="2"/>
      <c r="E61" s="2"/>
    </row>
    <row r="62" spans="2:6" x14ac:dyDescent="0.3">
      <c r="B62" s="2" t="s">
        <v>69</v>
      </c>
      <c r="C62" s="2">
        <v>1</v>
      </c>
      <c r="D62" s="2">
        <v>0</v>
      </c>
      <c r="E62" s="2">
        <f t="shared" ref="E62:E74" si="5">C62+D62</f>
        <v>1</v>
      </c>
    </row>
    <row r="63" spans="2:6" x14ac:dyDescent="0.3">
      <c r="B63" s="2" t="s">
        <v>36</v>
      </c>
      <c r="C63" s="2">
        <v>1</v>
      </c>
      <c r="D63" s="2">
        <v>1</v>
      </c>
      <c r="E63" s="2">
        <f t="shared" si="5"/>
        <v>2</v>
      </c>
    </row>
    <row r="64" spans="2:6" x14ac:dyDescent="0.3">
      <c r="B64" s="2" t="s">
        <v>37</v>
      </c>
      <c r="C64" s="2">
        <v>1</v>
      </c>
      <c r="D64" s="2">
        <v>0</v>
      </c>
      <c r="E64" s="2">
        <f t="shared" si="5"/>
        <v>1</v>
      </c>
    </row>
    <row r="65" spans="2:5" x14ac:dyDescent="0.3">
      <c r="B65" s="2" t="s">
        <v>38</v>
      </c>
      <c r="C65" s="2">
        <v>1</v>
      </c>
      <c r="D65" s="2">
        <v>0</v>
      </c>
      <c r="E65" s="2">
        <f t="shared" si="5"/>
        <v>1</v>
      </c>
    </row>
    <row r="66" spans="2:5" x14ac:dyDescent="0.3">
      <c r="B66" s="2" t="s">
        <v>70</v>
      </c>
      <c r="C66" s="2">
        <v>0</v>
      </c>
      <c r="D66" s="2">
        <v>1</v>
      </c>
      <c r="E66" s="2">
        <f t="shared" si="5"/>
        <v>1</v>
      </c>
    </row>
    <row r="67" spans="2:5" x14ac:dyDescent="0.3">
      <c r="B67" s="2" t="s">
        <v>2</v>
      </c>
      <c r="C67" s="2">
        <v>4</v>
      </c>
      <c r="D67" s="2">
        <v>0</v>
      </c>
      <c r="E67" s="2">
        <f t="shared" si="5"/>
        <v>4</v>
      </c>
    </row>
    <row r="68" spans="2:5" x14ac:dyDescent="0.3">
      <c r="B68" s="2" t="s">
        <v>39</v>
      </c>
      <c r="C68" s="2">
        <v>1</v>
      </c>
      <c r="D68" s="2">
        <v>0</v>
      </c>
      <c r="E68" s="2">
        <f t="shared" si="5"/>
        <v>1</v>
      </c>
    </row>
    <row r="69" spans="2:5" x14ac:dyDescent="0.3">
      <c r="B69" s="2" t="s">
        <v>71</v>
      </c>
      <c r="C69" s="2">
        <v>0</v>
      </c>
      <c r="D69" s="2">
        <v>2</v>
      </c>
      <c r="E69" s="2">
        <f t="shared" si="5"/>
        <v>2</v>
      </c>
    </row>
    <row r="70" spans="2:5" x14ac:dyDescent="0.3">
      <c r="B70" s="2" t="s">
        <v>43</v>
      </c>
      <c r="C70" s="2">
        <v>1</v>
      </c>
      <c r="D70" s="2">
        <v>0</v>
      </c>
      <c r="E70" s="2">
        <f t="shared" si="5"/>
        <v>1</v>
      </c>
    </row>
    <row r="71" spans="2:5" x14ac:dyDescent="0.3">
      <c r="B71" s="2" t="s">
        <v>40</v>
      </c>
      <c r="C71" s="2">
        <v>1</v>
      </c>
      <c r="D71" s="2">
        <v>0</v>
      </c>
      <c r="E71" s="2">
        <f t="shared" si="5"/>
        <v>1</v>
      </c>
    </row>
    <row r="72" spans="2:5" x14ac:dyDescent="0.3">
      <c r="B72" s="2" t="s">
        <v>42</v>
      </c>
      <c r="C72" s="2">
        <v>1</v>
      </c>
      <c r="D72" s="2">
        <v>0</v>
      </c>
      <c r="E72" s="2">
        <f t="shared" si="5"/>
        <v>1</v>
      </c>
    </row>
    <row r="73" spans="2:5" x14ac:dyDescent="0.3">
      <c r="B73" s="2" t="s">
        <v>97</v>
      </c>
      <c r="C73" s="2">
        <v>0</v>
      </c>
      <c r="D73" s="2">
        <v>1</v>
      </c>
      <c r="E73" s="2">
        <f t="shared" si="5"/>
        <v>1</v>
      </c>
    </row>
    <row r="74" spans="2:5" x14ac:dyDescent="0.3">
      <c r="B74" s="2" t="s">
        <v>185</v>
      </c>
      <c r="C74" s="2">
        <v>0</v>
      </c>
      <c r="D74" s="5">
        <v>1</v>
      </c>
      <c r="E74" s="2">
        <f t="shared" si="5"/>
        <v>1</v>
      </c>
    </row>
    <row r="75" spans="2:5" x14ac:dyDescent="0.3">
      <c r="B75" s="6" t="s">
        <v>90</v>
      </c>
      <c r="C75" s="2"/>
      <c r="D75" s="2"/>
      <c r="E75" s="2"/>
    </row>
    <row r="76" spans="2:5" x14ac:dyDescent="0.3">
      <c r="B76" s="2" t="s">
        <v>45</v>
      </c>
      <c r="C76" s="2">
        <v>1</v>
      </c>
      <c r="D76" s="2">
        <v>0</v>
      </c>
      <c r="E76" s="2">
        <f t="shared" ref="E76:E81" si="6">C76+D76</f>
        <v>1</v>
      </c>
    </row>
    <row r="77" spans="2:5" ht="13.5" customHeight="1" x14ac:dyDescent="0.3">
      <c r="B77" s="2" t="s">
        <v>1</v>
      </c>
      <c r="C77" s="2">
        <v>4</v>
      </c>
      <c r="D77" s="2">
        <v>4</v>
      </c>
      <c r="E77" s="2">
        <f t="shared" si="6"/>
        <v>8</v>
      </c>
    </row>
    <row r="78" spans="2:5" x14ac:dyDescent="0.3">
      <c r="B78" s="2" t="s">
        <v>46</v>
      </c>
      <c r="C78" s="2">
        <v>2</v>
      </c>
      <c r="D78" s="2">
        <v>0</v>
      </c>
      <c r="E78" s="2">
        <f t="shared" si="6"/>
        <v>2</v>
      </c>
    </row>
    <row r="79" spans="2:5" x14ac:dyDescent="0.3">
      <c r="B79" s="2" t="s">
        <v>32</v>
      </c>
      <c r="C79" s="2">
        <v>1</v>
      </c>
      <c r="D79" s="2">
        <v>0</v>
      </c>
      <c r="E79" s="2">
        <f t="shared" si="6"/>
        <v>1</v>
      </c>
    </row>
    <row r="80" spans="2:5" x14ac:dyDescent="0.3">
      <c r="B80" s="2" t="s">
        <v>74</v>
      </c>
      <c r="C80" s="2">
        <v>0</v>
      </c>
      <c r="D80" s="2">
        <v>1</v>
      </c>
      <c r="E80" s="2">
        <f t="shared" si="6"/>
        <v>1</v>
      </c>
    </row>
    <row r="81" spans="2:6" x14ac:dyDescent="0.3">
      <c r="B81" s="2" t="s">
        <v>75</v>
      </c>
      <c r="C81" s="2">
        <v>0</v>
      </c>
      <c r="D81" s="2">
        <v>1</v>
      </c>
      <c r="E81" s="2">
        <f t="shared" si="6"/>
        <v>1</v>
      </c>
    </row>
    <row r="82" spans="2:6" x14ac:dyDescent="0.3">
      <c r="B82" s="6" t="s">
        <v>91</v>
      </c>
      <c r="C82" s="2"/>
      <c r="D82" s="2"/>
      <c r="E82" s="2"/>
    </row>
    <row r="83" spans="2:6" x14ac:dyDescent="0.3">
      <c r="B83" s="2" t="s">
        <v>44</v>
      </c>
      <c r="C83" s="2">
        <v>1</v>
      </c>
      <c r="D83" s="2">
        <v>0</v>
      </c>
      <c r="E83" s="2">
        <f>C83+D83</f>
        <v>1</v>
      </c>
    </row>
    <row r="84" spans="2:6" x14ac:dyDescent="0.3">
      <c r="B84" s="2" t="s">
        <v>47</v>
      </c>
      <c r="C84" s="2">
        <v>2</v>
      </c>
      <c r="D84" s="2">
        <v>1</v>
      </c>
      <c r="E84" s="2">
        <f>C84+D84</f>
        <v>3</v>
      </c>
    </row>
    <row r="85" spans="2:6" x14ac:dyDescent="0.3">
      <c r="B85" s="2" t="s">
        <v>48</v>
      </c>
      <c r="C85" s="2">
        <v>2</v>
      </c>
      <c r="D85" s="2">
        <v>0</v>
      </c>
      <c r="E85" s="2">
        <f>C85+D85</f>
        <v>2</v>
      </c>
    </row>
    <row r="86" spans="2:6" x14ac:dyDescent="0.3">
      <c r="B86" s="2" t="s">
        <v>49</v>
      </c>
      <c r="C86" s="2">
        <v>1</v>
      </c>
      <c r="D86" s="2">
        <v>0</v>
      </c>
      <c r="E86" s="2">
        <f>C86+D86</f>
        <v>1</v>
      </c>
    </row>
    <row r="87" spans="2:6" s="3" customFormat="1" x14ac:dyDescent="0.3">
      <c r="B87" s="3" t="s">
        <v>79</v>
      </c>
      <c r="C87" s="3">
        <f>SUM(C3:C86)</f>
        <v>284</v>
      </c>
      <c r="D87" s="3">
        <f>SUM(D3:D86)</f>
        <v>160</v>
      </c>
      <c r="E87" s="3">
        <f>SUM(E3:E86)</f>
        <v>444</v>
      </c>
      <c r="F87" s="9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F45CD-FE58-438B-82D9-F44F82686A31}">
  <dimension ref="A1:F54"/>
  <sheetViews>
    <sheetView workbookViewId="0">
      <selection activeCell="E29" sqref="E29"/>
    </sheetView>
  </sheetViews>
  <sheetFormatPr baseColWidth="10" defaultRowHeight="14.4" x14ac:dyDescent="0.3"/>
  <cols>
    <col min="1" max="1" width="13.88671875" customWidth="1"/>
    <col min="2" max="2" width="16.6640625" customWidth="1"/>
    <col min="3" max="3" width="18.5546875" customWidth="1"/>
    <col min="4" max="4" width="38.88671875" customWidth="1"/>
    <col min="5" max="5" width="13.88671875" customWidth="1"/>
    <col min="6" max="6" width="42.5546875" customWidth="1"/>
    <col min="7" max="7" width="45.33203125" customWidth="1"/>
    <col min="8" max="8" width="13.88671875" customWidth="1"/>
  </cols>
  <sheetData>
    <row r="1" spans="1:6" ht="18" x14ac:dyDescent="0.35">
      <c r="A1" s="236" t="s">
        <v>1192</v>
      </c>
      <c r="B1" s="236"/>
      <c r="C1" s="236"/>
      <c r="D1" s="236"/>
      <c r="E1" s="236"/>
      <c r="F1" s="236"/>
    </row>
    <row r="2" spans="1:6" x14ac:dyDescent="0.3">
      <c r="A2" s="237" t="s">
        <v>1193</v>
      </c>
      <c r="B2" s="237"/>
      <c r="C2" s="237"/>
      <c r="D2" s="237"/>
      <c r="E2" s="237"/>
      <c r="F2" s="237"/>
    </row>
    <row r="4" spans="1:6" ht="16.2" thickBot="1" x14ac:dyDescent="0.35">
      <c r="A4" s="242" t="s">
        <v>1188</v>
      </c>
      <c r="B4" s="242"/>
      <c r="C4" s="242"/>
      <c r="D4" s="242"/>
      <c r="E4" s="242"/>
      <c r="F4" s="242"/>
    </row>
    <row r="5" spans="1:6" x14ac:dyDescent="0.3">
      <c r="A5" s="226" t="s">
        <v>1175</v>
      </c>
      <c r="B5" s="225" t="s">
        <v>1194</v>
      </c>
      <c r="C5" s="225" t="s">
        <v>1189</v>
      </c>
      <c r="D5" s="225" t="s">
        <v>1176</v>
      </c>
      <c r="E5" s="225" t="s">
        <v>1190</v>
      </c>
      <c r="F5" s="228" t="s">
        <v>1191</v>
      </c>
    </row>
    <row r="6" spans="1:6" x14ac:dyDescent="0.3">
      <c r="A6" s="238" t="s">
        <v>105</v>
      </c>
      <c r="B6" s="245">
        <f>COUNTA('MANO DE OBRA'!F5:F116)</f>
        <v>95</v>
      </c>
      <c r="C6" s="245">
        <f>B6-D6</f>
        <v>90</v>
      </c>
      <c r="D6" s="247">
        <f>COUNTIF('MANO DE OBRA'!F5:F116,"V*")</f>
        <v>5</v>
      </c>
      <c r="E6" s="250">
        <f>C6/B6</f>
        <v>0.94736842105263153</v>
      </c>
      <c r="F6" s="251">
        <f>D6/B6</f>
        <v>5.2631578947368418E-2</v>
      </c>
    </row>
    <row r="7" spans="1:6" x14ac:dyDescent="0.3">
      <c r="A7" s="239" t="s">
        <v>106</v>
      </c>
      <c r="B7" s="246">
        <f>COUNTA('MANO DE OBRA'!H5:H121)</f>
        <v>99</v>
      </c>
      <c r="C7" s="246">
        <f>B7-D7</f>
        <v>95</v>
      </c>
      <c r="D7" s="248">
        <f>COUNTIF('MANO DE OBRA'!H5:H121,"V*")</f>
        <v>4</v>
      </c>
      <c r="E7" s="252">
        <f>C7/B7</f>
        <v>0.95959595959595956</v>
      </c>
      <c r="F7" s="253">
        <f>D7/B7</f>
        <v>4.0404040404040407E-2</v>
      </c>
    </row>
    <row r="8" spans="1:6" x14ac:dyDescent="0.3">
      <c r="A8" s="238" t="s">
        <v>107</v>
      </c>
      <c r="B8" s="245">
        <f>COUNTA('MANO DE OBRA'!K5:K116)</f>
        <v>95</v>
      </c>
      <c r="C8" s="245">
        <f>B8-D8</f>
        <v>92</v>
      </c>
      <c r="D8" s="247">
        <f>COUNTIF('MANO DE OBRA'!K5:K116,"V*")</f>
        <v>3</v>
      </c>
      <c r="E8" s="250">
        <f>C8/B8</f>
        <v>0.96842105263157896</v>
      </c>
      <c r="F8" s="251">
        <f>D8/B8</f>
        <v>3.1578947368421054E-2</v>
      </c>
    </row>
    <row r="9" spans="1:6" x14ac:dyDescent="0.3">
      <c r="A9" s="239" t="s">
        <v>108</v>
      </c>
      <c r="B9" s="246">
        <f>COUNTA('MANO DE OBRA'!N5:N121)</f>
        <v>99</v>
      </c>
      <c r="C9" s="246">
        <f>B9-D9</f>
        <v>94</v>
      </c>
      <c r="D9" s="248">
        <f>COUNTIF('MANO DE OBRA'!N5:N121,"V*")</f>
        <v>5</v>
      </c>
      <c r="E9" s="252">
        <f>C9/B9</f>
        <v>0.9494949494949495</v>
      </c>
      <c r="F9" s="253">
        <f>D9/B9</f>
        <v>5.0505050505050504E-2</v>
      </c>
    </row>
    <row r="10" spans="1:6" ht="15" thickBot="1" x14ac:dyDescent="0.35">
      <c r="A10" s="227" t="s">
        <v>53</v>
      </c>
      <c r="B10" s="249">
        <f>SUM(B6:B9)</f>
        <v>388</v>
      </c>
      <c r="C10" s="249">
        <f>SUM(C6:C9)</f>
        <v>371</v>
      </c>
      <c r="D10" s="249">
        <f>SUM(D6:D9)</f>
        <v>17</v>
      </c>
      <c r="E10" s="240">
        <f>C10/B10</f>
        <v>0.95618556701030932</v>
      </c>
      <c r="F10" s="231">
        <f>D10/B10</f>
        <v>4.3814432989690719E-2</v>
      </c>
    </row>
    <row r="12" spans="1:6" ht="16.2" thickBot="1" x14ac:dyDescent="0.35">
      <c r="A12" s="242" t="s">
        <v>1178</v>
      </c>
      <c r="B12" s="242"/>
      <c r="C12" s="242"/>
      <c r="D12" s="242"/>
    </row>
    <row r="13" spans="1:6" x14ac:dyDescent="0.3">
      <c r="A13" s="226" t="s">
        <v>1179</v>
      </c>
      <c r="B13" s="241" t="s">
        <v>1180</v>
      </c>
      <c r="C13" s="225" t="s">
        <v>1181</v>
      </c>
      <c r="D13" s="228" t="s">
        <v>1177</v>
      </c>
    </row>
    <row r="14" spans="1:6" x14ac:dyDescent="0.3">
      <c r="A14" s="233" t="s">
        <v>234</v>
      </c>
      <c r="B14" s="223" t="s">
        <v>1182</v>
      </c>
      <c r="C14" s="243">
        <f>COUNTIF('MANO DE OBRA'!F5:F116,"V")+COUNTIF('MANO DE OBRA'!H5:H121,"V")+COUNTIF('MANO DE OBRA'!K5:K116,"V")+COUNTIF('MANO DE OBRA'!N5:N121,"V")</f>
        <v>4</v>
      </c>
      <c r="D14" s="229">
        <f>IF(C21=0,0,C14/C21)</f>
        <v>0.23529411764705882</v>
      </c>
    </row>
    <row r="15" spans="1:6" x14ac:dyDescent="0.3">
      <c r="A15" s="234" t="s">
        <v>1096</v>
      </c>
      <c r="B15" s="224" t="s">
        <v>1183</v>
      </c>
      <c r="C15" s="244">
        <f>COUNTIF('MANO DE OBRA'!F5:F116,"V-M")+COUNTIF('MANO DE OBRA'!H5:H121,"V-M")+COUNTIF('MANO DE OBRA'!K5:K116,"V-M")+COUNTIF('MANO DE OBRA'!N5:N121,"V-M")</f>
        <v>6</v>
      </c>
      <c r="D15" s="230">
        <f>IF(C21=0,0,C15/C21)</f>
        <v>0.35294117647058826</v>
      </c>
    </row>
    <row r="16" spans="1:6" x14ac:dyDescent="0.3">
      <c r="A16" s="233" t="s">
        <v>1134</v>
      </c>
      <c r="B16" s="223" t="s">
        <v>1184</v>
      </c>
      <c r="C16" s="243">
        <f>COUNTIF('MANO DE OBRA'!F5:F116,"V-BR")+COUNTIF('MANO DE OBRA'!H5:H121,"V-BR")+COUNTIF('MANO DE OBRA'!K5:K116,"V-BR")+COUNTIF('MANO DE OBRA'!N5:N121,"V-BR")</f>
        <v>3</v>
      </c>
      <c r="D16" s="229">
        <f>IF(C21=0,0,C16/C21)</f>
        <v>0.17647058823529413</v>
      </c>
    </row>
    <row r="17" spans="1:6" x14ac:dyDescent="0.3">
      <c r="A17" s="234" t="s">
        <v>1172</v>
      </c>
      <c r="B17" s="224" t="s">
        <v>1185</v>
      </c>
      <c r="C17" s="244">
        <f>COUNTIF('MANO DE OBRA'!F5:F116,"V-MIX")+COUNTIF('MANO DE OBRA'!H5:H121,"V-MIX")+COUNTIF('MANO DE OBRA'!K5:K116,"V-MIX")+COUNTIF('MANO DE OBRA'!N5:N121,"V-MIX")</f>
        <v>2</v>
      </c>
      <c r="D17" s="230">
        <f>IF(C21=0,0,C17/C21)</f>
        <v>0.11764705882352941</v>
      </c>
    </row>
    <row r="18" spans="1:6" x14ac:dyDescent="0.3">
      <c r="A18" s="233" t="s">
        <v>1097</v>
      </c>
      <c r="B18" s="223" t="s">
        <v>1186</v>
      </c>
      <c r="C18" s="243">
        <f>COUNTIF('MANO DE OBRA'!F5:F116,"V-CS")+COUNTIF('MANO DE OBRA'!H5:H121,"V-CS")+COUNTIF('MANO DE OBRA'!K5:K116,"V-CS")+COUNTIF('MANO DE OBRA'!N5:N121,"V-CS")</f>
        <v>1</v>
      </c>
      <c r="D18" s="229">
        <f>IF(C21=0,0,C18/C21)</f>
        <v>5.8823529411764705E-2</v>
      </c>
    </row>
    <row r="19" spans="1:6" x14ac:dyDescent="0.3">
      <c r="A19" s="234" t="s">
        <v>1173</v>
      </c>
      <c r="B19" s="224" t="s">
        <v>1187</v>
      </c>
      <c r="C19" s="244">
        <f>COUNTIF('MANO DE OBRA'!F5:F116,"V-S")+COUNTIF('MANO DE OBRA'!H5:H121,"V-S")+COUNTIF('MANO DE OBRA'!K5:K116,"V-S")+COUNTIF('MANO DE OBRA'!N5:N121,"V-S")</f>
        <v>1</v>
      </c>
      <c r="D19" s="230">
        <f>IF(C21=0,0,C19/C21)</f>
        <v>5.8823529411764705E-2</v>
      </c>
    </row>
    <row r="20" spans="1:6" x14ac:dyDescent="0.3">
      <c r="A20" s="233" t="s">
        <v>1195</v>
      </c>
      <c r="B20" s="223" t="s">
        <v>1196</v>
      </c>
      <c r="C20" s="243">
        <f>D10-SUM(C14:C19)</f>
        <v>0</v>
      </c>
      <c r="D20" s="229">
        <f>IF(C21=0,0,C20/C21)</f>
        <v>0</v>
      </c>
    </row>
    <row r="21" spans="1:6" ht="15" thickBot="1" x14ac:dyDescent="0.35">
      <c r="A21" s="235" t="s">
        <v>53</v>
      </c>
      <c r="B21" s="232"/>
      <c r="C21" s="249">
        <f>SUM(C14:C20)</f>
        <v>17</v>
      </c>
      <c r="D21" s="231">
        <f>SUM(D14:D20)</f>
        <v>1</v>
      </c>
    </row>
    <row r="23" spans="1:6" ht="15.6" x14ac:dyDescent="0.3">
      <c r="A23" s="242" t="s">
        <v>1197</v>
      </c>
      <c r="B23" s="242"/>
      <c r="C23" s="242"/>
      <c r="D23" s="242"/>
      <c r="E23" s="242"/>
      <c r="F23" s="242"/>
    </row>
    <row r="25" spans="1:6" x14ac:dyDescent="0.3">
      <c r="A25" s="222" t="s">
        <v>1174</v>
      </c>
      <c r="B25" s="222" t="s">
        <v>1198</v>
      </c>
      <c r="C25" s="221" t="s">
        <v>1199</v>
      </c>
      <c r="D25" s="221" t="s">
        <v>1200</v>
      </c>
      <c r="E25" s="222" t="s">
        <v>1201</v>
      </c>
      <c r="F25" s="221" t="s">
        <v>1202</v>
      </c>
    </row>
    <row r="26" spans="1:6" x14ac:dyDescent="0.3">
      <c r="A26" s="219" cm="1">
        <f t="array" ref="A26:A30">IFERROR(_xlfn.SEQUENCE(D6),"")</f>
        <v>1</v>
      </c>
      <c r="B26" s="219" cm="1">
        <f t="array" ref="B26:B30">IFERROR(_xlfn._xlws.FILTER(ROW('MANO DE OBRA'!F5:F116),LEFT('MANO DE OBRA'!F5:F116,1)="V"),"")</f>
        <v>20</v>
      </c>
      <c r="C26" s="218" t="str" cm="1">
        <f t="array" ref="C26:C30">IFERROR(_xlfn._xlws.FILTER('MANO DE OBRA'!B5:B116,LEFT('MANO DE OBRA'!F5:F116,1)="V"),"")</f>
        <v>MECANICO</v>
      </c>
      <c r="D26" s="218" t="str" cm="1">
        <f t="array" ref="D26:D30">IFERROR(_xlfn._xlws.FILTER('MANO DE OBRA'!C5:C116,LEFT('MANO DE OBRA'!F5:F116,1)="V"),"")</f>
        <v>MAESTRO MECÁNICO 3</v>
      </c>
      <c r="E26" s="220" t="str" cm="1">
        <f t="array" ref="E26:E30">IFERROR(_xlfn._xlws.FILTER('MANO DE OBRA'!F5:F116,LEFT('MANO DE OBRA'!F5:F116,1)="V"),"")</f>
        <v>V</v>
      </c>
      <c r="F26" s="218" t="str" cm="1">
        <f t="array" ref="F26:F30">IFERROR(IF(_xlfn._xlws.FILTER('MANO DE OBRA'!E5:E116,LEFT('MANO DE OBRA'!F5:F116,1)="V")=0,"(vacío)",_xlfn._xlws.FILTER('MANO DE OBRA'!E5:E116,LEFT('MANO DE OBRA'!F5:F116,1)="V")),"")</f>
        <v>VACANTE</v>
      </c>
    </row>
    <row r="27" spans="1:6" x14ac:dyDescent="0.3">
      <c r="A27">
        <v>2</v>
      </c>
      <c r="B27">
        <v>39</v>
      </c>
      <c r="C27" t="str">
        <v>OPERADOR</v>
      </c>
      <c r="D27" t="str">
        <v>OPERADOR MIXER</v>
      </c>
      <c r="E27" s="254" t="str">
        <v>V-MIX</v>
      </c>
      <c r="F27" t="str">
        <v>VACANTE</v>
      </c>
    </row>
    <row r="28" spans="1:6" x14ac:dyDescent="0.3">
      <c r="A28">
        <v>3</v>
      </c>
      <c r="B28">
        <v>41</v>
      </c>
      <c r="C28" t="str">
        <v>OPERADOR</v>
      </c>
      <c r="D28" t="str">
        <v>OPERADOR BROKK</v>
      </c>
      <c r="E28" s="254" t="str">
        <v>V-BR</v>
      </c>
      <c r="F28" t="str">
        <v>VACANTE</v>
      </c>
    </row>
    <row r="29" spans="1:6" x14ac:dyDescent="0.3">
      <c r="A29">
        <v>4</v>
      </c>
      <c r="B29">
        <v>85</v>
      </c>
      <c r="C29" t="str">
        <v>OPERACIÓN</v>
      </c>
      <c r="D29" t="str">
        <v>AYUDANTE</v>
      </c>
      <c r="E29" s="254" t="str">
        <v>V-M</v>
      </c>
      <c r="F29" t="str">
        <v>VACANTE</v>
      </c>
    </row>
    <row r="30" spans="1:6" x14ac:dyDescent="0.3">
      <c r="A30">
        <v>5</v>
      </c>
      <c r="B30">
        <v>96</v>
      </c>
      <c r="C30" t="str">
        <v>OPERACIÓN</v>
      </c>
      <c r="D30" t="str">
        <v>MAESTRO M1</v>
      </c>
      <c r="E30" s="254" t="str">
        <v>V-M</v>
      </c>
      <c r="F30" t="str">
        <v>(vacío)</v>
      </c>
    </row>
    <row r="33" spans="1:6" x14ac:dyDescent="0.3">
      <c r="A33" s="222" t="s">
        <v>1174</v>
      </c>
      <c r="B33" s="222" t="s">
        <v>1198</v>
      </c>
      <c r="C33" s="221" t="s">
        <v>1199</v>
      </c>
      <c r="D33" s="221" t="s">
        <v>1200</v>
      </c>
      <c r="E33" s="222" t="s">
        <v>1201</v>
      </c>
      <c r="F33" s="221" t="s">
        <v>1202</v>
      </c>
    </row>
    <row r="34" spans="1:6" x14ac:dyDescent="0.3">
      <c r="A34" s="219" cm="1">
        <f t="array" ref="A34:A37">IFERROR(_xlfn.SEQUENCE(D7),"")</f>
        <v>1</v>
      </c>
      <c r="B34" s="219" cm="1">
        <f t="array" ref="B34:B37">IFERROR(_xlfn._xlws.FILTER(ROW('MANO DE OBRA'!H5:H121),LEFT('MANO DE OBRA'!H5:H121,1)="V"),"")</f>
        <v>39</v>
      </c>
      <c r="C34" s="218" t="str" cm="1">
        <f t="array" ref="C34:C37">IFERROR(_xlfn._xlws.FILTER('MANO DE OBRA'!B5:B121,LEFT('MANO DE OBRA'!H5:H121,1)="V"),"")</f>
        <v>OPERADOR</v>
      </c>
      <c r="D34" s="218" t="str" cm="1">
        <f t="array" ref="D34:D37">IFERROR(_xlfn._xlws.FILTER('MANO DE OBRA'!C5:C121,LEFT('MANO DE OBRA'!H5:H121,1)="V"),"")</f>
        <v>OPERADOR MIXER</v>
      </c>
      <c r="E34" s="220" t="str" cm="1">
        <f t="array" ref="E34:E37">IFERROR(_xlfn._xlws.FILTER('MANO DE OBRA'!H5:H121,LEFT('MANO DE OBRA'!H5:H121,1)="V"),"")</f>
        <v>V-MIX</v>
      </c>
      <c r="F34" s="218" t="str" cm="1">
        <f t="array" ref="F34:F37">IFERROR(IF(_xlfn._xlws.FILTER('MANO DE OBRA'!G5:G121,LEFT('MANO DE OBRA'!H5:H121,1)="V")=0,"(vacío)",_xlfn._xlws.FILTER('MANO DE OBRA'!G5:G121,LEFT('MANO DE OBRA'!H5:H121,1)="V")),"")</f>
        <v>VACANTE</v>
      </c>
    </row>
    <row r="35" spans="1:6" x14ac:dyDescent="0.3">
      <c r="A35">
        <v>2</v>
      </c>
      <c r="B35">
        <v>59</v>
      </c>
      <c r="C35" t="str">
        <v>OPERACIÓN</v>
      </c>
      <c r="D35" t="str">
        <v>AYUDANTE</v>
      </c>
      <c r="E35" t="str">
        <v>V</v>
      </c>
      <c r="F35" t="str">
        <v>VACANTE</v>
      </c>
    </row>
    <row r="36" spans="1:6" x14ac:dyDescent="0.3">
      <c r="A36">
        <v>3</v>
      </c>
      <c r="B36">
        <v>74</v>
      </c>
      <c r="C36" t="str">
        <v>OPERACIÓN</v>
      </c>
      <c r="D36" t="str">
        <v>MAESTRO M1</v>
      </c>
      <c r="E36" t="str">
        <v>V-M</v>
      </c>
      <c r="F36" t="str">
        <v>VACANTE</v>
      </c>
    </row>
    <row r="37" spans="1:6" x14ac:dyDescent="0.3">
      <c r="A37">
        <v>4</v>
      </c>
      <c r="B37">
        <v>109</v>
      </c>
      <c r="C37" t="str">
        <v>OPERACIÓN</v>
      </c>
      <c r="D37" t="str">
        <v>SOLDADOR</v>
      </c>
      <c r="E37" t="str">
        <v>V-S</v>
      </c>
      <c r="F37" t="str">
        <v>(vacío)</v>
      </c>
    </row>
    <row r="41" spans="1:6" x14ac:dyDescent="0.3">
      <c r="A41" s="222" t="s">
        <v>1174</v>
      </c>
      <c r="B41" s="222" t="s">
        <v>1198</v>
      </c>
      <c r="C41" s="221" t="s">
        <v>1199</v>
      </c>
      <c r="D41" s="221" t="s">
        <v>1200</v>
      </c>
      <c r="E41" s="222" t="s">
        <v>1201</v>
      </c>
      <c r="F41" s="221" t="s">
        <v>1202</v>
      </c>
    </row>
    <row r="42" spans="1:6" x14ac:dyDescent="0.3">
      <c r="A42" s="219" cm="1">
        <f t="array" ref="A42:A44">IFERROR(_xlfn.SEQUENCE(D8),"")</f>
        <v>1</v>
      </c>
      <c r="B42" s="219" cm="1">
        <f t="array" ref="B42:B44">IFERROR(_xlfn._xlws.FILTER(ROW('MANO DE OBRA'!K5:K116),LEFT('MANO DE OBRA'!K5:K116,1)="V"),"")</f>
        <v>41</v>
      </c>
      <c r="C42" s="218" t="str" cm="1">
        <f t="array" ref="C42:C44">IFERROR(_xlfn._xlws.FILTER('MANO DE OBRA'!B5:B116,LEFT('MANO DE OBRA'!K5:K116,1)="V"),"")</f>
        <v>OPERADOR</v>
      </c>
      <c r="D42" s="218" t="str" cm="1">
        <f t="array" ref="D42:D44">IFERROR(_xlfn._xlws.FILTER('MANO DE OBRA'!C5:C116,LEFT('MANO DE OBRA'!K5:K116,1)="V"),"")</f>
        <v>OPERADOR BROKK</v>
      </c>
      <c r="E42" s="220" t="str" cm="1">
        <f t="array" ref="E42:E44">IFERROR(_xlfn._xlws.FILTER('MANO DE OBRA'!K5:K116,LEFT('MANO DE OBRA'!K5:K116,1)="V"),"")</f>
        <v>V-BR</v>
      </c>
      <c r="F42" s="218" t="str" cm="1">
        <f t="array" ref="F42:F44">IFERROR(IF(_xlfn._xlws.FILTER('MANO DE OBRA'!J5:J116,LEFT('MANO DE OBRA'!K5:K116,1)="V")=0,"(vacío)",_xlfn._xlws.FILTER('MANO DE OBRA'!J5:J116,LEFT('MANO DE OBRA'!K5:K116,1)="V")),"")</f>
        <v>VACANTE</v>
      </c>
    </row>
    <row r="43" spans="1:6" x14ac:dyDescent="0.3">
      <c r="A43">
        <v>2</v>
      </c>
      <c r="B43">
        <v>60</v>
      </c>
      <c r="C43" t="str">
        <v>OPERADOR</v>
      </c>
      <c r="D43" t="str">
        <v xml:space="preserve">OPERADOR DE EQUIPO DE LEVANTE </v>
      </c>
      <c r="E43" t="str">
        <v>V</v>
      </c>
      <c r="F43" t="str">
        <v>VACANTE</v>
      </c>
    </row>
    <row r="44" spans="1:6" x14ac:dyDescent="0.3">
      <c r="A44">
        <v>3</v>
      </c>
      <c r="B44">
        <v>88</v>
      </c>
      <c r="C44" t="str">
        <v>OPERACIÓN</v>
      </c>
      <c r="D44" t="str">
        <v>CAPATAZ MINERÍA - OOCC</v>
      </c>
      <c r="E44" t="str">
        <v>V</v>
      </c>
      <c r="F44" t="str">
        <v>VACANTE</v>
      </c>
    </row>
    <row r="49" spans="1:6" x14ac:dyDescent="0.3">
      <c r="A49" s="222" t="s">
        <v>1174</v>
      </c>
      <c r="B49" s="222" t="s">
        <v>1198</v>
      </c>
      <c r="C49" s="221" t="s">
        <v>1199</v>
      </c>
      <c r="D49" s="221" t="s">
        <v>1200</v>
      </c>
      <c r="E49" s="222" t="s">
        <v>1201</v>
      </c>
      <c r="F49" s="221" t="s">
        <v>1202</v>
      </c>
    </row>
    <row r="50" spans="1:6" x14ac:dyDescent="0.3">
      <c r="A50" s="219" cm="1">
        <f t="array" ref="A50:A54">IFERROR(_xlfn.SEQUENCE(D9),"")</f>
        <v>1</v>
      </c>
      <c r="B50" s="219" cm="1">
        <f t="array" ref="B50:B54">IFERROR(_xlfn._xlws.FILTER(ROW('MANO DE OBRA'!N5:N121),LEFT('MANO DE OBRA'!N5:N121,1)="V"),"")</f>
        <v>26</v>
      </c>
      <c r="C50" s="218" t="str" cm="1">
        <f t="array" ref="C50:C54">IFERROR(_xlfn._xlws.FILTER('MANO DE OBRA'!B5:B121,LEFT('MANO DE OBRA'!N5:N121,1)="V"),"")</f>
        <v>OPERACIÓN</v>
      </c>
      <c r="D50" s="218" t="str" cm="1">
        <f t="array" ref="D50:D54">IFERROR(_xlfn._xlws.FILTER('MANO DE OBRA'!C5:C121,LEFT('MANO DE OBRA'!N5:N121,1)="V"),"")</f>
        <v>CHOFER DE SERVICIOS 4</v>
      </c>
      <c r="E50" s="220" t="str" cm="1">
        <f t="array" ref="E50:E54">IFERROR(_xlfn._xlws.FILTER('MANO DE OBRA'!N5:N121,LEFT('MANO DE OBRA'!N5:N121,1)="V"),"")</f>
        <v>V-CS</v>
      </c>
      <c r="F50" s="218" t="str" cm="1">
        <f t="array" ref="F50:F54">IFERROR(IF(_xlfn._xlws.FILTER('MANO DE OBRA'!M5:M121,LEFT('MANO DE OBRA'!N5:N121,1)="V")=0,"(vacío)",_xlfn._xlws.FILTER('MANO DE OBRA'!M5:M121,LEFT('MANO DE OBRA'!N5:N121,1)="V")),"")</f>
        <v>VACANTE</v>
      </c>
    </row>
    <row r="51" spans="1:6" x14ac:dyDescent="0.3">
      <c r="A51">
        <v>2</v>
      </c>
      <c r="B51">
        <v>41</v>
      </c>
      <c r="C51" t="str">
        <v>OPERADOR</v>
      </c>
      <c r="D51" t="str">
        <v>OPERADOR BROKK</v>
      </c>
      <c r="E51" t="str">
        <v>V-BR</v>
      </c>
      <c r="F51" t="str">
        <v>VACANTE</v>
      </c>
    </row>
    <row r="52" spans="1:6" x14ac:dyDescent="0.3">
      <c r="A52">
        <v>3</v>
      </c>
      <c r="B52">
        <v>58</v>
      </c>
      <c r="C52" t="str">
        <v>OPERACIÓN</v>
      </c>
      <c r="D52" t="str">
        <v>MAESTRO M1</v>
      </c>
      <c r="E52" t="str">
        <v>V-M</v>
      </c>
      <c r="F52" t="str">
        <v>VACANTE</v>
      </c>
    </row>
    <row r="53" spans="1:6" x14ac:dyDescent="0.3">
      <c r="A53">
        <v>4</v>
      </c>
      <c r="B53">
        <v>59</v>
      </c>
      <c r="C53" t="str">
        <v>OPERACIÓN</v>
      </c>
      <c r="D53" t="str">
        <v>AYUDANTE</v>
      </c>
      <c r="E53" t="str">
        <v>V-M</v>
      </c>
      <c r="F53" t="str">
        <v>VACANTE</v>
      </c>
    </row>
    <row r="54" spans="1:6" x14ac:dyDescent="0.3">
      <c r="A54">
        <v>5</v>
      </c>
      <c r="B54">
        <v>118</v>
      </c>
      <c r="C54" t="str">
        <v>OPERACIÓN</v>
      </c>
      <c r="D54" t="str">
        <v>MINERO M1</v>
      </c>
      <c r="E54" t="str">
        <v>V-M</v>
      </c>
      <c r="F54" t="str">
        <v>(vacío)</v>
      </c>
    </row>
  </sheetData>
  <mergeCells count="5">
    <mergeCell ref="A1:F1"/>
    <mergeCell ref="A2:F2"/>
    <mergeCell ref="A4:F4"/>
    <mergeCell ref="A12:D12"/>
    <mergeCell ref="A23:F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17</vt:i4>
      </vt:variant>
      <vt:variant>
        <vt:lpstr>Rangos con nombre</vt:lpstr>
      </vt:variant>
      <vt:variant>
        <vt:i4>1</vt:i4>
      </vt:variant>
    </vt:vector>
  </HeadingPairs>
  <TitlesOfParts>
    <vt:vector size="18" baseType="lpstr">
      <vt:lpstr>Dotación Obra</vt:lpstr>
      <vt:lpstr>Grilla ODS</vt:lpstr>
      <vt:lpstr>MANO DE OBRA</vt:lpstr>
      <vt:lpstr>RESUMEN</vt:lpstr>
      <vt:lpstr>Hoja2</vt:lpstr>
      <vt:lpstr>Hoja4</vt:lpstr>
      <vt:lpstr>Personal en Proceso a Contratar</vt:lpstr>
      <vt:lpstr>Modificacion MO </vt:lpstr>
      <vt:lpstr>Sindicato y LM</vt:lpstr>
      <vt:lpstr>Detalle</vt:lpstr>
      <vt:lpstr>Vacantes</vt:lpstr>
      <vt:lpstr>Dinamica Grupos</vt:lpstr>
      <vt:lpstr>Dinamica 7x7TA</vt:lpstr>
      <vt:lpstr>Dinamica 5x2 TA</vt:lpstr>
      <vt:lpstr>Dotación Ampliación</vt:lpstr>
      <vt:lpstr>Dotación por Depto</vt:lpstr>
      <vt:lpstr>Resumen Vacantes</vt:lpstr>
      <vt:lpstr>RESUMEN!Área_de_impresión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Miranda Fuentes Barbara (Contratista-Teniente)</dc:creator>
  <cp:lastModifiedBy>larry cereceda barrera</cp:lastModifiedBy>
  <cp:lastPrinted>2025-12-19T15:42:53Z</cp:lastPrinted>
  <dcterms:created xsi:type="dcterms:W3CDTF">2025-08-29T17:33:42Z</dcterms:created>
  <dcterms:modified xsi:type="dcterms:W3CDTF">2026-04-02T19:58:24Z</dcterms:modified>
</cp:coreProperties>
</file>